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8"/>
  <workbookPr refreshAllConnections="1" defaultThemeVersion="166925"/>
  <mc:AlternateContent xmlns:mc="http://schemas.openxmlformats.org/markup-compatibility/2006">
    <mc:Choice Requires="x15">
      <x15ac:absPath xmlns:x15ac="http://schemas.microsoft.com/office/spreadsheetml/2010/11/ac" url="/Users/godalone/Downloads/"/>
    </mc:Choice>
  </mc:AlternateContent>
  <xr:revisionPtr revIDLastSave="0" documentId="8_{C4FE32AB-6FC2-FE4E-AD48-00DB0BCE2A9D}" xr6:coauthVersionLast="47" xr6:coauthVersionMax="47" xr10:uidLastSave="{00000000-0000-0000-0000-000000000000}"/>
  <bookViews>
    <workbookView xWindow="380" yWindow="840" windowWidth="27640" windowHeight="15860" activeTab="3" xr2:uid="{F8B17AF9-D55B-3242-849C-161FB1B31C59}"/>
  </bookViews>
  <sheets>
    <sheet name="A Comprehensive Overview of the" sheetId="1" r:id="rId1"/>
    <sheet name="ResearchQ's" sheetId="2" r:id="rId2"/>
    <sheet name="Pivot Table" sheetId="4" r:id="rId3"/>
    <sheet name="Dashboard" sheetId="3" r:id="rId4"/>
  </sheets>
  <externalReferences>
    <externalReference r:id="rId5"/>
  </externalReferences>
  <definedNames>
    <definedName name="_xlchart.v1.0" hidden="1">'Pivot Table'!$C$5:$C$15</definedName>
    <definedName name="_xlchart.v1.1" hidden="1">'Pivot Table'!$D$5:$D$15</definedName>
    <definedName name="_xlchart.v5.2" hidden="1">'Pivot Table'!$K$4</definedName>
    <definedName name="_xlchart.v5.3" hidden="1">'Pivot Table'!$K$5:$K$65</definedName>
    <definedName name="_xlchart.v5.4" hidden="1">'Pivot Table'!$L$4</definedName>
    <definedName name="_xlchart.v5.5" hidden="1">'Pivot Table'!$L$5:$L$65</definedName>
    <definedName name="ALumni_Employment">'A Comprehensive Overview of the'!$G:$G</definedName>
    <definedName name="Citations">'A Comprehensive Overview of the'!$L:$L</definedName>
    <definedName name="Influence">'A Comprehensive Overview of the'!$K:$K</definedName>
    <definedName name="Institution">'A Comprehensive Overview of the'!$B:$B</definedName>
    <definedName name="Latitude">'A Comprehensive Overview of the'!$N:$N</definedName>
    <definedName name="Location">'A Comprehensive Overview of the'!$C:$C</definedName>
    <definedName name="Longitude">'A Comprehensive Overview of the'!$O:$O</definedName>
    <definedName name="National_Rank">'A Comprehensive Overview of the'!$E:$E</definedName>
    <definedName name="Quality_of_Education">'A Comprehensive Overview of the'!$F:$F</definedName>
    <definedName name="Quality_of_faculty">'A Comprehensive Overview of the'!$H:$H</definedName>
    <definedName name="Quality_publications">'A Comprehensive Overview of the'!$J:$J</definedName>
    <definedName name="REsearch_Output">'A Comprehensive Overview of the'!$I:$I</definedName>
    <definedName name="Score">'A Comprehensive Overview of the'!$M:$M</definedName>
    <definedName name="Slicer_Rank_Tier">#N/A</definedName>
    <definedName name="Slicer_Region">#N/A</definedName>
    <definedName name="WorldRank">'A Comprehensive Overview of the'!$A:$A</definedName>
  </definedNames>
  <calcPr calcId="191029"/>
  <pivotCaches>
    <pivotCache cacheId="1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R3" i="3" l="1"/>
  <c r="N3" i="3"/>
  <c r="J3" i="3"/>
  <c r="F3" i="3"/>
  <c r="Y7" i="4"/>
  <c r="Y8" i="4"/>
  <c r="Y9" i="4"/>
  <c r="Y6" i="4"/>
  <c r="X7" i="4"/>
  <c r="X8" i="4"/>
  <c r="X9" i="4"/>
  <c r="X6" i="4"/>
  <c r="W7" i="4"/>
  <c r="W8" i="4"/>
  <c r="W9" i="4"/>
  <c r="W6" i="4"/>
  <c r="AF6" i="4"/>
  <c r="AF7" i="4"/>
  <c r="AF8" i="4"/>
  <c r="AF5" i="4"/>
  <c r="AE6" i="4"/>
  <c r="AE7" i="4"/>
  <c r="AE8" i="4"/>
  <c r="AE5" i="4"/>
  <c r="AD6" i="4"/>
  <c r="AD7" i="4"/>
  <c r="AD8" i="4"/>
  <c r="AD5" i="4"/>
  <c r="R61" i="1"/>
  <c r="X3" i="1"/>
  <c r="X2"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Q2" i="1"/>
  <c r="Q3" i="1"/>
  <c r="Q4" i="1"/>
  <c r="Q5" i="1"/>
  <c r="Q6" i="1"/>
  <c r="Q7" i="1"/>
  <c r="Q8" i="1"/>
  <c r="Q9" i="1"/>
  <c r="Q10" i="1"/>
  <c r="Q11" i="1"/>
  <c r="Q12" i="1"/>
  <c r="Q13" i="1"/>
  <c r="Q14" i="1"/>
  <c r="Q15" i="1"/>
  <c r="Q16" i="1"/>
  <c r="Q17" i="1"/>
  <c r="Q18" i="1"/>
  <c r="Q19" i="1"/>
  <c r="Q20" i="1"/>
  <c r="Q21" i="1"/>
  <c r="Q22"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8" i="1"/>
  <c r="Q59" i="1"/>
  <c r="Q60" i="1"/>
  <c r="Q62" i="1"/>
  <c r="Q63" i="1"/>
  <c r="Q64" i="1"/>
  <c r="Q65" i="1"/>
  <c r="Q66" i="1"/>
  <c r="Q67" i="1"/>
  <c r="Q68" i="1"/>
  <c r="Q69" i="1"/>
  <c r="Q70" i="1"/>
  <c r="Q71" i="1"/>
  <c r="Q72" i="1"/>
  <c r="Q73" i="1"/>
  <c r="Q74" i="1"/>
  <c r="Q75" i="1"/>
  <c r="Q76" i="1"/>
  <c r="Q77" i="1"/>
  <c r="Q80" i="1"/>
  <c r="Q82" i="1"/>
  <c r="Q83" i="1"/>
  <c r="Q84" i="1"/>
  <c r="Q85" i="1"/>
  <c r="Q86" i="1"/>
  <c r="Q87" i="1"/>
  <c r="Q88" i="1"/>
  <c r="Q91" i="1"/>
  <c r="Q92" i="1"/>
  <c r="Q93" i="1"/>
  <c r="Q94" i="1"/>
  <c r="Q96" i="1"/>
  <c r="Q97" i="1"/>
  <c r="Q98" i="1"/>
  <c r="Q100" i="1"/>
  <c r="Q101" i="1"/>
  <c r="Q103" i="1"/>
  <c r="Q105" i="1"/>
  <c r="Q106" i="1"/>
  <c r="Q109" i="1"/>
  <c r="Q110" i="1"/>
  <c r="Q111" i="1"/>
  <c r="Q112" i="1"/>
  <c r="Q113" i="1"/>
  <c r="Q114" i="1"/>
  <c r="Q116" i="1"/>
  <c r="Q117" i="1"/>
  <c r="Q118" i="1"/>
  <c r="Q119" i="1"/>
  <c r="Q120" i="1"/>
  <c r="Q121" i="1"/>
  <c r="Q122" i="1"/>
  <c r="Q123" i="1"/>
  <c r="Q124" i="1"/>
  <c r="Q125" i="1"/>
  <c r="Q127" i="1"/>
  <c r="Q129" i="1"/>
  <c r="Q130" i="1"/>
  <c r="Q131" i="1"/>
  <c r="Q132" i="1"/>
  <c r="Q133" i="1"/>
  <c r="Q135" i="1"/>
  <c r="Q136" i="1"/>
  <c r="Q139" i="1"/>
  <c r="Q140" i="1"/>
  <c r="Q141" i="1"/>
  <c r="Q143" i="1"/>
  <c r="Q144" i="1"/>
  <c r="Q145" i="1"/>
  <c r="Q146" i="1"/>
  <c r="Q147" i="1"/>
  <c r="Q148" i="1"/>
  <c r="Q149" i="1"/>
  <c r="Q150" i="1"/>
  <c r="Q155" i="1"/>
  <c r="Q156" i="1"/>
  <c r="Q157" i="1"/>
  <c r="Q159" i="1"/>
  <c r="Q160" i="1"/>
  <c r="Q161" i="1"/>
  <c r="Q162" i="1"/>
  <c r="Q163" i="1"/>
  <c r="Q164" i="1"/>
  <c r="Q165" i="1"/>
  <c r="Q166" i="1"/>
  <c r="Q167" i="1"/>
  <c r="Q168" i="1"/>
  <c r="Q170" i="1"/>
  <c r="Q172" i="1"/>
  <c r="Q173" i="1"/>
  <c r="Q175" i="1"/>
  <c r="Q177" i="1"/>
  <c r="Q179" i="1"/>
  <c r="Q180" i="1"/>
  <c r="Q181" i="1"/>
  <c r="Q182" i="1"/>
  <c r="Q185" i="1"/>
  <c r="Q186" i="1"/>
  <c r="Q187" i="1"/>
  <c r="Q188" i="1"/>
  <c r="Q191" i="1"/>
  <c r="Q193" i="1"/>
  <c r="Q196" i="1"/>
  <c r="Q199" i="1"/>
  <c r="Q201" i="1"/>
  <c r="Q204" i="1"/>
  <c r="Q205" i="1"/>
  <c r="Q206" i="1"/>
  <c r="Q207" i="1"/>
  <c r="Q212" i="1"/>
  <c r="Q215" i="1"/>
  <c r="Q217" i="1"/>
  <c r="Q218" i="1"/>
  <c r="Q224" i="1"/>
  <c r="Q225" i="1"/>
  <c r="Q226" i="1"/>
  <c r="Q227" i="1"/>
  <c r="Q228" i="1"/>
  <c r="Q229" i="1"/>
  <c r="Q230" i="1"/>
  <c r="Q231" i="1"/>
  <c r="Q232" i="1"/>
  <c r="Q234" i="1"/>
  <c r="Q237" i="1"/>
  <c r="Q239" i="1"/>
  <c r="Q240" i="1"/>
  <c r="Q245" i="1"/>
  <c r="Q246" i="1"/>
  <c r="Q249" i="1"/>
  <c r="Q251" i="1"/>
  <c r="Q252" i="1"/>
  <c r="Q259" i="1"/>
  <c r="Q261" i="1"/>
  <c r="Q264" i="1"/>
  <c r="Q265" i="1"/>
  <c r="Q273" i="1"/>
  <c r="Q274" i="1"/>
  <c r="Q275" i="1"/>
  <c r="Q279" i="1"/>
  <c r="Q282" i="1"/>
  <c r="Q287" i="1"/>
  <c r="Q289" i="1"/>
  <c r="Q290" i="1"/>
  <c r="Q294" i="1"/>
  <c r="Q295" i="1"/>
  <c r="Q299" i="1"/>
  <c r="Q302" i="1"/>
  <c r="Q305" i="1"/>
  <c r="Q308" i="1"/>
  <c r="Q309" i="1"/>
  <c r="Q313" i="1"/>
  <c r="Q314" i="1"/>
  <c r="Q316" i="1"/>
  <c r="Q321" i="1"/>
  <c r="Q322" i="1"/>
  <c r="Q326" i="1"/>
  <c r="Q330" i="1"/>
  <c r="Q331" i="1"/>
  <c r="Q332" i="1"/>
  <c r="Q333" i="1"/>
  <c r="Q335" i="1"/>
  <c r="Q346" i="1"/>
  <c r="Q353" i="1"/>
  <c r="Q363" i="1"/>
  <c r="Q365" i="1"/>
  <c r="Q366" i="1"/>
  <c r="Q368" i="1"/>
  <c r="Q369" i="1"/>
  <c r="Q377" i="1"/>
  <c r="Q379" i="1"/>
  <c r="Q384" i="1"/>
  <c r="Q385" i="1"/>
  <c r="Q386" i="1"/>
  <c r="Q403" i="1"/>
  <c r="Q406" i="1"/>
  <c r="Q408" i="1"/>
  <c r="Q411" i="1"/>
  <c r="Q414" i="1"/>
  <c r="Q416" i="1"/>
  <c r="Q420" i="1"/>
  <c r="Q423" i="1"/>
  <c r="Q429" i="1"/>
  <c r="Q431" i="1"/>
  <c r="Q448" i="1"/>
  <c r="Q451" i="1"/>
  <c r="Q458" i="1"/>
  <c r="Q462" i="1"/>
  <c r="Q474" i="1"/>
  <c r="Q482" i="1"/>
  <c r="Q487" i="1"/>
  <c r="Q491" i="1"/>
  <c r="Q492" i="1"/>
  <c r="Q493" i="1"/>
  <c r="Q494" i="1"/>
  <c r="Q501" i="1"/>
  <c r="Q502" i="1"/>
  <c r="Q505" i="1"/>
  <c r="Q507" i="1"/>
  <c r="Q512" i="1"/>
  <c r="Q517" i="1"/>
  <c r="Q518" i="1"/>
  <c r="Q521" i="1"/>
  <c r="Q528" i="1"/>
  <c r="Q541" i="1"/>
  <c r="Q542" i="1"/>
  <c r="Q547" i="1"/>
  <c r="Q556" i="1"/>
  <c r="Q557" i="1"/>
  <c r="Q561" i="1"/>
  <c r="Q566" i="1"/>
  <c r="Q568" i="1"/>
  <c r="Q573" i="1"/>
  <c r="Q574" i="1"/>
  <c r="Q576" i="1"/>
  <c r="Q582" i="1"/>
  <c r="Q584" i="1"/>
  <c r="Q593" i="1"/>
  <c r="Q596" i="1"/>
  <c r="Q619" i="1"/>
  <c r="Q620" i="1"/>
  <c r="Q621" i="1"/>
  <c r="Q628" i="1"/>
  <c r="Q630" i="1"/>
  <c r="Q634" i="1"/>
  <c r="Q639" i="1"/>
  <c r="Q641" i="1"/>
  <c r="Q657" i="1"/>
  <c r="Q669" i="1"/>
  <c r="Q672" i="1"/>
  <c r="Q676" i="1"/>
  <c r="Q707" i="1"/>
  <c r="Q712" i="1"/>
  <c r="Q724" i="1"/>
  <c r="Q727" i="1"/>
  <c r="Q737" i="1"/>
  <c r="Q739" i="1"/>
  <c r="Q741" i="1"/>
  <c r="Q742" i="1"/>
  <c r="Q744" i="1"/>
  <c r="Q751" i="1"/>
  <c r="Q769" i="1"/>
  <c r="Q772" i="1"/>
  <c r="Q775" i="1"/>
  <c r="Q781" i="1"/>
  <c r="Q784" i="1"/>
  <c r="Q798" i="1"/>
  <c r="Q799" i="1"/>
  <c r="Q804" i="1"/>
  <c r="Q806" i="1"/>
  <c r="Q819" i="1"/>
  <c r="Q824" i="1"/>
  <c r="Q828" i="1"/>
  <c r="Q857" i="1"/>
  <c r="Q861" i="1"/>
  <c r="Q872" i="1"/>
  <c r="Q882" i="1"/>
  <c r="Q894" i="1"/>
  <c r="Q904" i="1"/>
  <c r="Q923" i="1"/>
  <c r="Q924" i="1"/>
  <c r="Q930" i="1"/>
  <c r="Q934" i="1"/>
  <c r="Q943" i="1"/>
  <c r="Q944" i="1"/>
  <c r="Q948" i="1"/>
  <c r="Q952" i="1"/>
  <c r="Q960" i="1"/>
  <c r="Q964" i="1"/>
  <c r="Q972" i="1"/>
  <c r="Q974" i="1"/>
  <c r="Q995" i="1"/>
  <c r="Q998" i="1"/>
  <c r="L6" i="4"/>
  <c r="L5" i="4"/>
  <c r="L9" i="4"/>
  <c r="L10" i="4"/>
  <c r="L7" i="4"/>
  <c r="L8" i="4"/>
  <c r="K8" i="4"/>
  <c r="K5" i="4"/>
  <c r="K9" i="4"/>
  <c r="K10" i="4"/>
  <c r="K7" i="4"/>
  <c r="K6" i="4"/>
  <c r="C5" i="4"/>
  <c r="C6" i="4"/>
  <c r="C7" i="4"/>
  <c r="C8" i="4"/>
  <c r="C9" i="4"/>
  <c r="C10" i="4"/>
  <c r="C11" i="4"/>
  <c r="C12" i="4"/>
  <c r="C13" i="4"/>
  <c r="C14" i="4"/>
  <c r="AB6" i="1"/>
  <c r="Z10" i="1" a="1"/>
  <c r="Z10" i="1" s="1"/>
  <c r="D11" i="4"/>
  <c r="D14" i="4"/>
  <c r="D6" i="4"/>
  <c r="D7" i="4"/>
  <c r="D13" i="4"/>
  <c r="D8" i="4"/>
  <c r="D12" i="4"/>
  <c r="D9" i="4"/>
  <c r="D5" i="4"/>
  <c r="D10" i="4"/>
  <c r="AA37" i="1" l="1"/>
  <c r="AB61" i="1"/>
  <c r="AA32" i="1"/>
  <c r="AA28" i="1"/>
  <c r="AA24" i="1"/>
  <c r="AA20" i="1"/>
  <c r="AA16" i="1"/>
  <c r="AA12" i="1"/>
  <c r="AA68" i="1"/>
  <c r="AA64" i="1"/>
  <c r="AA60" i="1"/>
  <c r="AA56" i="1"/>
  <c r="AA52" i="1"/>
  <c r="AA48" i="1"/>
  <c r="AA44" i="1"/>
  <c r="AA40" i="1"/>
  <c r="AA36" i="1"/>
  <c r="AA39" i="1"/>
  <c r="AA35" i="1"/>
  <c r="AA33" i="1"/>
  <c r="AA29" i="1"/>
  <c r="AA25" i="1"/>
  <c r="AA21" i="1"/>
  <c r="AA17" i="1"/>
  <c r="AA13" i="1"/>
  <c r="AA69" i="1"/>
  <c r="AA65" i="1"/>
  <c r="AA61" i="1"/>
  <c r="AA57" i="1"/>
  <c r="AA53" i="1"/>
  <c r="AA49" i="1"/>
  <c r="AA45" i="1"/>
  <c r="AA41" i="1"/>
  <c r="AA11" i="1"/>
  <c r="AA31" i="1"/>
  <c r="AA27" i="1"/>
  <c r="AA23" i="1"/>
  <c r="AA19" i="1"/>
  <c r="AA15" i="1"/>
  <c r="AA71" i="1"/>
  <c r="AA67" i="1"/>
  <c r="AA63" i="1"/>
  <c r="AA59" i="1"/>
  <c r="AA55" i="1"/>
  <c r="AA51" i="1"/>
  <c r="AA47" i="1"/>
  <c r="AA43" i="1"/>
  <c r="AA34" i="1"/>
  <c r="AA30" i="1"/>
  <c r="AA26" i="1"/>
  <c r="AA22" i="1"/>
  <c r="AA18" i="1"/>
  <c r="AA14" i="1"/>
  <c r="AA70" i="1"/>
  <c r="AA66" i="1"/>
  <c r="AA62" i="1"/>
  <c r="AA58" i="1"/>
  <c r="AA54" i="1"/>
  <c r="AA50" i="1"/>
  <c r="AA46" i="1"/>
  <c r="AA42" i="1"/>
  <c r="AA38" i="1"/>
  <c r="AA7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<sst xmlns="http://schemas.openxmlformats.org/spreadsheetml/2006/main" count="4198" uniqueCount="1139">
  <si>
    <t>World Rank</t>
  </si>
  <si>
    <t>Institution</t>
  </si>
  <si>
    <t>Location</t>
  </si>
  <si>
    <t>National Rank</t>
  </si>
  <si>
    <t>Quality of Education</t>
  </si>
  <si>
    <t>Alumni Employment</t>
  </si>
  <si>
    <t>Quality of Faculty</t>
  </si>
  <si>
    <t>Research Output</t>
  </si>
  <si>
    <t>Quality Publications</t>
  </si>
  <si>
    <t>Influence</t>
  </si>
  <si>
    <t>Citations</t>
  </si>
  <si>
    <t>Score</t>
  </si>
  <si>
    <t>Latitude</t>
  </si>
  <si>
    <t>Longitude</t>
  </si>
  <si>
    <t>Harvard University</t>
  </si>
  <si>
    <t>USA</t>
  </si>
  <si>
    <t>Stanford University</t>
  </si>
  <si>
    <t>Massachusetts Institute of Technology</t>
  </si>
  <si>
    <t>University of Cambridge</t>
  </si>
  <si>
    <t>United Kingdom</t>
  </si>
  <si>
    <t>University of Oxford</t>
  </si>
  <si>
    <t>University of California, Berkeley</t>
  </si>
  <si>
    <t>Princeton University</t>
  </si>
  <si>
    <t>Columbia University</t>
  </si>
  <si>
    <t>California Institute of Technology</t>
  </si>
  <si>
    <t>University of Chicago</t>
  </si>
  <si>
    <t>Yale University</t>
  </si>
  <si>
    <t>University of Tokyo</t>
  </si>
  <si>
    <t>Japan</t>
  </si>
  <si>
    <t>University of Pennsylvania</t>
  </si>
  <si>
    <t>Cornell University</t>
  </si>
  <si>
    <t>University of California, Los Angeles</t>
  </si>
  <si>
    <t>Johns Hopkins University</t>
  </si>
  <si>
    <t>University of Toronto</t>
  </si>
  <si>
    <t>Canada</t>
  </si>
  <si>
    <t>University of Michigan, Ann Arbor</t>
  </si>
  <si>
    <t>University of Washington - Seattle</t>
  </si>
  <si>
    <t>University of California, San Diego</t>
  </si>
  <si>
    <t>University College London</t>
  </si>
  <si>
    <t>University of California, San Francisco</t>
  </si>
  <si>
    <t>Northwestern University</t>
  </si>
  <si>
    <t>Duke University</t>
  </si>
  <si>
    <t>New York University</t>
  </si>
  <si>
    <t>Kyoto University</t>
  </si>
  <si>
    <t>University of Wisconsin¬ñMadison</t>
  </si>
  <si>
    <t>ETH Zurich</t>
  </si>
  <si>
    <t>Switzerland</t>
  </si>
  <si>
    <t>Sorbonne University</t>
  </si>
  <si>
    <t>France</t>
  </si>
  <si>
    <t>Imperial College London</t>
  </si>
  <si>
    <t>University of Texas at Austin</t>
  </si>
  <si>
    <t>University of Illinois at Urbana¬ñChampaign</t>
  </si>
  <si>
    <t>University of North Carolina at Chapel Hill</t>
  </si>
  <si>
    <t>University of Edinburgh</t>
  </si>
  <si>
    <t>University of Minnesota Twin Cities</t>
  </si>
  <si>
    <t>Washington University in St. Louis</t>
  </si>
  <si>
    <t>McGill University</t>
  </si>
  <si>
    <t>University of British Columbia</t>
  </si>
  <si>
    <t>University of Copenhagen</t>
  </si>
  <si>
    <t>Denmark</t>
  </si>
  <si>
    <t>Ohio State University</t>
  </si>
  <si>
    <t>Rutgers University-New Brunswick</t>
  </si>
  <si>
    <t>University of California, Davis</t>
  </si>
  <si>
    <t>Pennsylvania State University</t>
  </si>
  <si>
    <t>University of Manchester</t>
  </si>
  <si>
    <t>Weizmann Institute of Science</t>
  </si>
  <si>
    <t>Israel</t>
  </si>
  <si>
    <t>Heidelberg University</t>
  </si>
  <si>
    <t>Germany</t>
  </si>
  <si>
    <t>University of Maryland, College Park</t>
  </si>
  <si>
    <t>Ludwig Maximilian University of Munich</t>
  </si>
  <si>
    <t>Karolinska Institute</t>
  </si>
  <si>
    <t>Sweden</t>
  </si>
  <si>
    <t>University of Colorado Boulder</t>
  </si>
  <si>
    <t>University of Southern California</t>
  </si>
  <si>
    <t>University of Arizona</t>
  </si>
  <si>
    <t>Osaka University</t>
  </si>
  <si>
    <t>University of Paris-Sud</t>
  </si>
  <si>
    <t>University of Geneva</t>
  </si>
  <si>
    <t>Boston University</t>
  </si>
  <si>
    <t>University of Melbourne</t>
  </si>
  <si>
    <t>Australia</t>
  </si>
  <si>
    <t>Brown University</t>
  </si>
  <si>
    <t>University of California, Irvine</t>
  </si>
  <si>
    <t>Seoul National University</t>
  </si>
  <si>
    <t>South Korea</t>
  </si>
  <si>
    <t>Hebrew University of Jerusalem</t>
  </si>
  <si>
    <t>University of Florida</t>
  </si>
  <si>
    <t>Purdue University, West Lafayette</t>
  </si>
  <si>
    <t>Vanderbilt University</t>
  </si>
  <si>
    <t>University of Bristol</t>
  </si>
  <si>
    <t>University of Texas Southwestern Medical Center</t>
  </si>
  <si>
    <t>Sapienza University of Rome</t>
  </si>
  <si>
    <t>Italy</t>
  </si>
  <si>
    <t>King's College London</t>
  </si>
  <si>
    <t>University of Zurich</t>
  </si>
  <si>
    <t>University of California, Santa Barbara</t>
  </si>
  <si>
    <t>University of Sydney</t>
  </si>
  <si>
    <t>Utrecht University</t>
  </si>
  <si>
    <t>Netherlands</t>
  </si>
  <si>
    <t>University of Pittsburgh</t>
  </si>
  <si>
    <t>University of Queensland</t>
  </si>
  <si>
    <t>University of Oslo</t>
  </si>
  <si>
    <t>Norway</t>
  </si>
  <si>
    <t>11.52803643954819</t>
  </si>
  <si>
    <t>Rockefeller University</t>
  </si>
  <si>
    <t>University of S√£o Paulo</t>
  </si>
  <si>
    <t>Brazil</t>
  </si>
  <si>
    <t>Texas A&amp;M University, College Station</t>
  </si>
  <si>
    <t>University of Virginia</t>
  </si>
  <si>
    <t>Emory University</t>
  </si>
  <si>
    <t>Free University of Berlin</t>
  </si>
  <si>
    <t>Australian National University</t>
  </si>
  <si>
    <t>University of Utah</t>
  </si>
  <si>
    <t>Paris Diderot University</t>
  </si>
  <si>
    <t>Tel Aviv University</t>
  </si>
  <si>
    <t>Uppsala University</t>
  </si>
  <si>
    <t>University of Barcelona</t>
  </si>
  <si>
    <t>Spain</t>
  </si>
  <si>
    <t>Aarhus University</t>
  </si>
  <si>
    <t>University of Texas MD Anderson Cancer Center</t>
  </si>
  <si>
    <t>Leiden University</t>
  </si>
  <si>
    <t>Carnegie Mellon University</t>
  </si>
  <si>
    <t>Peking University</t>
  </si>
  <si>
    <t>China</t>
  </si>
  <si>
    <t>University of Helsinki</t>
  </si>
  <si>
    <t>Finland</t>
  </si>
  <si>
    <t>Baylor College of Medicine</t>
  </si>
  <si>
    <t>Lund University</t>
  </si>
  <si>
    <t>University of Alberta</t>
  </si>
  <si>
    <t>Grenoble Alpes University</t>
  </si>
  <si>
    <t>Tsinghua University</t>
  </si>
  <si>
    <t>University of Basel</t>
  </si>
  <si>
    <t>University of Groningen</t>
  </si>
  <si>
    <t>Humboldt University of Berlin</t>
  </si>
  <si>
    <t>√âcole Polytechnique F√©d√©rale de Lausanne</t>
  </si>
  <si>
    <t>National University of Singapore</t>
  </si>
  <si>
    <t>Singapore</t>
  </si>
  <si>
    <t>Ghent University</t>
  </si>
  <si>
    <t>Belgium</t>
  </si>
  <si>
    <t>University of Rochester</t>
  </si>
  <si>
    <t>Erasmus University Rotterdam</t>
  </si>
  <si>
    <t>KU Leuven</t>
  </si>
  <si>
    <t>University of Bern</t>
  </si>
  <si>
    <t>National Taiwan University</t>
  </si>
  <si>
    <t>Taiwan</t>
  </si>
  <si>
    <t>120.83537694479215</t>
  </si>
  <si>
    <t>University of Montreal</t>
  </si>
  <si>
    <t>University of California, Santa Cruz</t>
  </si>
  <si>
    <t>Technical University of Munich</t>
  </si>
  <si>
    <t>Nagoya University</t>
  </si>
  <si>
    <t>Arizona State University</t>
  </si>
  <si>
    <t>University of Bonn</t>
  </si>
  <si>
    <t>√âcole Polytechnique</t>
  </si>
  <si>
    <t>√âcole normale sup√©rieure</t>
  </si>
  <si>
    <t>University of Nottingham</t>
  </si>
  <si>
    <t>University of New South Wales</t>
  </si>
  <si>
    <t>Tohoku University</t>
  </si>
  <si>
    <t>McMaster University</t>
  </si>
  <si>
    <t>Dartmouth College</t>
  </si>
  <si>
    <t>University of Amsterdam</t>
  </si>
  <si>
    <t>Monash University</t>
  </si>
  <si>
    <t>University of Hamburg</t>
  </si>
  <si>
    <t>Moscow State University</t>
  </si>
  <si>
    <t>Russia</t>
  </si>
  <si>
    <t>VU University Amsterdam</t>
  </si>
  <si>
    <t>Stony Brook University</t>
  </si>
  <si>
    <t>Rice University</t>
  </si>
  <si>
    <t>Radboud University Nijmegen</t>
  </si>
  <si>
    <t>Cardiff University</t>
  </si>
  <si>
    <t>University of T√ºbingen</t>
  </si>
  <si>
    <t>University of Colorado Denver | Anschutz Medical Campus</t>
  </si>
  <si>
    <t>University of Iowa</t>
  </si>
  <si>
    <t>University of Strasbourg</t>
  </si>
  <si>
    <t>Shanghai Jiao Tong University</t>
  </si>
  <si>
    <t>University of Southampton</t>
  </si>
  <si>
    <t>Aix-Marseille University</t>
  </si>
  <si>
    <t>Georgia Institute of Technology</t>
  </si>
  <si>
    <t>Tokyo Institute of Technology</t>
  </si>
  <si>
    <t>University of Montpellier</t>
  </si>
  <si>
    <t>Case Western Reserve University</t>
  </si>
  <si>
    <t>Indiana University Bloomington</t>
  </si>
  <si>
    <t>Michigan State University</t>
  </si>
  <si>
    <t>University of Western Australia</t>
  </si>
  <si>
    <t>University of Lausanne</t>
  </si>
  <si>
    <t>Technion ¬ñ Israel Institute of Technology</t>
  </si>
  <si>
    <t>University of Milan</t>
  </si>
  <si>
    <t>Goethe University Frankfurt</t>
  </si>
  <si>
    <t>University of Padua</t>
  </si>
  <si>
    <t>Oregon Health &amp; Science University</t>
  </si>
  <si>
    <t>Autonomous University of Barcelona</t>
  </si>
  <si>
    <t>Icahn School of Medicine at Mount Sinai</t>
  </si>
  <si>
    <t>Tufts University</t>
  </si>
  <si>
    <t>University of G√∂ttingen</t>
  </si>
  <si>
    <t>Royal Institute of Technology</t>
  </si>
  <si>
    <t>Zhejiang University</t>
  </si>
  <si>
    <t>University of Glasgow</t>
  </si>
  <si>
    <t>Stockholm University</t>
  </si>
  <si>
    <t>University of Notre Dame</t>
  </si>
  <si>
    <t>Universit√© catholique de Louvain</t>
  </si>
  <si>
    <t>University of Sheffield</t>
  </si>
  <si>
    <t>University of Warwick</t>
  </si>
  <si>
    <t>University of Leeds</t>
  </si>
  <si>
    <t>University of Freiburg</t>
  </si>
  <si>
    <t>University of Gothenburg</t>
  </si>
  <si>
    <t>North Carolina State University</t>
  </si>
  <si>
    <t>Wageningen University and Research</t>
  </si>
  <si>
    <t>University of Birmingham</t>
  </si>
  <si>
    <t>Fudan University</t>
  </si>
  <si>
    <t>University of Hong Kong</t>
  </si>
  <si>
    <t>Hong Kong</t>
  </si>
  <si>
    <t>University of Vienna</t>
  </si>
  <si>
    <t>Austria</t>
  </si>
  <si>
    <t>Nanyang Technological University</t>
  </si>
  <si>
    <t>Hokkaido University</t>
  </si>
  <si>
    <t>Keio University</t>
  </si>
  <si>
    <t>Universit√© libre de Bruxelles</t>
  </si>
  <si>
    <t>Iowa State University</t>
  </si>
  <si>
    <t>Chinese University of Hong Kong</t>
  </si>
  <si>
    <t>University of Liverpool</t>
  </si>
  <si>
    <t>University of Georgia</t>
  </si>
  <si>
    <t>Paris Descartes University</t>
  </si>
  <si>
    <t>University of Massachusetts Medical School</t>
  </si>
  <si>
    <t>University of Science and Technology, Korea</t>
  </si>
  <si>
    <t>University of Massachusetts Amherst</t>
  </si>
  <si>
    <t>University of Florence</t>
  </si>
  <si>
    <t>University of M√ºnster</t>
  </si>
  <si>
    <t>Queen Mary University of London</t>
  </si>
  <si>
    <t>Newcastle University</t>
  </si>
  <si>
    <t>University of Chinese Academy of Sciences</t>
  </si>
  <si>
    <t>University of Missouri¬ñColumbia</t>
  </si>
  <si>
    <t>University of Alabama at Birmingham</t>
  </si>
  <si>
    <t>Durham University</t>
  </si>
  <si>
    <t>University of Connecticut</t>
  </si>
  <si>
    <t>University of Texas Health Science Center at Houston</t>
  </si>
  <si>
    <t>Yeshiva University</t>
  </si>
  <si>
    <t>University of Calgary</t>
  </si>
  <si>
    <t>University of Miami</t>
  </si>
  <si>
    <t>Western University</t>
  </si>
  <si>
    <t>Paul Sabatier University - Toulouse III</t>
  </si>
  <si>
    <t>Nanjing University</t>
  </si>
  <si>
    <t>University of Bologna</t>
  </si>
  <si>
    <t>Sun Yat-sen University</t>
  </si>
  <si>
    <t>Charles University in Prague</t>
  </si>
  <si>
    <t>Czech Republic</t>
  </si>
  <si>
    <t>University of Cincinnati</t>
  </si>
  <si>
    <t>University of Ottawa</t>
  </si>
  <si>
    <t>University of Li√®ge</t>
  </si>
  <si>
    <t>TU Dresden</t>
  </si>
  <si>
    <t>University of Turin</t>
  </si>
  <si>
    <t>University of Science and Technology of China</t>
  </si>
  <si>
    <t>University of Maryland, Baltimore</t>
  </si>
  <si>
    <t>University of Sussex</t>
  </si>
  <si>
    <t>RWTH Aachen University</t>
  </si>
  <si>
    <t>University of Cologne</t>
  </si>
  <si>
    <t>University of W√ºrzburg</t>
  </si>
  <si>
    <t>Technical University of Denmark</t>
  </si>
  <si>
    <t>University of Erlangen-Nuremberg</t>
  </si>
  <si>
    <t>University of Illinois at Chicago</t>
  </si>
  <si>
    <t>Sungkyunkwan University</t>
  </si>
  <si>
    <t>Louisiana State University</t>
  </si>
  <si>
    <t>University of Lisbon</t>
  </si>
  <si>
    <t>Portugal</t>
  </si>
  <si>
    <t>Claude Bernard University Lyon 1</t>
  </si>
  <si>
    <t>Yonsei University</t>
  </si>
  <si>
    <t>University of Cape Town</t>
  </si>
  <si>
    <t>South Africa</t>
  </si>
  <si>
    <t>University of Kansas</t>
  </si>
  <si>
    <t>University College Dublin</t>
  </si>
  <si>
    <t>Ireland</t>
  </si>
  <si>
    <t>Kyushu University</t>
  </si>
  <si>
    <t>University of Porto</t>
  </si>
  <si>
    <t>Trinity College, Dublin</t>
  </si>
  <si>
    <t>University of Adelaide</t>
  </si>
  <si>
    <t>University of the Witwatersrand</t>
  </si>
  <si>
    <t>University of Manitoba</t>
  </si>
  <si>
    <t>Karlsruhe Institute of Technology</t>
  </si>
  <si>
    <t>University of Kiel</t>
  </si>
  <si>
    <t>Johannes Gutenberg University Mainz</t>
  </si>
  <si>
    <t>Indiana University ¬ñ Purdue University Indianapolis</t>
  </si>
  <si>
    <t>University of Auckland</t>
  </si>
  <si>
    <t>New Zealand</t>
  </si>
  <si>
    <t>Korea University</t>
  </si>
  <si>
    <t>University of Tsukuba</t>
  </si>
  <si>
    <t>Wake Forest University</t>
  </si>
  <si>
    <t>Ulm University</t>
  </si>
  <si>
    <t>Queensland University of Technology</t>
  </si>
  <si>
    <t>University of Lille</t>
  </si>
  <si>
    <t>University of Aberdeen</t>
  </si>
  <si>
    <t>Colorado State University</t>
  </si>
  <si>
    <t>University of California, Riverside</t>
  </si>
  <si>
    <t>Virginia Commonwealth University</t>
  </si>
  <si>
    <t>University of Naples Federico II</t>
  </si>
  <si>
    <t>Florida State University</t>
  </si>
  <si>
    <t>Maastricht University</t>
  </si>
  <si>
    <t>Brandeis University</t>
  </si>
  <si>
    <t>Oregon State University</t>
  </si>
  <si>
    <t>University of Bergen</t>
  </si>
  <si>
    <t>Wayne State University</t>
  </si>
  <si>
    <t>University of Tennessee, Knoxville</t>
  </si>
  <si>
    <t>Ume√• University</t>
  </si>
  <si>
    <t>London School of Hygiene &amp; Tropical Medicine</t>
  </si>
  <si>
    <t>University of New Mexico</t>
  </si>
  <si>
    <t>National Autonomous University of Mexico</t>
  </si>
  <si>
    <t>Mexico</t>
  </si>
  <si>
    <t>University of Kentucky</t>
  </si>
  <si>
    <t>University of Warsaw</t>
  </si>
  <si>
    <t>Poland</t>
  </si>
  <si>
    <t>Queen's University</t>
  </si>
  <si>
    <t>University of South Florida</t>
  </si>
  <si>
    <t>Norwegian University of Science and Technology</t>
  </si>
  <si>
    <t>Complutense University of Madrid</t>
  </si>
  <si>
    <t>Xi'an Jiaotong University</t>
  </si>
  <si>
    <t>University of Leicester</t>
  </si>
  <si>
    <t>Medical University of Vienna</t>
  </si>
  <si>
    <t>University of Waterloo</t>
  </si>
  <si>
    <t>Laval University</t>
  </si>
  <si>
    <t>Shandong University</t>
  </si>
  <si>
    <t>University of Valencia</t>
  </si>
  <si>
    <t>University of East Anglia</t>
  </si>
  <si>
    <t>University at Buffalo</t>
  </si>
  <si>
    <t>London School of Economics</t>
  </si>
  <si>
    <t>Virginia Tech</t>
  </si>
  <si>
    <t>Huazhong University of Science and Technology</t>
  </si>
  <si>
    <t>Washington State University</t>
  </si>
  <si>
    <t>Dalhousie University</t>
  </si>
  <si>
    <t>University of York</t>
  </si>
  <si>
    <t>Autonomous University of Madrid</t>
  </si>
  <si>
    <t>University of Exeter</t>
  </si>
  <si>
    <t>University of South Carolina - Columbia</t>
  </si>
  <si>
    <t>University of Rome Tor Vergata</t>
  </si>
  <si>
    <t>Delft University of Technology</t>
  </si>
  <si>
    <t>University of Pisa</t>
  </si>
  <si>
    <t>Kobe University</t>
  </si>
  <si>
    <t>Leipzig University</t>
  </si>
  <si>
    <t>University of Delaware</t>
  </si>
  <si>
    <t>Georgetown University</t>
  </si>
  <si>
    <t>University of Duisburg-Essen</t>
  </si>
  <si>
    <t>Ruhr University Bochum</t>
  </si>
  <si>
    <t>University of Antwerp</t>
  </si>
  <si>
    <t>University of Buenos Aires</t>
  </si>
  <si>
    <t>Argentina</t>
  </si>
  <si>
    <t>University of D√ºsseldorf</t>
  </si>
  <si>
    <t>KAIST</t>
  </si>
  <si>
    <t>Sichuan University</t>
  </si>
  <si>
    <t>National Cheng Kung University</t>
  </si>
  <si>
    <t>Federal University of Rio de Janeiro</t>
  </si>
  <si>
    <t>University of Houston</t>
  </si>
  <si>
    <t>Harbin Institute of Technology</t>
  </si>
  <si>
    <t>University of Innsbruck</t>
  </si>
  <si>
    <t>Chinese Academy of Medical Sciences &amp; Peking Union Medical College</t>
  </si>
  <si>
    <t>Waseda University</t>
  </si>
  <si>
    <t>University of Texas at Dallas</t>
  </si>
  <si>
    <t>National and Kapodistrian University of Athens</t>
  </si>
  <si>
    <t>Greece</t>
  </si>
  <si>
    <t>University of Hawaii at Manoa</t>
  </si>
  <si>
    <t>University of Lorraine</t>
  </si>
  <si>
    <t>George Washington University</t>
  </si>
  <si>
    <t>University of Otago</t>
  </si>
  <si>
    <t>Versailles Saint-Quentin-en-Yvelines University</t>
  </si>
  <si>
    <t>Simon Fraser University</t>
  </si>
  <si>
    <t>Tongji University</t>
  </si>
  <si>
    <t>University of Nebraska¬ñLincoln</t>
  </si>
  <si>
    <t>University of Perugia</t>
  </si>
  <si>
    <t>Queen's University Belfast</t>
  </si>
  <si>
    <t>University of Texas Health Science Center at San Antonio</t>
  </si>
  <si>
    <t>University of Jena</t>
  </si>
  <si>
    <t>University of Granada</t>
  </si>
  <si>
    <t>South China University of Technology</t>
  </si>
  <si>
    <t>University of Dundee</t>
  </si>
  <si>
    <t>Vrije Universiteit Brussel</t>
  </si>
  <si>
    <t>George Mason University</t>
  </si>
  <si>
    <t>King Abdulaziz University</t>
  </si>
  <si>
    <t>Saudi Arabia</t>
  </si>
  <si>
    <t>Macquarie University</t>
  </si>
  <si>
    <t>Pontifical Catholic University of Chile</t>
  </si>
  <si>
    <t>Chile</t>
  </si>
  <si>
    <t>University of Guelph</t>
  </si>
  <si>
    <t>University of Regensburg</t>
  </si>
  <si>
    <t>Central South University</t>
  </si>
  <si>
    <t>Grenoble Institute of Technology</t>
  </si>
  <si>
    <t>Thomas Jefferson University</t>
  </si>
  <si>
    <t>Mines ParisTech</t>
  </si>
  <si>
    <t>University of St Andrews</t>
  </si>
  <si>
    <t>Medical University of South Carolina</t>
  </si>
  <si>
    <t>Jilin University</t>
  </si>
  <si>
    <t>Wuhan University</t>
  </si>
  <si>
    <t>Hanyang University</t>
  </si>
  <si>
    <t>Nankai University</t>
  </si>
  <si>
    <t>University of Southern Denmark</t>
  </si>
  <si>
    <t>University of Turku</t>
  </si>
  <si>
    <t>Hong Kong University of Science and Technology</t>
  </si>
  <si>
    <t>Temple University</t>
  </si>
  <si>
    <t>Hong Kong Polytechnic University</t>
  </si>
  <si>
    <t>University of Belgrade</t>
  </si>
  <si>
    <t>Serbia</t>
  </si>
  <si>
    <t>44.024322850000004</t>
  </si>
  <si>
    <t>21.07657433209902</t>
  </si>
  <si>
    <t>Northeastern University</t>
  </si>
  <si>
    <t>University of Stuttgart</t>
  </si>
  <si>
    <t>Dalian University of Technology</t>
  </si>
  <si>
    <t>Tianjin University</t>
  </si>
  <si>
    <t>Pohang University of Science and Technology</t>
  </si>
  <si>
    <t>University of Genoa</t>
  </si>
  <si>
    <t>Hannover Medical School</t>
  </si>
  <si>
    <t>Griffith University</t>
  </si>
  <si>
    <t>University at Albany, SUNY</t>
  </si>
  <si>
    <t>University of Giessen</t>
  </si>
  <si>
    <t>Drexel University</t>
  </si>
  <si>
    <t>Aalto University</t>
  </si>
  <si>
    <t>Pompeu Fabra University</t>
  </si>
  <si>
    <t>Link√∂ping University</t>
  </si>
  <si>
    <t>City University of Hong Kong</t>
  </si>
  <si>
    <t>University of the Basque Country</t>
  </si>
  <si>
    <t>University of Campinas</t>
  </si>
  <si>
    <t>Soochow University, China</t>
  </si>
  <si>
    <t>Kansas State University</t>
  </si>
  <si>
    <t>University of Victoria</t>
  </si>
  <si>
    <t>Polytechnic University of Milan</t>
  </si>
  <si>
    <t>University of Oulu</t>
  </si>
  <si>
    <t>University of Pavia</t>
  </si>
  <si>
    <t>Southeast University</t>
  </si>
  <si>
    <t>Swedish University of Agricultural Sciences</t>
  </si>
  <si>
    <t>Xiamen University</t>
  </si>
  <si>
    <t>University of Ljubljana</t>
  </si>
  <si>
    <t>Slovenia</t>
  </si>
  <si>
    <t>Islamic Azad University</t>
  </si>
  <si>
    <t>Iran</t>
  </si>
  <si>
    <t>UNESP, S√£o Paulo State University</t>
  </si>
  <si>
    <t>University of New Hampshire</t>
  </si>
  <si>
    <t>Medical College of Wisconsin</t>
  </si>
  <si>
    <t>Aristotle University of Thessaloniki</t>
  </si>
  <si>
    <t>University of Vermont</t>
  </si>
  <si>
    <t>Hiroshima University</t>
  </si>
  <si>
    <t>National Tsing Hua University</t>
  </si>
  <si>
    <t>Eindhoven University of Technology</t>
  </si>
  <si>
    <t>University of Marburg</t>
  </si>
  <si>
    <t>Jagiellonian University</t>
  </si>
  <si>
    <t>Pusan National University</t>
  </si>
  <si>
    <t>Beijing Normal University</t>
  </si>
  <si>
    <t>University of Chile</t>
  </si>
  <si>
    <t>Kyung Hee University</t>
  </si>
  <si>
    <t>Lancaster University</t>
  </si>
  <si>
    <t>Deakin University</t>
  </si>
  <si>
    <t>York University</t>
  </si>
  <si>
    <t>Okayama University</t>
  </si>
  <si>
    <t>James Cook University</t>
  </si>
  <si>
    <t>University of Bath</t>
  </si>
  <si>
    <t>University of Trieste</t>
  </si>
  <si>
    <t>University of Oklahoma, Norman</t>
  </si>
  <si>
    <t>Ben-Gurion University of the Negev</t>
  </si>
  <si>
    <t>University of Twente</t>
  </si>
  <si>
    <t>China Agricultural University</t>
  </si>
  <si>
    <t>University of Wollongong</t>
  </si>
  <si>
    <t>Federal University of Rio Grande do Sul</t>
  </si>
  <si>
    <t>University of Tasmania</t>
  </si>
  <si>
    <t>Curtin University</t>
  </si>
  <si>
    <t>TU Wien</t>
  </si>
  <si>
    <t>University of KwaZulu-Natal</t>
  </si>
  <si>
    <t>University of Coimbra</t>
  </si>
  <si>
    <t>University of Milano-Bicocca</t>
  </si>
  <si>
    <t>University of Louisville</t>
  </si>
  <si>
    <t>Federal University of Minas Gerais</t>
  </si>
  <si>
    <t>University of Reading</t>
  </si>
  <si>
    <t>Kyungpook National University</t>
  </si>
  <si>
    <t>University of Rennes 1</t>
  </si>
  <si>
    <t>Technical University of Berlin</t>
  </si>
  <si>
    <t>University of Saskatchewan</t>
  </si>
  <si>
    <t>Martin Luther University of Halle-Wittenberg</t>
  </si>
  <si>
    <t>E√∂tv√∂s Lor√°nd University</t>
  </si>
  <si>
    <t>Hungary</t>
  </si>
  <si>
    <t>University of Seville</t>
  </si>
  <si>
    <t>Polytechnic University of Catalonia</t>
  </si>
  <si>
    <t>Catholic University of the Sacred Heart</t>
  </si>
  <si>
    <t>University of Konstanz</t>
  </si>
  <si>
    <t>University of Eastern Finland</t>
  </si>
  <si>
    <t>√âcole normale sup√©rieure de Lyon</t>
  </si>
  <si>
    <t>Indian Institute of Science</t>
  </si>
  <si>
    <t>India</t>
  </si>
  <si>
    <t>King Saud University</t>
  </si>
  <si>
    <t>Scuola Normale Superiore</t>
  </si>
  <si>
    <t>University of Bremen</t>
  </si>
  <si>
    <t>University of Strathclyde</t>
  </si>
  <si>
    <t>University of Newcastle</t>
  </si>
  <si>
    <t>University of Santiago de Compostela</t>
  </si>
  <si>
    <t>National Chiao Tung University</t>
  </si>
  <si>
    <t>University of Oregon</t>
  </si>
  <si>
    <t>Tulane University</t>
  </si>
  <si>
    <t>Rensselaer Polytechnic Institute</t>
  </si>
  <si>
    <t>University of Bari</t>
  </si>
  <si>
    <t>Chonnam National University</t>
  </si>
  <si>
    <t>Capital Medical University</t>
  </si>
  <si>
    <t>King Abdullah University of Science and Technology</t>
  </si>
  <si>
    <t>Rush University</t>
  </si>
  <si>
    <t>INSEAD</t>
  </si>
  <si>
    <t>Texas Tech University</t>
  </si>
  <si>
    <t>University of Pretoria</t>
  </si>
  <si>
    <t>New University of Lisbon</t>
  </si>
  <si>
    <t>University of Oviedo</t>
  </si>
  <si>
    <t>Saint Louis University</t>
  </si>
  <si>
    <t>Federal University of S√£o Paulo</t>
  </si>
  <si>
    <t>Vita-Salute San Raffaele University</t>
  </si>
  <si>
    <t>University of Ulsan</t>
  </si>
  <si>
    <t>University of Siena</t>
  </si>
  <si>
    <t>University of La Laguna</t>
  </si>
  <si>
    <t>University of Nice Sophia Antipolis</t>
  </si>
  <si>
    <t>Stellenbosch University</t>
  </si>
  <si>
    <t>University of Zaragoza</t>
  </si>
  <si>
    <t>University of Canterbury</t>
  </si>
  <si>
    <t>University of Malaya</t>
  </si>
  <si>
    <t>Malaysia</t>
  </si>
  <si>
    <t>Cairo University</t>
  </si>
  <si>
    <t>Egypt</t>
  </si>
  <si>
    <t>Aalborg University</t>
  </si>
  <si>
    <t>University of Bordeaux</t>
  </si>
  <si>
    <t>University of Central Florida</t>
  </si>
  <si>
    <t>University of Ferrara</t>
  </si>
  <si>
    <t>TU Darmstadt</t>
  </si>
  <si>
    <t>University of Savoy</t>
  </si>
  <si>
    <t>University of Mississippi</t>
  </si>
  <si>
    <t>Lanzhou University</t>
  </si>
  <si>
    <t>University of Tehran</t>
  </si>
  <si>
    <t>University of Modena and Reggio Emilia</t>
  </si>
  <si>
    <t>University of Zagreb</t>
  </si>
  <si>
    <t>Croatia</t>
  </si>
  <si>
    <t>Chalmers University of Technology</t>
  </si>
  <si>
    <t>China University of Geosciences</t>
  </si>
  <si>
    <t>Medical University of Innsbruck</t>
  </si>
  <si>
    <t>National Yang-Ming University</t>
  </si>
  <si>
    <t>University of Sherbrooke</t>
  </si>
  <si>
    <t>University of Texas Medical Branch</t>
  </si>
  <si>
    <t>University of Verona</t>
  </si>
  <si>
    <t>Mahidol University</t>
  </si>
  <si>
    <t>Thailand</t>
  </si>
  <si>
    <t>101.70017611907599</t>
  </si>
  <si>
    <t>Polytechnic University of Valencia</t>
  </si>
  <si>
    <t>University College Cork</t>
  </si>
  <si>
    <t>University of Hanover</t>
  </si>
  <si>
    <t>University of Parma</t>
  </si>
  <si>
    <t>University of Iceland</t>
  </si>
  <si>
    <t>Iceland</t>
  </si>
  <si>
    <t>University of Bayreuth</t>
  </si>
  <si>
    <t>West Virginia University</t>
  </si>
  <si>
    <t>University of Trento</t>
  </si>
  <si>
    <t>Georgia State University</t>
  </si>
  <si>
    <t>Southern Methodist University</t>
  </si>
  <si>
    <t>Chiba University</t>
  </si>
  <si>
    <t>University of Nebraska Medical Center</t>
  </si>
  <si>
    <t>University of Electronic Science and Technology of China</t>
  </si>
  <si>
    <t>Beihang University</t>
  </si>
  <si>
    <t>San Diego State University</t>
  </si>
  <si>
    <t>AgroParisTech</t>
  </si>
  <si>
    <t>Chulalongkorn University</t>
  </si>
  <si>
    <t>University of Troms√∏ ¬ñ The Arctic University of Norway</t>
  </si>
  <si>
    <t>University of Tartu</t>
  </si>
  <si>
    <t>Estonia</t>
  </si>
  <si>
    <t>University of Alabama - Tuscaloosa</t>
  </si>
  <si>
    <t>Bar-Ilan University</t>
  </si>
  <si>
    <t>Flinders University</t>
  </si>
  <si>
    <t>Saarland University</t>
  </si>
  <si>
    <t>Clemson University</t>
  </si>
  <si>
    <t>Hunan University</t>
  </si>
  <si>
    <t>East China University of Science and Technology</t>
  </si>
  <si>
    <t>Open University, UK</t>
  </si>
  <si>
    <t>University of Wyoming</t>
  </si>
  <si>
    <t>Lehigh University</t>
  </si>
  <si>
    <t>National Central University</t>
  </si>
  <si>
    <t>Tilburg University</t>
  </si>
  <si>
    <t>University of Science and Technology Beijing</t>
  </si>
  <si>
    <t>University of Surrey</t>
  </si>
  <si>
    <t>Tokyo Medical and Dental University</t>
  </si>
  <si>
    <t>Paris Dauphine University</t>
  </si>
  <si>
    <t>University of Potsdam</t>
  </si>
  <si>
    <t>Brigham Young University</t>
  </si>
  <si>
    <t>University of Palermo</t>
  </si>
  <si>
    <t>Chang Gung University</t>
  </si>
  <si>
    <t>University of Catania</t>
  </si>
  <si>
    <t>Boston College</t>
  </si>
  <si>
    <t>University of Nantes</t>
  </si>
  <si>
    <t>University of Tampere</t>
  </si>
  <si>
    <t>Beijing Institute of Technology</t>
  </si>
  <si>
    <t>University of Poitiers</t>
  </si>
  <si>
    <t>Utah State University</t>
  </si>
  <si>
    <t>NUI Galway</t>
  </si>
  <si>
    <t>Tata Institute of Fundamental Research</t>
  </si>
  <si>
    <t>University of Burgundy</t>
  </si>
  <si>
    <t>National Chung Hsing University</t>
  </si>
  <si>
    <t>University of Minho</t>
  </si>
  <si>
    <t>University of Hull</t>
  </si>
  <si>
    <t>St George's, University of London</t>
  </si>
  <si>
    <t>Hacettepe University</t>
  </si>
  <si>
    <t>Turkey</t>
  </si>
  <si>
    <t>Loyola University Chicago</t>
  </si>
  <si>
    <t>Oklahoma State University</t>
  </si>
  <si>
    <t>Colorado School of Mines</t>
  </si>
  <si>
    <t>Swansea University</t>
  </si>
  <si>
    <t>National Polytechnic Institute of Toulouse</t>
  </si>
  <si>
    <t>Massey University</t>
  </si>
  <si>
    <t>Florida International University</t>
  </si>
  <si>
    <t>East China Normal University</t>
  </si>
  <si>
    <t>La Trobe University</t>
  </si>
  <si>
    <t>Chongqing University</t>
  </si>
  <si>
    <t>Shanghai University</t>
  </si>
  <si>
    <t>University of Plymouth</t>
  </si>
  <si>
    <t>Ewha Womans University</t>
  </si>
  <si>
    <t>Technical University of Dortmund</t>
  </si>
  <si>
    <t>Royal Holloway, University of London</t>
  </si>
  <si>
    <t>Saint Petersburg State University</t>
  </si>
  <si>
    <t>Bielefeld University</t>
  </si>
  <si>
    <t>Northwestern Polytechnical University</t>
  </si>
  <si>
    <t>Konkuk University</t>
  </si>
  <si>
    <t>National University of La Plata</t>
  </si>
  <si>
    <t>Auburn University</t>
  </si>
  <si>
    <t>Tehran University of Medical Sciences</t>
  </si>
  <si>
    <t>China Medical University, Taiwan</t>
  </si>
  <si>
    <t>Nanjing Agricultural University</t>
  </si>
  <si>
    <t>University of Maine, Orono</t>
  </si>
  <si>
    <t>University of Aveiro</t>
  </si>
  <si>
    <t>Catholic University of Korea</t>
  </si>
  <si>
    <t>University of Salamanca</t>
  </si>
  <si>
    <t>Second Military Medical University</t>
  </si>
  <si>
    <t>Syracuse University</t>
  </si>
  <si>
    <t>Moscow Institute of Physics and Technology</t>
  </si>
  <si>
    <t>Carleton University</t>
  </si>
  <si>
    <t>University of Texas at Arlington</t>
  </si>
  <si>
    <t>National Polytechnic Institute</t>
  </si>
  <si>
    <t>Istanbul University</t>
  </si>
  <si>
    <t>Kanazawa University</t>
  </si>
  <si>
    <t>University of Technology Sydney</t>
  </si>
  <si>
    <t>University of Alaska Fairbanks</t>
  </si>
  <si>
    <t>Western Sydney University</t>
  </si>
  <si>
    <t>Birkbeck, University of London</t>
  </si>
  <si>
    <t>University of Science, Malaysia</t>
  </si>
  <si>
    <t>University of Arkansas - Fayetteville</t>
  </si>
  <si>
    <t>Baylor University</t>
  </si>
  <si>
    <t>University of Oklahoma Health Sciences Center</t>
  </si>
  <si>
    <t>University of South Australia</t>
  </si>
  <si>
    <t>Masaryk University</t>
  </si>
  <si>
    <t>University of Wisconsin¬ñMilwaukee</t>
  </si>
  <si>
    <t>Polytechnic University of Madrid</t>
  </si>
  <si>
    <t>University of Rostock</t>
  </si>
  <si>
    <t>Victoria University of Wellington</t>
  </si>
  <si>
    <t>Warsaw University of Technology</t>
  </si>
  <si>
    <t>Nanjing Medical University</t>
  </si>
  <si>
    <t>Montana State University - Bozeman</t>
  </si>
  <si>
    <t>Memorial University of Newfoundland</t>
  </si>
  <si>
    <t>Chonbuk National University</t>
  </si>
  <si>
    <t>Tokyo Metropolitan University</t>
  </si>
  <si>
    <t>College of William &amp; Mary</t>
  </si>
  <si>
    <t>Braunschweig University of Technology</t>
  </si>
  <si>
    <t>University of Qu√©bec at Montreal</t>
  </si>
  <si>
    <t>CINVESTAV</t>
  </si>
  <si>
    <t>CentraleSup√©lec</t>
  </si>
  <si>
    <t>Nanjing University of Science and Technology</t>
  </si>
  <si>
    <t>Huazhong Agricultural University</t>
  </si>
  <si>
    <t>HEC Paris</t>
  </si>
  <si>
    <t>Zhengzhou University</t>
  </si>
  <si>
    <t>SUNY Downstate Medical Center</t>
  </si>
  <si>
    <t>Sharif University of Technology</t>
  </si>
  <si>
    <t>National Sun Yat-sen University</t>
  </si>
  <si>
    <t>University of Clermont Auvergne</t>
  </si>
  <si>
    <t>Novosibirsk State University</t>
  </si>
  <si>
    <t>Middle East Technical University</t>
  </si>
  <si>
    <t>Yokohama City University</t>
  </si>
  <si>
    <t>Beijing University of Chemical Technology</t>
  </si>
  <si>
    <t>University of Nevada, Reno</t>
  </si>
  <si>
    <t>Otto von Guericke University Magdeburg</t>
  </si>
  <si>
    <t>Kitasato University</t>
  </si>
  <si>
    <t>University of Montana - Missoula</t>
  </si>
  <si>
    <t>University of Jyv√§skyl√§</t>
  </si>
  <si>
    <t>University of Arkansas for Medical Sciences</t>
  </si>
  <si>
    <t>University of Crete</t>
  </si>
  <si>
    <t>University of L√ºbeck</t>
  </si>
  <si>
    <t>Chungnam National University</t>
  </si>
  <si>
    <t>Chung-Ang University</t>
  </si>
  <si>
    <t>Inha University</t>
  </si>
  <si>
    <t>Palack√Ω University Olomouc</t>
  </si>
  <si>
    <t>University of Salerno</t>
  </si>
  <si>
    <t>Loughborough University</t>
  </si>
  <si>
    <t>Medical University of Graz</t>
  </si>
  <si>
    <t>Polytechnic University of Turin</t>
  </si>
  <si>
    <t>Indian Institute of Technology Bombay</t>
  </si>
  <si>
    <t>Ege University</t>
  </si>
  <si>
    <t>Shinshu University</t>
  </si>
  <si>
    <t>Niigata University</t>
  </si>
  <si>
    <t>University of Kent</t>
  </si>
  <si>
    <t>University of Haifa</t>
  </si>
  <si>
    <t>University of Cantabria</t>
  </si>
  <si>
    <t>University of Cagliari</t>
  </si>
  <si>
    <t>University of Tennessee Health Science Center</t>
  </si>
  <si>
    <t>Kangwon National University</t>
  </si>
  <si>
    <t>Ankara University</t>
  </si>
  <si>
    <t>Southern Medical University</t>
  </si>
  <si>
    <t>National Technical University of Athens</t>
  </si>
  <si>
    <t>Kumamoto University</t>
  </si>
  <si>
    <t>Nagasaki University</t>
  </si>
  <si>
    <t>University of Udine</t>
  </si>
  <si>
    <t>University of Greifswald</t>
  </si>
  <si>
    <t>Fourth Military Medical University</t>
  </si>
  <si>
    <t>AGH University of Science and Technology</t>
  </si>
  <si>
    <t>RMIT University</t>
  </si>
  <si>
    <t>China University of Petroleum</t>
  </si>
  <si>
    <t>Nanjing University of Aeronautics and Astronautics</t>
  </si>
  <si>
    <t>√âcole nationale d'administration</t>
  </si>
  <si>
    <t>Mississippi State University</t>
  </si>
  <si>
    <t>University of Maryland, Baltimore County</t>
  </si>
  <si>
    <t>University of Murcia</t>
  </si>
  <si>
    <t>Augusta University</t>
  </si>
  <si>
    <t>Isfahan University of Technology</t>
  </si>
  <si>
    <t>Swinburne University of Technology</t>
  </si>
  <si>
    <t>Stockholm School of Economics</t>
  </si>
  <si>
    <t>Northwest A&amp;F University</t>
  </si>
  <si>
    <t>Wuhan University of Technology</t>
  </si>
  <si>
    <t>University of Graz</t>
  </si>
  <si>
    <t>Istanbul Technical University</t>
  </si>
  <si>
    <t>University of Texas at San Antonio</t>
  </si>
  <si>
    <t>International School for Advanced Studies</t>
  </si>
  <si>
    <t>Indian Institute of Technology Madras</t>
  </si>
  <si>
    <t>ESPCI Paris</t>
  </si>
  <si>
    <t>University of Navarra</t>
  </si>
  <si>
    <t>Taipei Medical University</t>
  </si>
  <si>
    <t>Kaohsiung Medical University</t>
  </si>
  <si>
    <t>√âcole normale sup√©rieure Paris-Saclay</t>
  </si>
  <si>
    <t>Southwest University</t>
  </si>
  <si>
    <t>Semmelweis University</t>
  </si>
  <si>
    <t>Rio de Janeiro State University</t>
  </si>
  <si>
    <t>Gwangju Institute of Science and Technology</t>
  </si>
  <si>
    <t>University of Calabria</t>
  </si>
  <si>
    <t>University of C√≥rdoba, Spain</t>
  </si>
  <si>
    <t>University of Campania Luigi Vanvitelli</t>
  </si>
  <si>
    <t>Rovira i Virgili University</t>
  </si>
  <si>
    <t>University of Idaho</t>
  </si>
  <si>
    <t>University of Louisiana at Lafayette</t>
  </si>
  <si>
    <t>Czech Technical University in Prague</t>
  </si>
  <si>
    <t>University of Franche-Comt√©</t>
  </si>
  <si>
    <t>Rutgers University¬ñNewark</t>
  </si>
  <si>
    <t>University of Patras</t>
  </si>
  <si>
    <t>Indian Institute of Technology Delhi</t>
  </si>
  <si>
    <t>Fuzhou University</t>
  </si>
  <si>
    <t>Comenius University in Bratislava</t>
  </si>
  <si>
    <t>Slovak Republic</t>
  </si>
  <si>
    <t>Brunel University London</t>
  </si>
  <si>
    <t>Osaka City University</t>
  </si>
  <si>
    <t>Indian Institute of Technology Kharagpur</t>
  </si>
  <si>
    <t>University of Akron</t>
  </si>
  <si>
    <t>Kindai University</t>
  </si>
  <si>
    <t>Gazi University</t>
  </si>
  <si>
    <t>Jiangnan University</t>
  </si>
  <si>
    <t>University of Rhode Island</t>
  </si>
  <si>
    <t>University of North Texas, Denton</t>
  </si>
  <si>
    <t>University of M√°laga</t>
  </si>
  <si>
    <t>INSA Lyon</t>
  </si>
  <si>
    <t>Shenzhen University</t>
  </si>
  <si>
    <t>University of Eastern Piedmont</t>
  </si>
  <si>
    <t>Kent State University</t>
  </si>
  <si>
    <t>Army Medical University</t>
  </si>
  <si>
    <t>Amirkabir University of Technology</t>
  </si>
  <si>
    <t>Gyeongsang National University</t>
  </si>
  <si>
    <t>Jinan University</t>
  </si>
  <si>
    <t>Northwest University, China</t>
  </si>
  <si>
    <t>Central China Normal University</t>
  </si>
  <si>
    <t>Federal University of Santa Catarina</t>
  </si>
  <si>
    <t>Liverpool John Moores University</t>
  </si>
  <si>
    <t>University of Debrecen</t>
  </si>
  <si>
    <t>Ocean University of China</t>
  </si>
  <si>
    <t>Nihon University</t>
  </si>
  <si>
    <t>Roma Tre University</t>
  </si>
  <si>
    <t>Ajou University</t>
  </si>
  <si>
    <t>Juntendo University</t>
  </si>
  <si>
    <t>Tianjin Medical University</t>
  </si>
  <si>
    <t>University of Brescia</t>
  </si>
  <si>
    <t>University of Castilla-La Mancha</t>
  </si>
  <si>
    <t>Donghua University</t>
  </si>
  <si>
    <t>City College of New York</t>
  </si>
  <si>
    <t>Northeastern University, China</t>
  </si>
  <si>
    <t>University of Girona</t>
  </si>
  <si>
    <t>Federal University of Paran√°</t>
  </si>
  <si>
    <t>University of Portsmouth</t>
  </si>
  <si>
    <t>University of Fribourg</t>
  </si>
  <si>
    <t>University of Ioannina</t>
  </si>
  <si>
    <t>Norwegian University of Life Sciences</t>
  </si>
  <si>
    <t>Keele University</t>
  </si>
  <si>
    <t>Ain Shams University</t>
  </si>
  <si>
    <t>Paul Val√©ry University, Montpellier III</t>
  </si>
  <si>
    <t>Carl von Ossietzky University of Oldenburg</t>
  </si>
  <si>
    <t>Graz University of Technology</t>
  </si>
  <si>
    <t>Concordia University</t>
  </si>
  <si>
    <t>Graduate University for Advanced Studies</t>
  </si>
  <si>
    <t>Nanjing Tech University</t>
  </si>
  <si>
    <t>Xidian University</t>
  </si>
  <si>
    <t>Tokyo University of Science</t>
  </si>
  <si>
    <t>Jiangsu University</t>
  </si>
  <si>
    <t>University of the Republic, Uruguay</t>
  </si>
  <si>
    <t>Uruguay</t>
  </si>
  <si>
    <t>University of Delhi</t>
  </si>
  <si>
    <t>Northern Illinois University</t>
  </si>
  <si>
    <t>University of Angers</t>
  </si>
  <si>
    <t>University of Missouri¬ñKansas City</t>
  </si>
  <si>
    <t>√ñrebro University</t>
  </si>
  <si>
    <t>University of Vigo</t>
  </si>
  <si>
    <t>All India Institute of Medical Sciences, Delhi</t>
  </si>
  <si>
    <t>National Research Nuclear University MEPhI</t>
  </si>
  <si>
    <t>University of Salento</t>
  </si>
  <si>
    <t>South China Normal University</t>
  </si>
  <si>
    <t>√âcole pratique des hautes √©tudes</t>
  </si>
  <si>
    <t>University of Bras√≠lia</t>
  </si>
  <si>
    <t>Bangor University</t>
  </si>
  <si>
    <t>Federal University of Vi√ßosa</t>
  </si>
  <si>
    <t>Bo?azi√ßi University</t>
  </si>
  <si>
    <t>Adam Mickiewicz University in Pozna?</t>
  </si>
  <si>
    <t>Putra University, Malaysia</t>
  </si>
  <si>
    <t>Southern Illinois University Carbondale</t>
  </si>
  <si>
    <t>Hong Kong Baptist University</t>
  </si>
  <si>
    <t>Nanjing Normal University</t>
  </si>
  <si>
    <t>University of Nevada, Las Vegas</t>
  </si>
  <si>
    <t>Ehime University</t>
  </si>
  <si>
    <t>Vilnius University</t>
  </si>
  <si>
    <t>Lithuania</t>
  </si>
  <si>
    <t>University of Messina</t>
  </si>
  <si>
    <t>Illinois Institute of Technology</t>
  </si>
  <si>
    <t>Miami University</t>
  </si>
  <si>
    <t>University Paris-Est Cr√©teil</t>
  </si>
  <si>
    <t>University of Natural Resources and Life Sciences, Vienna</t>
  </si>
  <si>
    <t>National University of Defense Technology</t>
  </si>
  <si>
    <t>Jean Monnet University</t>
  </si>
  <si>
    <t>Tarbiat Modares University</t>
  </si>
  <si>
    <t>Old Dominion University</t>
  </si>
  <si>
    <t>University of Szeged</t>
  </si>
  <si>
    <t>University of Texas Rio Grande Valley</t>
  </si>
  <si>
    <t>Iran University of Science and Technology</t>
  </si>
  <si>
    <t>Jadavpur University</t>
  </si>
  <si>
    <t>National University of C√≥rdoba</t>
  </si>
  <si>
    <t>Harbin Medical University</t>
  </si>
  <si>
    <t>Heriot-Watt University</t>
  </si>
  <si>
    <t>University of Toledo</t>
  </si>
  <si>
    <t>National University of Colombia</t>
  </si>
  <si>
    <t>Colombia</t>
  </si>
  <si>
    <t>University of Alicante</t>
  </si>
  <si>
    <t>University of Essex</t>
  </si>
  <si>
    <t>University of L'Aquila</t>
  </si>
  <si>
    <t>New Mexico State University</t>
  </si>
  <si>
    <t>Makerere University</t>
  </si>
  <si>
    <t>Uganda</t>
  </si>
  <si>
    <t>University of Split</t>
  </si>
  <si>
    <t>University of North Carolina at Charlotte</t>
  </si>
  <si>
    <t>Banaras Hindu University</t>
  </si>
  <si>
    <t>Ulsan National Institute of Science and Technology</t>
  </si>
  <si>
    <t>University of Wroc?aw</t>
  </si>
  <si>
    <t>University of Stirling</t>
  </si>
  <si>
    <t>Nanchang University</t>
  </si>
  <si>
    <t>University of Hohenheim</t>
  </si>
  <si>
    <t>√âcole des ponts ParisTech</t>
  </si>
  <si>
    <t>Jawaharlal Nehru Centre for Advanced Scientific Research</t>
  </si>
  <si>
    <t>University of Kaiserslautern</t>
  </si>
  <si>
    <t>American University of Beirut</t>
  </si>
  <si>
    <t>Lebanon</t>
  </si>
  <si>
    <t>King Fahd University of Petroleum and Minerals</t>
  </si>
  <si>
    <t>China Medical University, PRC</t>
  </si>
  <si>
    <t>Paris 13 University</t>
  </si>
  <si>
    <t>Tampere University of Technology</t>
  </si>
  <si>
    <t>Tokyo University of Agriculture and Technology</t>
  </si>
  <si>
    <t>Bilkent University</t>
  </si>
  <si>
    <t>University of Johannesburg</t>
  </si>
  <si>
    <t>University of Concepci√≥n</t>
  </si>
  <si>
    <t>China University of Mining and Technology</t>
  </si>
  <si>
    <t>Chiang Mai University</t>
  </si>
  <si>
    <t>Yeungnam University</t>
  </si>
  <si>
    <t>Marche Polytechnic University</t>
  </si>
  <si>
    <t>National Taiwan University of Science and Technology</t>
  </si>
  <si>
    <t>Tokushima University</t>
  </si>
  <si>
    <t>Indian Institute of Technology Kanpur</t>
  </si>
  <si>
    <t>Quaid-i-Azam University</t>
  </si>
  <si>
    <t>Pakistan</t>
  </si>
  <si>
    <t>Northeast Normal University</t>
  </si>
  <si>
    <t>Ryerson University</t>
  </si>
  <si>
    <t>Babe?-Bolyai University</t>
  </si>
  <si>
    <t>Romania</t>
  </si>
  <si>
    <t>Ohio University</t>
  </si>
  <si>
    <t>Wenzhou Medical University</t>
  </si>
  <si>
    <t>University of Tours</t>
  </si>
  <si>
    <t>University of the Andes, Colombia</t>
  </si>
  <si>
    <t>Panjab University</t>
  </si>
  <si>
    <t>University of Alcal√°</t>
  </si>
  <si>
    <t>University of Hertfordshire</t>
  </si>
  <si>
    <t>Dankook University</t>
  </si>
  <si>
    <t>Chungbuk National University</t>
  </si>
  <si>
    <t>University of Sassari</t>
  </si>
  <si>
    <t>Toho University</t>
  </si>
  <si>
    <t>Federal University of Cear√°</t>
  </si>
  <si>
    <t>Portland State University</t>
  </si>
  <si>
    <t>Gunma University</t>
  </si>
  <si>
    <t>Polytechnic University of Bucharest</t>
  </si>
  <si>
    <t>Yokohama National University</t>
  </si>
  <si>
    <t>Zhejiang University of Technology</t>
  </si>
  <si>
    <t>University of the Balearic Islands</t>
  </si>
  <si>
    <t>Cranfield University</t>
  </si>
  <si>
    <t>Polytechnic University of Bari</t>
  </si>
  <si>
    <t>Budapest University of Technology and Economics</t>
  </si>
  <si>
    <t>South China Agricultural University</t>
  </si>
  <si>
    <t>University of Orl√©ans</t>
  </si>
  <si>
    <t>National University of Malaysia, UKM</t>
  </si>
  <si>
    <t>University of Bucharest</t>
  </si>
  <si>
    <t>Carlos III University of Madrid</t>
  </si>
  <si>
    <t>Uniformed Services University of the Health Sciences</t>
  </si>
  <si>
    <t>University of Denver</t>
  </si>
  <si>
    <t>Beijing University of Technology</t>
  </si>
  <si>
    <t>University of Insubria</t>
  </si>
  <si>
    <t>Sejong University</t>
  </si>
  <si>
    <t>Medical University of Warsaw</t>
  </si>
  <si>
    <t>East Carolina University</t>
  </si>
  <si>
    <t>Beijing Jiaotong University</t>
  </si>
  <si>
    <t>China Europe International Business School</t>
  </si>
  <si>
    <t>Tokyo Women's Medical University</t>
  </si>
  <si>
    <t>University of Wuppertal</t>
  </si>
  <si>
    <t>Federal University of Pernambuco</t>
  </si>
  <si>
    <t>University of Hyogo</t>
  </si>
  <si>
    <t>University of Regina</t>
  </si>
  <si>
    <t>Binghamton University</t>
  </si>
  <si>
    <t>Wroc?aw University of Science and Technology</t>
  </si>
  <si>
    <t>University of Toyama</t>
  </si>
  <si>
    <t>National Taiwan Normal University</t>
  </si>
  <si>
    <t>Federal University of S√£o Carlos</t>
  </si>
  <si>
    <t>Metropolitan Autonomous University</t>
  </si>
  <si>
    <t>University of Western Brittany</t>
  </si>
  <si>
    <t>Tokai University</t>
  </si>
  <si>
    <t>Harbin Engineering University</t>
  </si>
  <si>
    <t>Gachon University</t>
  </si>
  <si>
    <t>Meijo University</t>
  </si>
  <si>
    <t>Federico Santa Mar√≠a Technical University</t>
  </si>
  <si>
    <t>Michigan Technological University</t>
  </si>
  <si>
    <t>√âcole des hautes √©tudes en sciences sociales</t>
  </si>
  <si>
    <t>Shiraz University</t>
  </si>
  <si>
    <t>Indian Institute of Technology Roorkee</t>
  </si>
  <si>
    <t>Nara Institute of Science and Technology</t>
  </si>
  <si>
    <t>New Jersey Institute of Technology</t>
  </si>
  <si>
    <t>University of Picardie Jules Verne</t>
  </si>
  <si>
    <t>Creighton University</t>
  </si>
  <si>
    <t>√Öbo Akademi University</t>
  </si>
  <si>
    <t>Miguel Hern√°ndez University of Elche</t>
  </si>
  <si>
    <t>Jichi Medical University</t>
  </si>
  <si>
    <t>University of Siegen</t>
  </si>
  <si>
    <t>University of Extremadura</t>
  </si>
  <si>
    <t>Nagoya City University</t>
  </si>
  <si>
    <t>University of Valladolid</t>
  </si>
  <si>
    <t>Murdoch University</t>
  </si>
  <si>
    <t>Wesleyan University</t>
  </si>
  <si>
    <t>Ferdowsi University of Mashhad</t>
  </si>
  <si>
    <t>North China Electric Power University</t>
  </si>
  <si>
    <t>Erciyes University</t>
  </si>
  <si>
    <t>Chung Shan Medical University</t>
  </si>
  <si>
    <t>Hefei University of Technology</t>
  </si>
  <si>
    <t>China Pharmaceutical University</t>
  </si>
  <si>
    <t>Dongguk University</t>
  </si>
  <si>
    <t>University of California, Merced</t>
  </si>
  <si>
    <t>Shanxi University</t>
  </si>
  <si>
    <t>Sofia University</t>
  </si>
  <si>
    <t>Bulgaria</t>
  </si>
  <si>
    <t>Kagoshima University</t>
  </si>
  <si>
    <t>Jawaharlal Nehru University</t>
  </si>
  <si>
    <t>Mansoura University</t>
  </si>
  <si>
    <t>Northern Arizona University</t>
  </si>
  <si>
    <t>Federal University of Pelotas</t>
  </si>
  <si>
    <t>Shizuoka University</t>
  </si>
  <si>
    <t>Inje University</t>
  </si>
  <si>
    <t>Fluminense Federal University</t>
  </si>
  <si>
    <t>Chongqing Medical University</t>
  </si>
  <si>
    <t>City, University of London</t>
  </si>
  <si>
    <t>Federal University of Goi√°s</t>
  </si>
  <si>
    <t>Royal Veterinary College</t>
  </si>
  <si>
    <t>Beijing University of Posts and Telecommunications</t>
  </si>
  <si>
    <t>Yangzhou University</t>
  </si>
  <si>
    <t>Gifu University</t>
  </si>
  <si>
    <t>University of Veterinary Medicine Vienna</t>
  </si>
  <si>
    <t>Yamagata University</t>
  </si>
  <si>
    <t>University of Silesia in Katowice</t>
  </si>
  <si>
    <t>University of Ja√©n</t>
  </si>
  <si>
    <t>Yamaguchi University</t>
  </si>
  <si>
    <t>Shaanxi Normal University</t>
  </si>
  <si>
    <t>Alexandria University</t>
  </si>
  <si>
    <t>University of Mons</t>
  </si>
  <si>
    <t>University of Cyprus</t>
  </si>
  <si>
    <t>Cyprus</t>
  </si>
  <si>
    <t>32.889902651331866</t>
  </si>
  <si>
    <t>Gabriele d¬íAnnunzio University</t>
  </si>
  <si>
    <t>Hitotsubashi University</t>
  </si>
  <si>
    <t>Tunis El Manar University</t>
  </si>
  <si>
    <t>Tunisia</t>
  </si>
  <si>
    <t>Southwest Jiaotong University</t>
  </si>
  <si>
    <t>Ulster University</t>
  </si>
  <si>
    <t>Renmin University of China</t>
  </si>
  <si>
    <t>Florida Institute of Technology</t>
  </si>
  <si>
    <t>Kyoto Prefectural University of Medicine</t>
  </si>
  <si>
    <t>Anhui Medical University</t>
  </si>
  <si>
    <t>University of Technology, Malaysia</t>
  </si>
  <si>
    <t>Hallym University</t>
  </si>
  <si>
    <t>COMSATS Institute of Information Technology</t>
  </si>
  <si>
    <t>Toulouse 1 Capitole University</t>
  </si>
  <si>
    <t>Indian Institute of Management Ahmedabad</t>
  </si>
  <si>
    <t>Aberystwyth University</t>
  </si>
  <si>
    <t>University of Jinan</t>
  </si>
  <si>
    <t>North Dakota State University</t>
  </si>
  <si>
    <t>University Paris 1 Panth√©on-Sorbonne</t>
  </si>
  <si>
    <t>Rouen Normandy University</t>
  </si>
  <si>
    <t>University of C√°diz</t>
  </si>
  <si>
    <t>Ritsumeikan University</t>
  </si>
  <si>
    <t>Federal University of Santa Maria</t>
  </si>
  <si>
    <t>University of New Brunswick</t>
  </si>
  <si>
    <t>University of Caen Normandy</t>
  </si>
  <si>
    <t>University of South Bohemia in ?esk√© Bud?jovice</t>
  </si>
  <si>
    <t>Osaka Prefecture University</t>
  </si>
  <si>
    <t>√áukurova University</t>
  </si>
  <si>
    <t>Paris Nanterre University</t>
  </si>
  <si>
    <t>University of Alabama in Huntsville</t>
  </si>
  <si>
    <t>Rochester Institute of Technology</t>
  </si>
  <si>
    <t>Dublin City University</t>
  </si>
  <si>
    <t>University of Hasselt</t>
  </si>
  <si>
    <t>Dokuz Eyl√ºl University</t>
  </si>
  <si>
    <t>University of Massachusetts Boston</t>
  </si>
  <si>
    <t>Jaume I University</t>
  </si>
  <si>
    <t>Nanjing University of Information Science and Technology</t>
  </si>
  <si>
    <t>T√©l√©com ParisTech</t>
  </si>
  <si>
    <t>San Francisco State University</t>
  </si>
  <si>
    <t>Zhejiang Normal University</t>
  </si>
  <si>
    <t>Guangxi University</t>
  </si>
  <si>
    <t>Jacobs University Bremen</t>
  </si>
  <si>
    <t>Howard University</t>
  </si>
  <si>
    <t>University of P√©cs</t>
  </si>
  <si>
    <t>University of Limerick</t>
  </si>
  <si>
    <t>Tottori University</t>
  </si>
  <si>
    <t>Sciences Po</t>
  </si>
  <si>
    <t>University of Windsor</t>
  </si>
  <si>
    <t>Mie University</t>
  </si>
  <si>
    <t>Nicolaus Copernicus University in Toru?</t>
  </si>
  <si>
    <t>Hohai University</t>
  </si>
  <si>
    <t>King Juan Carlos University</t>
  </si>
  <si>
    <t>Royal College of Surgeons in Ireland</t>
  </si>
  <si>
    <t>University of Osnabr√ºck</t>
  </si>
  <si>
    <t>University of Perpignan Via Domita</t>
  </si>
  <si>
    <t>Qingdao University</t>
  </si>
  <si>
    <t>Sogang University</t>
  </si>
  <si>
    <t>University of Memphis</t>
  </si>
  <si>
    <t>Hunter College</t>
  </si>
  <si>
    <t>North-West University</t>
  </si>
  <si>
    <t>Ningbo University</t>
  </si>
  <si>
    <t>Shahid Beheshti University of Medical Sciences</t>
  </si>
  <si>
    <t>National Taiwan Ocean University</t>
  </si>
  <si>
    <t>INSA Toulouse</t>
  </si>
  <si>
    <t>University of Antioquia</t>
  </si>
  <si>
    <t>Shantou University</t>
  </si>
  <si>
    <t>Chung Yuan Christian University</t>
  </si>
  <si>
    <t>Guangzhou Medical University</t>
  </si>
  <si>
    <t>Amherst College</t>
  </si>
  <si>
    <t>Yunnan University</t>
  </si>
  <si>
    <t>Johannes Kepler University Linz</t>
  </si>
  <si>
    <t>New York Medical College</t>
  </si>
  <si>
    <t>Missouri University of Science and Technology</t>
  </si>
  <si>
    <t>University of Maribor</t>
  </si>
  <si>
    <t>Atat√ºrk University</t>
  </si>
  <si>
    <t>Eastern Virginia Medical School</t>
  </si>
  <si>
    <t>University of North Carolina at Greensboro</t>
  </si>
  <si>
    <t>Beijing Forestry University</t>
  </si>
  <si>
    <t>Liverpool School of Tropical Medicine</t>
  </si>
  <si>
    <t>University of Brighton</t>
  </si>
  <si>
    <t>Federal University of Bahia</t>
  </si>
  <si>
    <t>University of St. Gallen</t>
  </si>
  <si>
    <t>Xiangtan University</t>
  </si>
  <si>
    <t>Manchester Metropolitan University</t>
  </si>
  <si>
    <t>University of A Coru√±a</t>
  </si>
  <si>
    <t>Khon Kaen University</t>
  </si>
  <si>
    <t>University of Ibadan</t>
  </si>
  <si>
    <t>Nigeria</t>
  </si>
  <si>
    <t>Shahid Beheshti University</t>
  </si>
  <si>
    <t>University of Massachusetts Lowell</t>
  </si>
  <si>
    <t>Loma Linda University</t>
  </si>
  <si>
    <t>University of Macau</t>
  </si>
  <si>
    <t>Macau</t>
  </si>
  <si>
    <t>Aga Khan University</t>
  </si>
  <si>
    <t>University of Calcutta</t>
  </si>
  <si>
    <t>K?chi University</t>
  </si>
  <si>
    <t>Soonchunhyang University</t>
  </si>
  <si>
    <t>Capital Normal University</t>
  </si>
  <si>
    <t xml:space="preserve">Which countries own top-tier market share of Universities </t>
  </si>
  <si>
    <t xml:space="preserve">Rows for location and count of intitution in values </t>
  </si>
  <si>
    <t>Can use a tree map or bar chart</t>
  </si>
  <si>
    <t>Which countries provide the highest value on average</t>
  </si>
  <si>
    <t xml:space="preserve">Rows: location andAverage of score on values </t>
  </si>
  <si>
    <t xml:space="preserve">use map chart </t>
  </si>
  <si>
    <t>Who are the leaders in global research influece</t>
  </si>
  <si>
    <t>Rows: institution and Sum or average of quality publications</t>
  </si>
  <si>
    <t>Top 10 Horizontal Bar Chart</t>
  </si>
  <si>
    <r>
      <t>Line Chart:</t>
    </r>
    <r>
      <rPr>
        <sz val="12"/>
        <color theme="1"/>
        <rFont val="Calibri"/>
        <family val="2"/>
        <scheme val="minor"/>
      </rPr>
      <t xml:space="preserve"> .</t>
    </r>
  </si>
  <si>
    <t>Is there a gap between Education and Employmen</t>
  </si>
  <si>
    <t xml:space="preserve">rows:institution and average quality of educcation and average alumni employment in values </t>
  </si>
  <si>
    <t>Dual-Axis Combination Chart:</t>
  </si>
  <si>
    <t>Row Labels</t>
  </si>
  <si>
    <t>Grand Total</t>
  </si>
  <si>
    <t>Count of Institution</t>
  </si>
  <si>
    <t>Average of Score</t>
  </si>
  <si>
    <t>Top 10 universites by continent</t>
  </si>
  <si>
    <t xml:space="preserve">top 10 universities by country </t>
  </si>
  <si>
    <t>Does high influence always mean high citations?</t>
  </si>
  <si>
    <t>rows: institution and citations rank, influence rank</t>
  </si>
  <si>
    <t>Sum of Citations</t>
  </si>
  <si>
    <t>Country</t>
  </si>
  <si>
    <t>Count</t>
  </si>
  <si>
    <t>Average of score</t>
  </si>
  <si>
    <t>Quality of Publications Score</t>
  </si>
  <si>
    <t xml:space="preserve">Alumni Score </t>
  </si>
  <si>
    <t>Faculty Score</t>
  </si>
  <si>
    <t>Research Acore</t>
  </si>
  <si>
    <t>Influence Score</t>
  </si>
  <si>
    <t xml:space="preserve">Citation Score </t>
  </si>
  <si>
    <t xml:space="preserve">Global Index </t>
  </si>
  <si>
    <t>Max. of Quality of Publications Score</t>
  </si>
  <si>
    <t xml:space="preserve">Average of Citation Score </t>
  </si>
  <si>
    <t>Average of Influence Score</t>
  </si>
  <si>
    <t xml:space="preserve">Average of Alumni Score </t>
  </si>
  <si>
    <t>Quality of Education Score</t>
  </si>
  <si>
    <t>Average of Quality of Education Score</t>
  </si>
  <si>
    <t>Region</t>
  </si>
  <si>
    <t>North America</t>
  </si>
  <si>
    <t>Oceania</t>
  </si>
  <si>
    <t>Africa</t>
  </si>
  <si>
    <t>South America</t>
  </si>
  <si>
    <t>Europe</t>
  </si>
  <si>
    <t>Asia</t>
  </si>
  <si>
    <t>Rank Tier</t>
  </si>
  <si>
    <t>Q1-Elite</t>
  </si>
  <si>
    <t>Q2-Strong</t>
  </si>
  <si>
    <t>Q3-Developing</t>
  </si>
  <si>
    <t>Q4-Emerging</t>
  </si>
  <si>
    <t xml:space="preserve">Average of Alumni Score, </t>
  </si>
  <si>
    <t>Average of Citation</t>
  </si>
  <si>
    <t>Average of Influence</t>
  </si>
  <si>
    <t xml:space="preserve">GLOBAL HIGHER EDUCATION INSIGHT DASHBOARD </t>
  </si>
  <si>
    <t>TOTAL INSTITUTIONS</t>
  </si>
  <si>
    <t xml:space="preserve">TOTAL COUNTRIES </t>
  </si>
  <si>
    <t>HIGHEST RANKED REGION</t>
  </si>
  <si>
    <t>HIGHEST RANKED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</si>
</sst>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000000"/>
      <name val="Calibri"/>
      <family val="2"/>
      <scheme val="minor"/>
    </font>
    <font>
      <sz val="12"/>
      <color rgb="FF000000"/>
      <name val="Calibri"/>
      <family val="2"/>
      <scheme val="minor"/>
    </font>
    <font>
      <sz val="16"/>
      <color theme="0"/>
      <name val="Times"/>
      <family val="1"/>
    </font>
    <font>
      <sz val="16"/>
      <color theme="1"/>
      <name val="Times New Roman"/>
      <family val="1"/>
    </font>
    <font>
      <sz val="16"/>
      <color theme="0"/>
      <name val="Times New Roman"/>
      <family val="1"/>
    </font>
    <font>
      <sz val="12"/>
      <color theme="1"/>
      <name val="Times New Roman"/>
      <family val="1"/>
    </font>
    <font>
      <b/>
      <sz val="20"/>
      <color theme="0"/>
      <name val="Times New Roman"/>
      <family val="1"/>
    </font>
    <font>
      <sz val="14"/>
      <color theme="0"/>
      <name val="Times New Roman"/>
      <family val="1"/>
    </font>
    <font>
      <sz val="12"/>
      <color theme="0"/>
      <name val="Times New Roman"/>
      <family val="1"/>
    </font>
    <font>
      <sz val="16"/>
      <color theme="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9E1F2"/>
        <bgColor rgb="FFD9E1F2"/>
      </patternFill>
    </fill>
    <fill>
      <patternFill patternType="solid">
        <fgColor rgb="FF1F3864"/>
        <bgColor indexed="64"/>
      </patternFill>
    </fill>
    <fill>
      <patternFill patternType="solid">
        <fgColor rgb="FF006666"/>
        <bgColor indexed="64"/>
      </patternFill>
    </fill>
    <fill>
      <patternFill patternType="solid">
        <fgColor rgb="FFCC5500"/>
        <bgColor indexed="64"/>
      </patternFill>
    </fill>
    <fill>
      <patternFill patternType="solid">
        <fgColor rgb="FF1F5C1F"/>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rgb="FF8EA9DB"/>
      </bottom>
      <diagonal/>
    </border>
    <border>
      <left/>
      <right/>
      <top style="thin">
        <color rgb="FF8EA9DB"/>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0">
    <xf numFmtId="0" fontId="0" fillId="0" borderId="0" xfId="0"/>
    <xf numFmtId="0" fontId="0" fillId="0" borderId="0" xfId="0" applyAlignment="1">
      <alignment horizontal="center"/>
    </xf>
    <xf numFmtId="0" fontId="0" fillId="0" borderId="0" xfId="0" quotePrefix="1" applyAlignment="1">
      <alignment horizontal="center"/>
    </xf>
    <xf numFmtId="0" fontId="0" fillId="0" borderId="0" xfId="0" applyAlignment="1">
      <alignment wrapText="1"/>
    </xf>
    <xf numFmtId="0" fontId="16"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18" fillId="33" borderId="10" xfId="0" applyFont="1" applyFill="1" applyBorder="1"/>
    <xf numFmtId="0" fontId="19" fillId="0" borderId="0" xfId="0" applyFont="1" applyAlignment="1">
      <alignment horizontal="left"/>
    </xf>
    <xf numFmtId="0" fontId="19" fillId="0" borderId="0" xfId="0" applyFont="1"/>
    <xf numFmtId="0" fontId="18" fillId="33" borderId="11" xfId="0" applyFont="1" applyFill="1" applyBorder="1" applyAlignment="1">
      <alignment horizontal="left"/>
    </xf>
    <xf numFmtId="0" fontId="18" fillId="33" borderId="11" xfId="0" applyFont="1" applyFill="1" applyBorder="1"/>
    <xf numFmtId="2" fontId="0" fillId="0" borderId="0" xfId="0" applyNumberFormat="1"/>
    <xf numFmtId="2" fontId="0" fillId="0" borderId="0" xfId="0" applyNumberFormat="1" applyAlignment="1">
      <alignment horizontal="center"/>
    </xf>
    <xf numFmtId="2" fontId="0" fillId="0" borderId="0" xfId="0" applyNumberFormat="1" applyAlignment="1">
      <alignment vertical="center"/>
    </xf>
    <xf numFmtId="2" fontId="0" fillId="0" borderId="0" xfId="0" applyNumberFormat="1" applyAlignment="1">
      <alignment horizontal="center" vertical="center"/>
    </xf>
    <xf numFmtId="0" fontId="0" fillId="0" borderId="0" xfId="0" applyAlignment="1">
      <alignment horizontal="center" vertical="center"/>
    </xf>
    <xf numFmtId="0" fontId="0" fillId="34" borderId="0" xfId="0" applyFill="1" applyAlignment="1">
      <alignment horizontal="center"/>
    </xf>
    <xf numFmtId="0" fontId="20" fillId="35" borderId="0" xfId="0" applyFont="1" applyFill="1" applyAlignment="1">
      <alignment horizontal="center"/>
    </xf>
    <xf numFmtId="0" fontId="20" fillId="35" borderId="0" xfId="0" applyFont="1" applyFill="1"/>
    <xf numFmtId="0" fontId="21" fillId="36" borderId="0" xfId="0" applyFont="1" applyFill="1" applyAlignment="1">
      <alignment horizontal="center" vertical="center"/>
    </xf>
    <xf numFmtId="0" fontId="22" fillId="36" borderId="0" xfId="0" applyFont="1" applyFill="1" applyAlignment="1">
      <alignment horizontal="center" vertical="center"/>
    </xf>
    <xf numFmtId="0" fontId="23" fillId="37" borderId="0" xfId="0" applyFont="1" applyFill="1" applyAlignment="1">
      <alignment horizontal="center" vertical="center"/>
    </xf>
    <xf numFmtId="0" fontId="24" fillId="38" borderId="0" xfId="0" applyFont="1" applyFill="1" applyAlignment="1">
      <alignment horizontal="center"/>
    </xf>
    <xf numFmtId="0" fontId="0" fillId="0" borderId="0" xfId="0" applyNumberFormat="1"/>
    <xf numFmtId="0" fontId="25" fillId="36" borderId="0" xfId="0" applyFont="1" applyFill="1" applyAlignment="1">
      <alignment horizontal="center" vertical="center"/>
    </xf>
    <xf numFmtId="0" fontId="26" fillId="37" borderId="0" xfId="0" applyFont="1" applyFill="1" applyAlignment="1">
      <alignment horizontal="center" vertical="center"/>
    </xf>
    <xf numFmtId="0" fontId="22" fillId="37" borderId="0" xfId="0" applyFont="1" applyFill="1" applyAlignment="1">
      <alignment horizontal="center" vertical="center"/>
    </xf>
    <xf numFmtId="0" fontId="27" fillId="34"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9">
    <dxf>
      <numFmt numFmtId="2" formatCode="0.00"/>
    </dxf>
    <dxf>
      <numFmt numFmtId="2" formatCode="0.00"/>
    </dxf>
    <dxf>
      <alignment horizontal="left"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006666"/>
      <color rgb="FFFAF9F6"/>
      <color rgb="FF1F5C1F"/>
      <color rgb="FFCC5500"/>
      <color rgb="FF1F38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WORK FOR GLOBAL HIGHER EDUCATION INSIGHT DATASET, PIVOT TABLE &amp; DASHBOARD.xltx]Pivot Table!PivotTable3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Quality</a:t>
            </a:r>
            <a:r>
              <a:rPr lang="en-US" baseline="0"/>
              <a:t> of Education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Table'!$O$3</c:f>
              <c:strCache>
                <c:ptCount val="1"/>
                <c:pt idx="0">
                  <c:v>Total</c:v>
                </c:pt>
              </c:strCache>
            </c:strRef>
          </c:tx>
          <c:spPr>
            <a:solidFill>
              <a:schemeClr val="accent1"/>
            </a:solidFill>
            <a:ln>
              <a:noFill/>
            </a:ln>
            <a:effectLst/>
          </c:spPr>
          <c:invertIfNegative val="0"/>
          <c:cat>
            <c:strRef>
              <c:f>'Pivot Table'!$N$4:$N$13</c:f>
              <c:strCache>
                <c:ptCount val="10"/>
                <c:pt idx="0">
                  <c:v>Harvard University</c:v>
                </c:pt>
                <c:pt idx="1">
                  <c:v>University of Toronto</c:v>
                </c:pt>
                <c:pt idx="2">
                  <c:v>University of Michigan, Ann Arbor</c:v>
                </c:pt>
                <c:pt idx="3">
                  <c:v>Stanford University</c:v>
                </c:pt>
                <c:pt idx="4">
                  <c:v>University of Oxford</c:v>
                </c:pt>
                <c:pt idx="5">
                  <c:v>Johns Hopkins University</c:v>
                </c:pt>
                <c:pt idx="6">
                  <c:v>University College London</c:v>
                </c:pt>
                <c:pt idx="7">
                  <c:v>University of Cambridge</c:v>
                </c:pt>
                <c:pt idx="8">
                  <c:v>University of Washington - Seattle</c:v>
                </c:pt>
                <c:pt idx="9">
                  <c:v>University of California, Los Angeles</c:v>
                </c:pt>
              </c:strCache>
            </c:strRef>
          </c:cat>
          <c:val>
            <c:numRef>
              <c:f>'Pivot Table'!$O$4:$O$13</c:f>
              <c:numCache>
                <c:formatCode>General</c:formatCode>
                <c:ptCount val="10"/>
                <c:pt idx="0">
                  <c:v>100</c:v>
                </c:pt>
                <c:pt idx="1">
                  <c:v>99.9</c:v>
                </c:pt>
                <c:pt idx="2">
                  <c:v>99.8</c:v>
                </c:pt>
                <c:pt idx="3">
                  <c:v>99.7</c:v>
                </c:pt>
                <c:pt idx="4">
                  <c:v>99.6</c:v>
                </c:pt>
                <c:pt idx="5">
                  <c:v>99.5</c:v>
                </c:pt>
                <c:pt idx="6">
                  <c:v>99.4</c:v>
                </c:pt>
                <c:pt idx="7">
                  <c:v>99.3</c:v>
                </c:pt>
                <c:pt idx="8">
                  <c:v>99.2</c:v>
                </c:pt>
                <c:pt idx="9">
                  <c:v>99.1</c:v>
                </c:pt>
              </c:numCache>
            </c:numRef>
          </c:val>
          <c:extLst>
            <c:ext xmlns:c16="http://schemas.microsoft.com/office/drawing/2014/chart" uri="{C3380CC4-5D6E-409C-BE32-E72D297353CC}">
              <c16:uniqueId val="{00000001-6543-494E-ABFF-6CF2463C3F69}"/>
            </c:ext>
          </c:extLst>
        </c:ser>
        <c:dLbls>
          <c:showLegendKey val="0"/>
          <c:showVal val="0"/>
          <c:showCatName val="0"/>
          <c:showSerName val="0"/>
          <c:showPercent val="0"/>
          <c:showBubbleSize val="0"/>
        </c:dLbls>
        <c:gapWidth val="182"/>
        <c:axId val="1425255408"/>
        <c:axId val="1543083584"/>
      </c:barChart>
      <c:catAx>
        <c:axId val="14252554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083584"/>
        <c:crosses val="autoZero"/>
        <c:auto val="1"/>
        <c:lblAlgn val="ctr"/>
        <c:lblOffset val="100"/>
        <c:noMultiLvlLbl val="0"/>
      </c:catAx>
      <c:valAx>
        <c:axId val="1543083584"/>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55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Alumni</a:t>
            </a:r>
            <a:r>
              <a:rPr lang="en-GB" baseline="0"/>
              <a:t> Score Vs Quality of Education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47820670489211"/>
          <c:y val="0.17168999708369787"/>
          <c:w val="0.84755027071920275"/>
          <c:h val="0.6150681685622631"/>
        </c:manualLayout>
      </c:layout>
      <c:scatterChart>
        <c:scatterStyle val="lineMarker"/>
        <c:varyColors val="0"/>
        <c:ser>
          <c:idx val="4"/>
          <c:order val="0"/>
          <c:spPr>
            <a:ln w="25400" cap="rnd">
              <a:noFill/>
              <a:round/>
            </a:ln>
            <a:effectLst/>
          </c:spPr>
          <c:marker>
            <c:symbol val="circle"/>
            <c:size val="5"/>
            <c:spPr>
              <a:solidFill>
                <a:schemeClr val="accent5"/>
              </a:solidFill>
              <a:ln w="9525">
                <a:solidFill>
                  <a:schemeClr val="accent5"/>
                </a:solidFill>
              </a:ln>
              <a:effectLst/>
            </c:spPr>
          </c:marker>
          <c:dLbls>
            <c:dLbl>
              <c:idx val="0"/>
              <c:layout>
                <c:manualLayout>
                  <c:x val="-0.10798650168728925"/>
                  <c:y val="4.1841004184100415E-3"/>
                </c:manualLayout>
              </c:layout>
              <c:tx>
                <c:rich>
                  <a:bodyPr/>
                  <a:lstStyle/>
                  <a:p>
                    <a:fld id="{37951FF5-2B3F-4C48-A7EA-6E71185C43E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3A0B-3B43-84E6-82AE26DD74FC}"/>
                </c:ext>
              </c:extLst>
            </c:dLbl>
            <c:dLbl>
              <c:idx val="1"/>
              <c:tx>
                <c:rich>
                  <a:bodyPr/>
                  <a:lstStyle/>
                  <a:p>
                    <a:fld id="{2AC29A35-AF9B-E94E-8875-579C5F38B97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A0B-3B43-84E6-82AE26DD74FC}"/>
                </c:ext>
              </c:extLst>
            </c:dLbl>
            <c:dLbl>
              <c:idx val="2"/>
              <c:tx>
                <c:rich>
                  <a:bodyPr/>
                  <a:lstStyle/>
                  <a:p>
                    <a:fld id="{7C207247-6BD5-464C-839B-94E0BDB71E04}"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3A0B-3B43-84E6-82AE26DD74FC}"/>
                </c:ext>
              </c:extLst>
            </c:dLbl>
            <c:dLbl>
              <c:idx val="3"/>
              <c:layout>
                <c:manualLayout>
                  <c:x val="-0.10798650168728911"/>
                  <c:y val="1.882845188284511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EA4584C2-D700-B44B-BF3A-1826CC290ACC}"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13462317210348704"/>
                      <c:h val="7.1046025104602506E-2"/>
                    </c:manualLayout>
                  </c15:layout>
                  <c15:dlblFieldTable/>
                  <c15:showDataLabelsRange val="1"/>
                </c:ext>
                <c:ext xmlns:c16="http://schemas.microsoft.com/office/drawing/2014/chart" uri="{C3380CC4-5D6E-409C-BE32-E72D297353CC}">
                  <c16:uniqueId val="{00000009-3A0B-3B43-84E6-82AE26DD7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Table'!$AC$4:$AC$7</c:f>
              <c:numCache>
                <c:formatCode>0.00</c:formatCode>
                <c:ptCount val="4"/>
                <c:pt idx="0">
                  <c:v>56.446366366366348</c:v>
                </c:pt>
                <c:pt idx="1">
                  <c:v>28.124324324324316</c:v>
                </c:pt>
                <c:pt idx="2">
                  <c:v>25.328528528528533</c:v>
                </c:pt>
                <c:pt idx="3">
                  <c:v>23.875435435435424</c:v>
                </c:pt>
              </c:numCache>
            </c:numRef>
          </c:xVal>
          <c:yVal>
            <c:numRef>
              <c:f>'Pivot Table'!$AB$4:$AB$7</c:f>
              <c:numCache>
                <c:formatCode>General</c:formatCode>
                <c:ptCount val="4"/>
                <c:pt idx="0">
                  <c:v>52.964400000000005</c:v>
                </c:pt>
                <c:pt idx="1">
                  <c:v>26.7348</c:v>
                </c:pt>
                <c:pt idx="2">
                  <c:v>15.803199999999999</c:v>
                </c:pt>
                <c:pt idx="3">
                  <c:v>14.286400000000002</c:v>
                </c:pt>
              </c:numCache>
            </c:numRef>
          </c:yVal>
          <c:smooth val="0"/>
          <c:extLst>
            <c:ext xmlns:c15="http://schemas.microsoft.com/office/drawing/2012/chart" uri="{02D57815-91ED-43cb-92C2-25804820EDAC}">
              <c15:datalabelsRange>
                <c15:f>'Pivot Table'!$AD$5:$AD$8</c15:f>
                <c15:dlblRangeCache>
                  <c:ptCount val="4"/>
                  <c:pt idx="0">
                    <c:v>Q1-Elite</c:v>
                  </c:pt>
                  <c:pt idx="1">
                    <c:v>Q2-Strong</c:v>
                  </c:pt>
                  <c:pt idx="2">
                    <c:v>Q3-Developing</c:v>
                  </c:pt>
                  <c:pt idx="3">
                    <c:v>Q4-Emerging</c:v>
                  </c:pt>
                </c15:dlblRangeCache>
              </c15:datalabelsRange>
            </c:ext>
            <c:ext xmlns:c16="http://schemas.microsoft.com/office/drawing/2014/chart" uri="{C3380CC4-5D6E-409C-BE32-E72D297353CC}">
              <c16:uniqueId val="{00000008-3A0B-3B43-84E6-82AE26DD74FC}"/>
            </c:ext>
          </c:extLst>
        </c:ser>
        <c:dLbls>
          <c:showLegendKey val="0"/>
          <c:showVal val="0"/>
          <c:showCatName val="0"/>
          <c:showSerName val="0"/>
          <c:showPercent val="0"/>
          <c:showBubbleSize val="0"/>
        </c:dLbls>
        <c:axId val="851105135"/>
        <c:axId val="851440591"/>
      </c:scatterChart>
      <c:valAx>
        <c:axId val="8511051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Alumni Score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440591"/>
        <c:crosses val="autoZero"/>
        <c:crossBetween val="midCat"/>
      </c:valAx>
      <c:valAx>
        <c:axId val="8514405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Quality of Edication Score</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05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Citation Vs Average Influence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2"/>
          <c:order val="0"/>
          <c:spPr>
            <a:ln w="19050" cap="rnd">
              <a:noFill/>
              <a:round/>
            </a:ln>
            <a:effectLst/>
          </c:spPr>
          <c:marker>
            <c:symbol val="circle"/>
            <c:size val="5"/>
            <c:spPr>
              <a:solidFill>
                <a:schemeClr val="accent3"/>
              </a:solidFill>
              <a:ln w="9525">
                <a:solidFill>
                  <a:schemeClr val="accent1">
                    <a:alpha val="0"/>
                  </a:schemeClr>
                </a:solidFill>
              </a:ln>
              <a:effectLst/>
            </c:spPr>
          </c:marker>
          <c:dLbls>
            <c:dLbl>
              <c:idx val="0"/>
              <c:tx>
                <c:rich>
                  <a:bodyPr/>
                  <a:lstStyle/>
                  <a:p>
                    <a:fld id="{FB23BC3A-0171-4743-BAC2-B0AC6F5123B9}"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2E3-4942-812C-138E79E210C9}"/>
                </c:ext>
              </c:extLst>
            </c:dLbl>
            <c:dLbl>
              <c:idx val="1"/>
              <c:tx>
                <c:rich>
                  <a:bodyPr/>
                  <a:lstStyle/>
                  <a:p>
                    <a:fld id="{43506BFE-2436-224A-9ACE-C78A420813D3}"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12E3-4942-812C-138E79E210C9}"/>
                </c:ext>
              </c:extLst>
            </c:dLbl>
            <c:dLbl>
              <c:idx val="2"/>
              <c:tx>
                <c:rich>
                  <a:bodyPr/>
                  <a:lstStyle/>
                  <a:p>
                    <a:fld id="{AE0BDC2A-9E21-9448-A441-F2100F4A9CD6}"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2E3-4942-812C-138E79E210C9}"/>
                </c:ext>
              </c:extLst>
            </c:dLbl>
            <c:dLbl>
              <c:idx val="3"/>
              <c:tx>
                <c:rich>
                  <a:bodyPr/>
                  <a:lstStyle/>
                  <a:p>
                    <a:fld id="{81A8D093-6F0F-1449-9694-6F3B5E64D7C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12E3-4942-812C-138E79E210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Table'!$X$6:$X$9</c:f>
              <c:numCache>
                <c:formatCode>General</c:formatCode>
                <c:ptCount val="4"/>
                <c:pt idx="0">
                  <c:v>86.243200000000044</c:v>
                </c:pt>
                <c:pt idx="1">
                  <c:v>58.540000000000006</c:v>
                </c:pt>
                <c:pt idx="2">
                  <c:v>35.685600000000029</c:v>
                </c:pt>
                <c:pt idx="3">
                  <c:v>19.467600000000058</c:v>
                </c:pt>
              </c:numCache>
            </c:numRef>
          </c:xVal>
          <c:yVal>
            <c:numRef>
              <c:f>'Pivot Table'!$Y$6:$Y$9</c:f>
              <c:numCache>
                <c:formatCode>General</c:formatCode>
                <c:ptCount val="4"/>
                <c:pt idx="0">
                  <c:v>86.552000000000035</c:v>
                </c:pt>
                <c:pt idx="1">
                  <c:v>58.034800000000004</c:v>
                </c:pt>
                <c:pt idx="2">
                  <c:v>30.536000000000016</c:v>
                </c:pt>
                <c:pt idx="3">
                  <c:v>13.614799999999997</c:v>
                </c:pt>
              </c:numCache>
            </c:numRef>
          </c:yVal>
          <c:smooth val="0"/>
          <c:extLst>
            <c:ext xmlns:c15="http://schemas.microsoft.com/office/drawing/2012/chart" uri="{02D57815-91ED-43cb-92C2-25804820EDAC}">
              <c15:datalabelsRange>
                <c15:f>'Pivot Table'!$W$6:$W$9</c15:f>
                <c15:dlblRangeCache>
                  <c:ptCount val="4"/>
                  <c:pt idx="0">
                    <c:v>Q1-Elite</c:v>
                  </c:pt>
                  <c:pt idx="1">
                    <c:v>Q2-Strong</c:v>
                  </c:pt>
                  <c:pt idx="2">
                    <c:v>Q3-Developing</c:v>
                  </c:pt>
                  <c:pt idx="3">
                    <c:v>Q4-Emerging</c:v>
                  </c:pt>
                </c15:dlblRangeCache>
              </c15:datalabelsRange>
            </c:ext>
            <c:ext xmlns:c16="http://schemas.microsoft.com/office/drawing/2014/chart" uri="{C3380CC4-5D6E-409C-BE32-E72D297353CC}">
              <c16:uniqueId val="{00000002-12E3-4942-812C-138E79E210C9}"/>
            </c:ext>
          </c:extLst>
        </c:ser>
        <c:dLbls>
          <c:showLegendKey val="0"/>
          <c:showVal val="0"/>
          <c:showCatName val="0"/>
          <c:showSerName val="0"/>
          <c:showPercent val="0"/>
          <c:showBubbleSize val="0"/>
        </c:dLbls>
        <c:axId val="894740655"/>
        <c:axId val="811760991"/>
      </c:scatterChart>
      <c:valAx>
        <c:axId val="8947406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Citation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760991"/>
        <c:crosses val="autoZero"/>
        <c:crossBetween val="midCat"/>
      </c:valAx>
      <c:valAx>
        <c:axId val="8117609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Average</a:t>
                </a:r>
                <a:r>
                  <a:rPr lang="en-GB" baseline="0"/>
                  <a:t> Influence Score</a:t>
                </a:r>
              </a:p>
              <a:p>
                <a:pPr>
                  <a:defRPr/>
                </a:pP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7406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of score by</a:t>
            </a:r>
            <a:r>
              <a:rPr lang="en-US" baseline="0"/>
              <a:t>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Table'!$L$4</c:f>
              <c:strCache>
                <c:ptCount val="1"/>
                <c:pt idx="0">
                  <c:v>Average of score</c:v>
                </c:pt>
              </c:strCache>
            </c:strRef>
          </c:tx>
          <c:spPr>
            <a:solidFill>
              <a:schemeClr val="accent1"/>
            </a:solidFill>
            <a:ln>
              <a:noFill/>
            </a:ln>
            <a:effectLst/>
          </c:spPr>
          <c:invertIfNegative val="0"/>
          <c:cat>
            <c:strRef>
              <c:f>'Pivot Table'!$K$5:$K$10</c:f>
              <c:strCache>
                <c:ptCount val="6"/>
                <c:pt idx="0">
                  <c:v>South America</c:v>
                </c:pt>
                <c:pt idx="1">
                  <c:v>Africa</c:v>
                </c:pt>
                <c:pt idx="2">
                  <c:v>Asia</c:v>
                </c:pt>
                <c:pt idx="3">
                  <c:v>Europe</c:v>
                </c:pt>
                <c:pt idx="4">
                  <c:v>Oceania</c:v>
                </c:pt>
                <c:pt idx="5">
                  <c:v>North America</c:v>
                </c:pt>
              </c:strCache>
            </c:strRef>
          </c:cat>
          <c:val>
            <c:numRef>
              <c:f>'Pivot Table'!$L$5:$L$10</c:f>
              <c:numCache>
                <c:formatCode>0.00</c:formatCode>
                <c:ptCount val="6"/>
                <c:pt idx="0">
                  <c:v>72.767741935483869</c:v>
                </c:pt>
                <c:pt idx="1">
                  <c:v>72.969230769230762</c:v>
                </c:pt>
                <c:pt idx="2">
                  <c:v>73.226027397260268</c:v>
                </c:pt>
                <c:pt idx="3">
                  <c:v>75.115424164524441</c:v>
                </c:pt>
                <c:pt idx="4">
                  <c:v>76.209999999999994</c:v>
                </c:pt>
                <c:pt idx="5">
                  <c:v>77.3130612244898</c:v>
                </c:pt>
              </c:numCache>
            </c:numRef>
          </c:val>
          <c:extLst>
            <c:ext xmlns:c16="http://schemas.microsoft.com/office/drawing/2014/chart" uri="{C3380CC4-5D6E-409C-BE32-E72D297353CC}">
              <c16:uniqueId val="{00000000-1ECB-AB47-B1C3-0C9F57D4190D}"/>
            </c:ext>
          </c:extLst>
        </c:ser>
        <c:dLbls>
          <c:showLegendKey val="0"/>
          <c:showVal val="0"/>
          <c:showCatName val="0"/>
          <c:showSerName val="0"/>
          <c:showPercent val="0"/>
          <c:showBubbleSize val="0"/>
        </c:dLbls>
        <c:gapWidth val="182"/>
        <c:axId val="853043471"/>
        <c:axId val="853060527"/>
      </c:barChart>
      <c:catAx>
        <c:axId val="853043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060527"/>
        <c:crosses val="autoZero"/>
        <c:auto val="1"/>
        <c:lblAlgn val="ctr"/>
        <c:lblOffset val="100"/>
        <c:noMultiLvlLbl val="0"/>
      </c:catAx>
      <c:valAx>
        <c:axId val="853060527"/>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04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of score by</a:t>
            </a:r>
            <a:r>
              <a:rPr lang="en-US" baseline="0"/>
              <a:t>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287219866747429"/>
          <c:y val="0.15780110819480897"/>
          <c:w val="0.76980738946093274"/>
          <c:h val="0.72094889180519106"/>
        </c:manualLayout>
      </c:layout>
      <c:barChart>
        <c:barDir val="bar"/>
        <c:grouping val="clustered"/>
        <c:varyColors val="0"/>
        <c:ser>
          <c:idx val="0"/>
          <c:order val="0"/>
          <c:tx>
            <c:strRef>
              <c:f>'Pivot Table'!$L$4</c:f>
              <c:strCache>
                <c:ptCount val="1"/>
                <c:pt idx="0">
                  <c:v>Average of score</c:v>
                </c:pt>
              </c:strCache>
            </c:strRef>
          </c:tx>
          <c:spPr>
            <a:solidFill>
              <a:schemeClr val="accent1"/>
            </a:solidFill>
            <a:ln>
              <a:noFill/>
            </a:ln>
            <a:effectLst/>
          </c:spPr>
          <c:invertIfNegative val="0"/>
          <c:cat>
            <c:strRef>
              <c:f>'Pivot Table'!$K$5:$K$10</c:f>
              <c:strCache>
                <c:ptCount val="6"/>
                <c:pt idx="0">
                  <c:v>South America</c:v>
                </c:pt>
                <c:pt idx="1">
                  <c:v>Africa</c:v>
                </c:pt>
                <c:pt idx="2">
                  <c:v>Asia</c:v>
                </c:pt>
                <c:pt idx="3">
                  <c:v>Europe</c:v>
                </c:pt>
                <c:pt idx="4">
                  <c:v>Oceania</c:v>
                </c:pt>
                <c:pt idx="5">
                  <c:v>North America</c:v>
                </c:pt>
              </c:strCache>
            </c:strRef>
          </c:cat>
          <c:val>
            <c:numRef>
              <c:f>'Pivot Table'!$L$5:$L$10</c:f>
              <c:numCache>
                <c:formatCode>0.00</c:formatCode>
                <c:ptCount val="6"/>
                <c:pt idx="0">
                  <c:v>72.767741935483869</c:v>
                </c:pt>
                <c:pt idx="1">
                  <c:v>72.969230769230762</c:v>
                </c:pt>
                <c:pt idx="2">
                  <c:v>73.226027397260268</c:v>
                </c:pt>
                <c:pt idx="3">
                  <c:v>75.115424164524441</c:v>
                </c:pt>
                <c:pt idx="4">
                  <c:v>76.209999999999994</c:v>
                </c:pt>
                <c:pt idx="5">
                  <c:v>77.3130612244898</c:v>
                </c:pt>
              </c:numCache>
            </c:numRef>
          </c:val>
          <c:extLst>
            <c:ext xmlns:c16="http://schemas.microsoft.com/office/drawing/2014/chart" uri="{C3380CC4-5D6E-409C-BE32-E72D297353CC}">
              <c16:uniqueId val="{00000000-E38B-0449-8804-90D7610343AF}"/>
            </c:ext>
          </c:extLst>
        </c:ser>
        <c:dLbls>
          <c:showLegendKey val="0"/>
          <c:showVal val="0"/>
          <c:showCatName val="0"/>
          <c:showSerName val="0"/>
          <c:showPercent val="0"/>
          <c:showBubbleSize val="0"/>
        </c:dLbls>
        <c:gapWidth val="182"/>
        <c:axId val="853043471"/>
        <c:axId val="853060527"/>
      </c:barChart>
      <c:catAx>
        <c:axId val="853043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060527"/>
        <c:crosses val="autoZero"/>
        <c:auto val="1"/>
        <c:lblAlgn val="ctr"/>
        <c:lblOffset val="100"/>
        <c:noMultiLvlLbl val="0"/>
      </c:catAx>
      <c:valAx>
        <c:axId val="853060527"/>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0434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Citation Vs Average Influence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593044619422573"/>
          <c:y val="0.18094925634295711"/>
          <c:w val="0.77840288713910766"/>
          <c:h val="0.62277741324001168"/>
        </c:manualLayout>
      </c:layout>
      <c:scatterChart>
        <c:scatterStyle val="lineMarker"/>
        <c:varyColors val="0"/>
        <c:ser>
          <c:idx val="2"/>
          <c:order val="0"/>
          <c:spPr>
            <a:ln w="19050" cap="rnd">
              <a:noFill/>
              <a:round/>
            </a:ln>
            <a:effectLst/>
          </c:spPr>
          <c:marker>
            <c:symbol val="circle"/>
            <c:size val="5"/>
            <c:spPr>
              <a:solidFill>
                <a:schemeClr val="accent1"/>
              </a:solidFill>
              <a:ln w="9525">
                <a:solidFill>
                  <a:schemeClr val="accent1">
                    <a:alpha val="0"/>
                  </a:schemeClr>
                </a:solidFill>
              </a:ln>
              <a:effectLst/>
            </c:spPr>
          </c:marker>
          <c:dLbls>
            <c:dLbl>
              <c:idx val="0"/>
              <c:tx>
                <c:rich>
                  <a:bodyPr/>
                  <a:lstStyle/>
                  <a:p>
                    <a:fld id="{73E69874-8040-A34D-8779-935AF91F3EC7}"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20F-2B44-A5B7-942AF945C05F}"/>
                </c:ext>
              </c:extLst>
            </c:dLbl>
            <c:dLbl>
              <c:idx val="1"/>
              <c:tx>
                <c:rich>
                  <a:bodyPr/>
                  <a:lstStyle/>
                  <a:p>
                    <a:fld id="{0ED905BC-0455-4741-A928-162A7E86FEE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20F-2B44-A5B7-942AF945C05F}"/>
                </c:ext>
              </c:extLst>
            </c:dLbl>
            <c:dLbl>
              <c:idx val="2"/>
              <c:tx>
                <c:rich>
                  <a:bodyPr/>
                  <a:lstStyle/>
                  <a:p>
                    <a:fld id="{D0A6833E-88D0-B647-9A1D-C55D0158318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20F-2B44-A5B7-942AF945C05F}"/>
                </c:ext>
              </c:extLst>
            </c:dLbl>
            <c:dLbl>
              <c:idx val="3"/>
              <c:tx>
                <c:rich>
                  <a:bodyPr/>
                  <a:lstStyle/>
                  <a:p>
                    <a:fld id="{97817B1D-C563-584C-9C82-6B8FA0BF865D}"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20F-2B44-A5B7-942AF945C0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Table'!$X$6:$X$9</c:f>
              <c:numCache>
                <c:formatCode>General</c:formatCode>
                <c:ptCount val="4"/>
                <c:pt idx="0">
                  <c:v>86.243200000000044</c:v>
                </c:pt>
                <c:pt idx="1">
                  <c:v>58.540000000000006</c:v>
                </c:pt>
                <c:pt idx="2">
                  <c:v>35.685600000000029</c:v>
                </c:pt>
                <c:pt idx="3">
                  <c:v>19.467600000000058</c:v>
                </c:pt>
              </c:numCache>
            </c:numRef>
          </c:xVal>
          <c:yVal>
            <c:numRef>
              <c:f>'Pivot Table'!$Y$6:$Y$9</c:f>
              <c:numCache>
                <c:formatCode>General</c:formatCode>
                <c:ptCount val="4"/>
                <c:pt idx="0">
                  <c:v>86.552000000000035</c:v>
                </c:pt>
                <c:pt idx="1">
                  <c:v>58.034800000000004</c:v>
                </c:pt>
                <c:pt idx="2">
                  <c:v>30.536000000000016</c:v>
                </c:pt>
                <c:pt idx="3">
                  <c:v>13.614799999999997</c:v>
                </c:pt>
              </c:numCache>
            </c:numRef>
          </c:yVal>
          <c:smooth val="0"/>
          <c:extLst>
            <c:ext xmlns:c15="http://schemas.microsoft.com/office/drawing/2012/chart" uri="{02D57815-91ED-43cb-92C2-25804820EDAC}">
              <c15:datalabelsRange>
                <c15:f>'Pivot Table'!$W$6:$W$9</c15:f>
                <c15:dlblRangeCache>
                  <c:ptCount val="4"/>
                  <c:pt idx="0">
                    <c:v>Q1-Elite</c:v>
                  </c:pt>
                  <c:pt idx="1">
                    <c:v>Q2-Strong</c:v>
                  </c:pt>
                  <c:pt idx="2">
                    <c:v>Q3-Developing</c:v>
                  </c:pt>
                  <c:pt idx="3">
                    <c:v>Q4-Emerging</c:v>
                  </c:pt>
                </c15:dlblRangeCache>
              </c15:datalabelsRange>
            </c:ext>
            <c:ext xmlns:c16="http://schemas.microsoft.com/office/drawing/2014/chart" uri="{C3380CC4-5D6E-409C-BE32-E72D297353CC}">
              <c16:uniqueId val="{00000004-820F-2B44-A5B7-942AF945C05F}"/>
            </c:ext>
          </c:extLst>
        </c:ser>
        <c:dLbls>
          <c:showLegendKey val="0"/>
          <c:showVal val="0"/>
          <c:showCatName val="0"/>
          <c:showSerName val="0"/>
          <c:showPercent val="0"/>
          <c:showBubbleSize val="0"/>
        </c:dLbls>
        <c:axId val="894740655"/>
        <c:axId val="811760991"/>
      </c:scatterChart>
      <c:valAx>
        <c:axId val="8947406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Citation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760991"/>
        <c:crosses val="autoZero"/>
        <c:crossBetween val="midCat"/>
      </c:valAx>
      <c:valAx>
        <c:axId val="8117609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Average</a:t>
                </a:r>
                <a:r>
                  <a:rPr lang="en-GB" baseline="0"/>
                  <a:t> Influence Score</a:t>
                </a:r>
              </a:p>
              <a:p>
                <a:pPr>
                  <a:defRPr/>
                </a:pP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7406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WORK FOR GLOBAL HIGHER EDUCATION INSIGHT DATASET, PIVOT TABLE &amp; DASHBOARD.xltx]Pivot Table!PivotTable3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Universities by Quality</a:t>
            </a:r>
            <a:r>
              <a:rPr lang="en-US" baseline="0"/>
              <a:t> of Education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Table'!$O$3</c:f>
              <c:strCache>
                <c:ptCount val="1"/>
                <c:pt idx="0">
                  <c:v>Total</c:v>
                </c:pt>
              </c:strCache>
            </c:strRef>
          </c:tx>
          <c:spPr>
            <a:solidFill>
              <a:schemeClr val="accent1"/>
            </a:solidFill>
            <a:ln>
              <a:noFill/>
            </a:ln>
            <a:effectLst/>
          </c:spPr>
          <c:invertIfNegative val="0"/>
          <c:cat>
            <c:strRef>
              <c:f>'Pivot Table'!$N$4:$N$13</c:f>
              <c:strCache>
                <c:ptCount val="10"/>
                <c:pt idx="0">
                  <c:v>Harvard University</c:v>
                </c:pt>
                <c:pt idx="1">
                  <c:v>University of Toronto</c:v>
                </c:pt>
                <c:pt idx="2">
                  <c:v>University of Michigan, Ann Arbor</c:v>
                </c:pt>
                <c:pt idx="3">
                  <c:v>Stanford University</c:v>
                </c:pt>
                <c:pt idx="4">
                  <c:v>University of Oxford</c:v>
                </c:pt>
                <c:pt idx="5">
                  <c:v>Johns Hopkins University</c:v>
                </c:pt>
                <c:pt idx="6">
                  <c:v>University College London</c:v>
                </c:pt>
                <c:pt idx="7">
                  <c:v>University of Cambridge</c:v>
                </c:pt>
                <c:pt idx="8">
                  <c:v>University of Washington - Seattle</c:v>
                </c:pt>
                <c:pt idx="9">
                  <c:v>University of California, Los Angeles</c:v>
                </c:pt>
              </c:strCache>
            </c:strRef>
          </c:cat>
          <c:val>
            <c:numRef>
              <c:f>'Pivot Table'!$O$4:$O$13</c:f>
              <c:numCache>
                <c:formatCode>General</c:formatCode>
                <c:ptCount val="10"/>
                <c:pt idx="0">
                  <c:v>100</c:v>
                </c:pt>
                <c:pt idx="1">
                  <c:v>99.9</c:v>
                </c:pt>
                <c:pt idx="2">
                  <c:v>99.8</c:v>
                </c:pt>
                <c:pt idx="3">
                  <c:v>99.7</c:v>
                </c:pt>
                <c:pt idx="4">
                  <c:v>99.6</c:v>
                </c:pt>
                <c:pt idx="5">
                  <c:v>99.5</c:v>
                </c:pt>
                <c:pt idx="6">
                  <c:v>99.4</c:v>
                </c:pt>
                <c:pt idx="7">
                  <c:v>99.3</c:v>
                </c:pt>
                <c:pt idx="8">
                  <c:v>99.2</c:v>
                </c:pt>
                <c:pt idx="9">
                  <c:v>99.1</c:v>
                </c:pt>
              </c:numCache>
            </c:numRef>
          </c:val>
          <c:extLst>
            <c:ext xmlns:c16="http://schemas.microsoft.com/office/drawing/2014/chart" uri="{C3380CC4-5D6E-409C-BE32-E72D297353CC}">
              <c16:uniqueId val="{00000000-3285-BB43-8742-0B5311A582A8}"/>
            </c:ext>
          </c:extLst>
        </c:ser>
        <c:dLbls>
          <c:showLegendKey val="0"/>
          <c:showVal val="0"/>
          <c:showCatName val="0"/>
          <c:showSerName val="0"/>
          <c:showPercent val="0"/>
          <c:showBubbleSize val="0"/>
        </c:dLbls>
        <c:gapWidth val="182"/>
        <c:axId val="1425255408"/>
        <c:axId val="1543083584"/>
      </c:barChart>
      <c:catAx>
        <c:axId val="14252554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083584"/>
        <c:crosses val="autoZero"/>
        <c:auto val="1"/>
        <c:lblAlgn val="ctr"/>
        <c:lblOffset val="100"/>
        <c:noMultiLvlLbl val="0"/>
      </c:catAx>
      <c:valAx>
        <c:axId val="1543083584"/>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55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Alumni</a:t>
            </a:r>
            <a:r>
              <a:rPr lang="en-GB" baseline="0"/>
              <a:t> Score Vs Quality of Education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47820670489211"/>
          <c:y val="0.17168999708369787"/>
          <c:w val="0.84755027071920275"/>
          <c:h val="0.6150681685622631"/>
        </c:manualLayout>
      </c:layout>
      <c:scatterChart>
        <c:scatterStyle val="lineMarker"/>
        <c:varyColors val="0"/>
        <c:ser>
          <c:idx val="4"/>
          <c:order val="0"/>
          <c:spPr>
            <a:ln w="25400" cap="rnd">
              <a:noFill/>
              <a:round/>
            </a:ln>
            <a:effectLst/>
          </c:spPr>
          <c:marker>
            <c:symbol val="circle"/>
            <c:size val="5"/>
            <c:spPr>
              <a:solidFill>
                <a:schemeClr val="accent5"/>
              </a:solidFill>
              <a:ln w="9525">
                <a:solidFill>
                  <a:schemeClr val="accent5"/>
                </a:solidFill>
              </a:ln>
              <a:effectLst/>
            </c:spPr>
          </c:marker>
          <c:dLbls>
            <c:dLbl>
              <c:idx val="0"/>
              <c:layout>
                <c:manualLayout>
                  <c:x val="-0.10798650168728925"/>
                  <c:y val="4.1841004184100415E-3"/>
                </c:manualLayout>
              </c:layout>
              <c:tx>
                <c:rich>
                  <a:bodyPr/>
                  <a:lstStyle/>
                  <a:p>
                    <a:fld id="{07E6D01F-CC04-2444-9C7E-DE7AC35D13F4}"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BD0-064C-95E0-78B171ADD648}"/>
                </c:ext>
              </c:extLst>
            </c:dLbl>
            <c:dLbl>
              <c:idx val="1"/>
              <c:tx>
                <c:rich>
                  <a:bodyPr/>
                  <a:lstStyle/>
                  <a:p>
                    <a:fld id="{A3EE929D-BAF7-864D-ABEC-77F1F0DD3C7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BD0-064C-95E0-78B171ADD648}"/>
                </c:ext>
              </c:extLst>
            </c:dLbl>
            <c:dLbl>
              <c:idx val="2"/>
              <c:tx>
                <c:rich>
                  <a:bodyPr/>
                  <a:lstStyle/>
                  <a:p>
                    <a:fld id="{B6D017E1-1C21-B044-9181-B8F03A90CB0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BD0-064C-95E0-78B171ADD648}"/>
                </c:ext>
              </c:extLst>
            </c:dLbl>
            <c:dLbl>
              <c:idx val="3"/>
              <c:layout>
                <c:manualLayout>
                  <c:x val="-0.10798650168728911"/>
                  <c:y val="1.882845188284511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439C17D-3C41-1647-86A1-95C746719279}"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13462317210348704"/>
                      <c:h val="7.1046025104602506E-2"/>
                    </c:manualLayout>
                  </c15:layout>
                  <c15:dlblFieldTable/>
                  <c15:showDataLabelsRange val="1"/>
                </c:ext>
                <c:ext xmlns:c16="http://schemas.microsoft.com/office/drawing/2014/chart" uri="{C3380CC4-5D6E-409C-BE32-E72D297353CC}">
                  <c16:uniqueId val="{00000003-DBD0-064C-95E0-78B171ADD6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Table'!$AC$4:$AC$7</c:f>
              <c:numCache>
                <c:formatCode>0.00</c:formatCode>
                <c:ptCount val="4"/>
                <c:pt idx="0">
                  <c:v>56.446366366366348</c:v>
                </c:pt>
                <c:pt idx="1">
                  <c:v>28.124324324324316</c:v>
                </c:pt>
                <c:pt idx="2">
                  <c:v>25.328528528528533</c:v>
                </c:pt>
                <c:pt idx="3">
                  <c:v>23.875435435435424</c:v>
                </c:pt>
              </c:numCache>
            </c:numRef>
          </c:xVal>
          <c:yVal>
            <c:numRef>
              <c:f>'Pivot Table'!$AB$4:$AB$7</c:f>
              <c:numCache>
                <c:formatCode>General</c:formatCode>
                <c:ptCount val="4"/>
                <c:pt idx="0">
                  <c:v>52.964400000000005</c:v>
                </c:pt>
                <c:pt idx="1">
                  <c:v>26.7348</c:v>
                </c:pt>
                <c:pt idx="2">
                  <c:v>15.803199999999999</c:v>
                </c:pt>
                <c:pt idx="3">
                  <c:v>14.286400000000002</c:v>
                </c:pt>
              </c:numCache>
            </c:numRef>
          </c:yVal>
          <c:smooth val="0"/>
          <c:extLst>
            <c:ext xmlns:c15="http://schemas.microsoft.com/office/drawing/2012/chart" uri="{02D57815-91ED-43cb-92C2-25804820EDAC}">
              <c15:datalabelsRange>
                <c15:f>'Pivot Table'!$AD$5:$AD$8</c15:f>
                <c15:dlblRangeCache>
                  <c:ptCount val="4"/>
                  <c:pt idx="0">
                    <c:v>Q1-Elite</c:v>
                  </c:pt>
                  <c:pt idx="1">
                    <c:v>Q2-Strong</c:v>
                  </c:pt>
                  <c:pt idx="2">
                    <c:v>Q3-Developing</c:v>
                  </c:pt>
                  <c:pt idx="3">
                    <c:v>Q4-Emerging</c:v>
                  </c:pt>
                </c15:dlblRangeCache>
              </c15:datalabelsRange>
            </c:ext>
            <c:ext xmlns:c16="http://schemas.microsoft.com/office/drawing/2014/chart" uri="{C3380CC4-5D6E-409C-BE32-E72D297353CC}">
              <c16:uniqueId val="{00000004-DBD0-064C-95E0-78B171ADD648}"/>
            </c:ext>
          </c:extLst>
        </c:ser>
        <c:dLbls>
          <c:showLegendKey val="0"/>
          <c:showVal val="0"/>
          <c:showCatName val="0"/>
          <c:showSerName val="0"/>
          <c:showPercent val="0"/>
          <c:showBubbleSize val="0"/>
        </c:dLbls>
        <c:axId val="851105135"/>
        <c:axId val="851440591"/>
      </c:scatterChart>
      <c:valAx>
        <c:axId val="8511051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Alumni Score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440591"/>
        <c:crosses val="autoZero"/>
        <c:crossBetween val="midCat"/>
      </c:valAx>
      <c:valAx>
        <c:axId val="8514405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Quality of Edication Score</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05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Global market share:Universities per nation</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Global market share:Universities per nation</a:t>
          </a:r>
        </a:p>
      </cx:txPr>
    </cx:title>
    <cx:plotArea>
      <cx:plotAreaRegion>
        <cx:series layoutId="treemap" uniqueId="{96BCFC4A-FD4B-4346-9294-8E2FA5C8FA35}">
          <cx:dataLabels>
            <cx:spPr>
              <a:ln>
                <a:solidFill>
                  <a:schemeClr val="accent1">
                    <a:shade val="15000"/>
                  </a:schemeClr>
                </a:solidFill>
              </a:ln>
            </cx:spPr>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0">
      <cx:tx>
        <cx:txData>
          <cx:v>Average Institution score by nation</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Average Institution score by nation</a:t>
          </a:r>
        </a:p>
      </cx:txPr>
    </cx:title>
    <cx:plotArea>
      <cx:plotAreaRegion>
        <cx:series layoutId="regionMap" uniqueId="{5F02BADB-87FF-1E4A-A2FF-96CC3761BD60}">
          <cx:tx>
            <cx:txData>
              <cx:f>_xlchart.v5.4</cx:f>
              <cx:v>Average of score</cx:v>
            </cx:txData>
          </cx:tx>
          <cx:dataId val="0"/>
          <cx:layoutPr>
            <cx:geography cultureLanguage="en-GB" cultureRegion="US" attribution="Powered by Bing">
              <cx:geoCache provider="{E9337A44-BEBE-4D9F-B70C-5C5E7DAFC167}">
                <cx:binary>xFPLDoIwEPyVph9g1XgiQMLBm9H4+IFmXaAJ7ZJ2G+HvBT1pwJMJ59mdmezOpNAl0KD2orONCwl0
mayZ20SpADVaHVbWgKdAJa+ArKKyNIDq7vXDuEpt15udglp7xk7m6cBWIR0INBty54i+v2CIDYcf
2CQkgKLjcb0amDJ5JM+1KCx6A1oKdGy4v/UtZvJjUgqVp2rWx6TW2+Ik9G2jCGZB9ROgdksa2EdP
LS54/nLZ918p/ieF8wkdmjKCr1LmTwAAAP//</cx:binary>
              </cx:geoCache>
            </cx:geography>
          </cx:layoutPr>
          <cx:valueColors>
            <cx:minColor>
              <a:schemeClr val="tx1"/>
            </cx:minColor>
            <cx:maxColor>
              <a:srgbClr val="FF0000"/>
            </cx:maxColor>
          </cx:valueColors>
          <cx:valueColorPositions count="3"/>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14/relationships/chartEx" Target="../charts/chartEx2.xml"/><Relationship Id="rId1" Type="http://schemas.microsoft.com/office/2014/relationships/chartEx" Target="../charts/chartEx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15992</xdr:rowOff>
    </xdr:from>
    <xdr:to>
      <xdr:col>4</xdr:col>
      <xdr:colOff>776112</xdr:colOff>
      <xdr:row>29</xdr:row>
      <xdr:rowOff>160396</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95DBBE9B-ABF0-4FE1-5EA3-6010AFDED1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3267192"/>
              <a:ext cx="4814712" cy="278600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647936</xdr:colOff>
      <xdr:row>66</xdr:row>
      <xdr:rowOff>110066</xdr:rowOff>
    </xdr:from>
    <xdr:to>
      <xdr:col>11</xdr:col>
      <xdr:colOff>1045399</xdr:colOff>
      <xdr:row>80</xdr:row>
      <xdr:rowOff>54562</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6BEC3149-47C4-8629-9167-3F8E206B02A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163036" y="13521266"/>
              <a:ext cx="4474163" cy="27892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789047</xdr:colOff>
      <xdr:row>16</xdr:row>
      <xdr:rowOff>121826</xdr:rowOff>
    </xdr:from>
    <xdr:to>
      <xdr:col>15</xdr:col>
      <xdr:colOff>81140</xdr:colOff>
      <xdr:row>30</xdr:row>
      <xdr:rowOff>66323</xdr:rowOff>
    </xdr:to>
    <xdr:graphicFrame macro="">
      <xdr:nvGraphicFramePr>
        <xdr:cNvPr id="6" name="Chart 5">
          <a:extLst>
            <a:ext uri="{FF2B5EF4-FFF2-40B4-BE49-F238E27FC236}">
              <a16:creationId xmlns:a16="http://schemas.microsoft.com/office/drawing/2014/main" id="{86777910-40DB-8026-54CB-46B7D6A7DD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863600</xdr:colOff>
      <xdr:row>10</xdr:row>
      <xdr:rowOff>127000</xdr:rowOff>
    </xdr:from>
    <xdr:to>
      <xdr:col>31</xdr:col>
      <xdr:colOff>38100</xdr:colOff>
      <xdr:row>25</xdr:row>
      <xdr:rowOff>114300</xdr:rowOff>
    </xdr:to>
    <xdr:graphicFrame macro="">
      <xdr:nvGraphicFramePr>
        <xdr:cNvPr id="2" name="Chart 1">
          <a:extLst>
            <a:ext uri="{FF2B5EF4-FFF2-40B4-BE49-F238E27FC236}">
              <a16:creationId xmlns:a16="http://schemas.microsoft.com/office/drawing/2014/main" id="{D8DAF329-3EA9-550E-D2B8-669B8F29A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952500</xdr:colOff>
      <xdr:row>10</xdr:row>
      <xdr:rowOff>127000</xdr:rowOff>
    </xdr:from>
    <xdr:to>
      <xdr:col>22</xdr:col>
      <xdr:colOff>990600</xdr:colOff>
      <xdr:row>24</xdr:row>
      <xdr:rowOff>25400</xdr:rowOff>
    </xdr:to>
    <xdr:graphicFrame macro="">
      <xdr:nvGraphicFramePr>
        <xdr:cNvPr id="3" name="Chart 2">
          <a:extLst>
            <a:ext uri="{FF2B5EF4-FFF2-40B4-BE49-F238E27FC236}">
              <a16:creationId xmlns:a16="http://schemas.microsoft.com/office/drawing/2014/main" id="{5AEEACA5-AB7F-EE8D-F4B4-B74D1EEE3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800100</xdr:colOff>
      <xdr:row>12</xdr:row>
      <xdr:rowOff>190500</xdr:rowOff>
    </xdr:from>
    <xdr:to>
      <xdr:col>12</xdr:col>
      <xdr:colOff>355600</xdr:colOff>
      <xdr:row>26</xdr:row>
      <xdr:rowOff>88900</xdr:rowOff>
    </xdr:to>
    <xdr:graphicFrame macro="">
      <xdr:nvGraphicFramePr>
        <xdr:cNvPr id="10" name="Chart 9">
          <a:extLst>
            <a:ext uri="{FF2B5EF4-FFF2-40B4-BE49-F238E27FC236}">
              <a16:creationId xmlns:a16="http://schemas.microsoft.com/office/drawing/2014/main" id="{CA356462-954B-2701-09B0-DCE5B2B72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330200</xdr:colOff>
      <xdr:row>10</xdr:row>
      <xdr:rowOff>76200</xdr:rowOff>
    </xdr:from>
    <xdr:to>
      <xdr:col>27</xdr:col>
      <xdr:colOff>1155700</xdr:colOff>
      <xdr:row>23</xdr:row>
      <xdr:rowOff>53972</xdr:rowOff>
    </xdr:to>
    <mc:AlternateContent xmlns:mc="http://schemas.openxmlformats.org/markup-compatibility/2006" xmlns:a14="http://schemas.microsoft.com/office/drawing/2010/main">
      <mc:Choice Requires="a14">
        <xdr:graphicFrame macro="">
          <xdr:nvGraphicFramePr>
            <xdr:cNvPr id="11" name="Region 2">
              <a:extLst>
                <a:ext uri="{FF2B5EF4-FFF2-40B4-BE49-F238E27FC236}">
                  <a16:creationId xmlns:a16="http://schemas.microsoft.com/office/drawing/2014/main" id="{B066B4E3-28A5-4E05-064E-452275E7C446}"/>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31267400" y="21082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419100</xdr:colOff>
      <xdr:row>14</xdr:row>
      <xdr:rowOff>38100</xdr:rowOff>
    </xdr:from>
    <xdr:to>
      <xdr:col>25</xdr:col>
      <xdr:colOff>685800</xdr:colOff>
      <xdr:row>27</xdr:row>
      <xdr:rowOff>15872</xdr:rowOff>
    </xdr:to>
    <mc:AlternateContent xmlns:mc="http://schemas.openxmlformats.org/markup-compatibility/2006" xmlns:a14="http://schemas.microsoft.com/office/drawing/2010/main">
      <mc:Choice Requires="a14">
        <xdr:graphicFrame macro="">
          <xdr:nvGraphicFramePr>
            <xdr:cNvPr id="14" name="Rank Tier">
              <a:extLst>
                <a:ext uri="{FF2B5EF4-FFF2-40B4-BE49-F238E27FC236}">
                  <a16:creationId xmlns:a16="http://schemas.microsoft.com/office/drawing/2014/main" id="{3522AA68-3BEB-99C9-DA9F-1774B46CDD53}"/>
                </a:ext>
              </a:extLst>
            </xdr:cNvPr>
            <xdr:cNvGraphicFramePr/>
          </xdr:nvGraphicFramePr>
          <xdr:xfrm>
            <a:off x="0" y="0"/>
            <a:ext cx="0" cy="0"/>
          </xdr:xfrm>
          <a:graphic>
            <a:graphicData uri="http://schemas.microsoft.com/office/drawing/2010/slicer">
              <sle:slicer xmlns:sle="http://schemas.microsoft.com/office/drawing/2010/slicer" name="Rank Tier"/>
            </a:graphicData>
          </a:graphic>
        </xdr:graphicFrame>
      </mc:Choice>
      <mc:Fallback xmlns="">
        <xdr:sp macro="" textlink="">
          <xdr:nvSpPr>
            <xdr:cNvPr id="0" name=""/>
            <xdr:cNvSpPr>
              <a:spLocks noTextEdit="1"/>
            </xdr:cNvSpPr>
          </xdr:nvSpPr>
          <xdr:spPr>
            <a:xfrm>
              <a:off x="28968700" y="28829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xdr:colOff>
      <xdr:row>5</xdr:row>
      <xdr:rowOff>61988</xdr:rowOff>
    </xdr:from>
    <xdr:to>
      <xdr:col>12</xdr:col>
      <xdr:colOff>0</xdr:colOff>
      <xdr:row>10</xdr:row>
      <xdr:rowOff>9494</xdr:rowOff>
    </xdr:to>
    <mc:AlternateContent xmlns:mc="http://schemas.openxmlformats.org/markup-compatibility/2006">
      <mc:Choice xmlns:a14="http://schemas.microsoft.com/office/drawing/2010/main" Requires="a14">
        <xdr:graphicFrame macro="">
          <xdr:nvGraphicFramePr>
            <xdr:cNvPr id="10" name="Region 3">
              <a:extLst>
                <a:ext uri="{FF2B5EF4-FFF2-40B4-BE49-F238E27FC236}">
                  <a16:creationId xmlns:a16="http://schemas.microsoft.com/office/drawing/2014/main" id="{F6E02B70-A1FB-EE4D-A6D9-AB683EA16AFF}"/>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dr:sp macro="" textlink="">
          <xdr:nvSpPr>
            <xdr:cNvPr id="0" name=""/>
            <xdr:cNvSpPr>
              <a:spLocks noTextEdit="1"/>
            </xdr:cNvSpPr>
          </xdr:nvSpPr>
          <xdr:spPr>
            <a:xfrm>
              <a:off x="3302001" y="1310821"/>
              <a:ext cx="6603999" cy="10058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48378</xdr:colOff>
      <xdr:row>5</xdr:row>
      <xdr:rowOff>61988</xdr:rowOff>
    </xdr:from>
    <xdr:to>
      <xdr:col>20</xdr:col>
      <xdr:colOff>42334</xdr:colOff>
      <xdr:row>10</xdr:row>
      <xdr:rowOff>9494</xdr:rowOff>
    </xdr:to>
    <mc:AlternateContent xmlns:mc="http://schemas.openxmlformats.org/markup-compatibility/2006">
      <mc:Choice xmlns:a14="http://schemas.microsoft.com/office/drawing/2010/main" Requires="a14">
        <xdr:graphicFrame macro="">
          <xdr:nvGraphicFramePr>
            <xdr:cNvPr id="11" name="Rank Tier 1">
              <a:extLst>
                <a:ext uri="{FF2B5EF4-FFF2-40B4-BE49-F238E27FC236}">
                  <a16:creationId xmlns:a16="http://schemas.microsoft.com/office/drawing/2014/main" id="{22A9E6D2-31E3-BC4A-9E11-2DA161308703}"/>
                </a:ext>
              </a:extLst>
            </xdr:cNvPr>
            <xdr:cNvGraphicFramePr/>
          </xdr:nvGraphicFramePr>
          <xdr:xfrm>
            <a:off x="0" y="0"/>
            <a:ext cx="0" cy="0"/>
          </xdr:xfrm>
          <a:graphic>
            <a:graphicData uri="http://schemas.microsoft.com/office/drawing/2010/slicer">
              <sle:slicer xmlns:sle="http://schemas.microsoft.com/office/drawing/2010/slicer" name="Rank Tier 1"/>
            </a:graphicData>
          </a:graphic>
        </xdr:graphicFrame>
      </mc:Choice>
      <mc:Fallback>
        <xdr:sp macro="" textlink="">
          <xdr:nvSpPr>
            <xdr:cNvPr id="0" name=""/>
            <xdr:cNvSpPr>
              <a:spLocks noTextEdit="1"/>
            </xdr:cNvSpPr>
          </xdr:nvSpPr>
          <xdr:spPr>
            <a:xfrm>
              <a:off x="9954378" y="1310821"/>
              <a:ext cx="6597956" cy="10058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783167</xdr:colOff>
      <xdr:row>10</xdr:row>
      <xdr:rowOff>96762</xdr:rowOff>
    </xdr:from>
    <xdr:to>
      <xdr:col>20</xdr:col>
      <xdr:colOff>169334</xdr:colOff>
      <xdr:row>64</xdr:row>
      <xdr:rowOff>78617</xdr:rowOff>
    </xdr:to>
    <xdr:grpSp>
      <xdr:nvGrpSpPr>
        <xdr:cNvPr id="4" name="Group 3">
          <a:extLst>
            <a:ext uri="{FF2B5EF4-FFF2-40B4-BE49-F238E27FC236}">
              <a16:creationId xmlns:a16="http://schemas.microsoft.com/office/drawing/2014/main" id="{CE87D64D-54E6-6D72-EEF7-F7AC8CF9B5A5}"/>
            </a:ext>
          </a:extLst>
        </xdr:cNvPr>
        <xdr:cNvGrpSpPr/>
      </xdr:nvGrpSpPr>
      <xdr:grpSpPr>
        <a:xfrm>
          <a:off x="3259667" y="2403929"/>
          <a:ext cx="13419667" cy="11411855"/>
          <a:chOff x="3295953" y="1260930"/>
          <a:chExt cx="13552715" cy="11411856"/>
        </a:xfrm>
      </xdr:grpSpPr>
      <xdr:sp macro="" textlink="">
        <xdr:nvSpPr>
          <xdr:cNvPr id="2" name="Rectangle 1">
            <a:extLst>
              <a:ext uri="{FF2B5EF4-FFF2-40B4-BE49-F238E27FC236}">
                <a16:creationId xmlns:a16="http://schemas.microsoft.com/office/drawing/2014/main" id="{2D23D9E0-3ED1-CEA7-B218-D48CA3080202}"/>
              </a:ext>
            </a:extLst>
          </xdr:cNvPr>
          <xdr:cNvSpPr/>
        </xdr:nvSpPr>
        <xdr:spPr>
          <a:xfrm>
            <a:off x="3295953" y="1260930"/>
            <a:ext cx="13552715" cy="11411856"/>
          </a:xfrm>
          <a:prstGeom prst="rect">
            <a:avLst/>
          </a:prstGeom>
          <a:solidFill>
            <a:srgbClr val="FAF9F6">
              <a:alpha val="5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3" name="Chart 2">
            <a:extLst>
              <a:ext uri="{FF2B5EF4-FFF2-40B4-BE49-F238E27FC236}">
                <a16:creationId xmlns:a16="http://schemas.microsoft.com/office/drawing/2014/main" id="{A46C5799-E7C0-2642-ADAB-89833B18AC20}"/>
              </a:ext>
            </a:extLst>
          </xdr:cNvPr>
          <xdr:cNvGraphicFramePr>
            <a:graphicFrameLocks/>
          </xdr:cNvGraphicFramePr>
        </xdr:nvGraphicFramePr>
        <xdr:xfrm>
          <a:off x="3320142" y="1266976"/>
          <a:ext cx="6640287" cy="563033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6F4FFE08-523C-E34B-9B55-508CF107D234}"/>
              </a:ext>
            </a:extLst>
          </xdr:cNvPr>
          <xdr:cNvGraphicFramePr>
            <a:graphicFrameLocks/>
          </xdr:cNvGraphicFramePr>
        </xdr:nvGraphicFramePr>
        <xdr:xfrm>
          <a:off x="10344453" y="1266976"/>
          <a:ext cx="6504215" cy="569685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99F6490E-65C8-C248-B985-A68B6C1D1FBF}"/>
              </a:ext>
            </a:extLst>
          </xdr:cNvPr>
          <xdr:cNvGraphicFramePr>
            <a:graphicFrameLocks/>
          </xdr:cNvGraphicFramePr>
        </xdr:nvGraphicFramePr>
        <xdr:xfrm>
          <a:off x="3320142" y="6951737"/>
          <a:ext cx="6658430" cy="550333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Chart 8">
            <a:extLst>
              <a:ext uri="{FF2B5EF4-FFF2-40B4-BE49-F238E27FC236}">
                <a16:creationId xmlns:a16="http://schemas.microsoft.com/office/drawing/2014/main" id="{081A16E9-345B-6440-A510-124346055458}"/>
              </a:ext>
            </a:extLst>
          </xdr:cNvPr>
          <xdr:cNvGraphicFramePr>
            <a:graphicFrameLocks/>
          </xdr:cNvGraphicFramePr>
        </xdr:nvGraphicFramePr>
        <xdr:xfrm>
          <a:off x="10350501" y="7069667"/>
          <a:ext cx="6498167" cy="5385403"/>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20Comprehensive%20of%20th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Comprehensive of th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186.310568518522" createdVersion="8" refreshedVersion="8" minRefreshableVersion="3" recordCount="1000" xr:uid="{76097360-E6C5-F847-92E7-04C2FA6F1FEC}">
  <cacheSource type="worksheet">
    <worksheetSource name="Table1"/>
  </cacheSource>
  <cacheFields count="24">
    <cacheField name="World Rank" numFmtId="0">
      <sharedItems containsSemiMixedTypes="0" containsString="0" containsNumber="1" containsInteger="1" minValue="1" maxValue="1000" count="10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sharedItems>
    </cacheField>
    <cacheField name="Institution" numFmtId="0">
      <sharedItems count="1000">
        <s v="Harvard University"/>
        <s v="Stanford University"/>
        <s v="Massachusetts Institute of Technology"/>
        <s v="University of Cambridge"/>
        <s v="University of Oxford"/>
        <s v="University of California, Berkeley"/>
        <s v="Princeton University"/>
        <s v="Columbia University"/>
        <s v="California Institute of Technology"/>
        <s v="University of Chicago"/>
        <s v="Yale University"/>
        <s v="University of Tokyo"/>
        <s v="University of Pennsylvania"/>
        <s v="Cornell University"/>
        <s v="University of California, Los Angeles"/>
        <s v="Johns Hopkins University"/>
        <s v="University of Toronto"/>
        <s v="University of Michigan, Ann Arbor"/>
        <s v="University of Washington - Seattle"/>
        <s v="University of California, San Diego"/>
        <s v="University College London"/>
        <s v="University of California, San Francisco"/>
        <s v="Northwestern University"/>
        <s v="Duke University"/>
        <s v="New York University"/>
        <s v="Kyoto University"/>
        <s v="University of Wisconsin¬ñMadison"/>
        <s v="ETH Zurich"/>
        <s v="Sorbonne University"/>
        <s v="Imperial College London"/>
        <s v="University of Texas at Austin"/>
        <s v="University of Illinois at Urbana¬ñChampaign"/>
        <s v="University of North Carolina at Chapel Hill"/>
        <s v="University of Edinburgh"/>
        <s v="University of Minnesota Twin Cities"/>
        <s v="Washington University in St. Louis"/>
        <s v="McGill University"/>
        <s v="University of British Columbia"/>
        <s v="University of Copenhagen"/>
        <s v="Ohio State University"/>
        <s v="Rutgers University-New Brunswick"/>
        <s v="University of California, Davis"/>
        <s v="Pennsylvania State University"/>
        <s v="University of Manchester"/>
        <s v="Weizmann Institute of Science"/>
        <s v="Heidelberg University"/>
        <s v="University of Maryland, College Park"/>
        <s v="Ludwig Maximilian University of Munich"/>
        <s v="Karolinska Institute"/>
        <s v="University of Colorado Boulder"/>
        <s v="University of Southern California"/>
        <s v="University of Arizona"/>
        <s v="Osaka University"/>
        <s v="University of Paris-Sud"/>
        <s v="University of Geneva"/>
        <s v="Boston University"/>
        <s v="University of Melbourne"/>
        <s v="Brown University"/>
        <s v="University of California, Irvine"/>
        <s v="Seoul National University"/>
        <s v="Hebrew University of Jerusalem"/>
        <s v="University of Florida"/>
        <s v="Purdue University, West Lafayette"/>
        <s v="Vanderbilt University"/>
        <s v="University of Bristol"/>
        <s v="University of Texas Southwestern Medical Center"/>
        <s v="Sapienza University of Rome"/>
        <s v="King's College London"/>
        <s v="University of Zurich"/>
        <s v="University of California, Santa Barbara"/>
        <s v="University of Sydney"/>
        <s v="Utrecht University"/>
        <s v="University of Pittsburgh"/>
        <s v="University of Queensland"/>
        <s v="University of Oslo"/>
        <s v="Rockefeller University"/>
        <s v="University of S√£o Paulo"/>
        <s v="Texas A&amp;M University, College Station"/>
        <s v="University of Virginia"/>
        <s v="Emory University"/>
        <s v="Free University of Berlin"/>
        <s v="Australian National University"/>
        <s v="University of Utah"/>
        <s v="Paris Diderot University"/>
        <s v="Tel Aviv University"/>
        <s v="Uppsala University"/>
        <s v="University of Barcelona"/>
        <s v="Aarhus University"/>
        <s v="University of Texas MD Anderson Cancer Center"/>
        <s v="Leiden University"/>
        <s v="Carnegie Mellon University"/>
        <s v="Peking University"/>
        <s v="University of Helsinki"/>
        <s v="Baylor College of Medicine"/>
        <s v="Lund University"/>
        <s v="University of Alberta"/>
        <s v="Grenoble Alpes University"/>
        <s v="Tsinghua University"/>
        <s v="University of Basel"/>
        <s v="University of Groningen"/>
        <s v="Humboldt University of Berlin"/>
        <s v="√âcole Polytechnique F√©d√©rale de Lausanne"/>
        <s v="National University of Singapore"/>
        <s v="Ghent University"/>
        <s v="University of Rochester"/>
        <s v="Erasmus University Rotterdam"/>
        <s v="KU Leuven"/>
        <s v="University of Bern"/>
        <s v="National Taiwan University"/>
        <s v="University of Montreal"/>
        <s v="University of California, Santa Cruz"/>
        <s v="Technical University of Munich"/>
        <s v="Nagoya University"/>
        <s v="Arizona State University"/>
        <s v="University of Bonn"/>
        <s v="√âcole Polytechnique"/>
        <s v="√âcole normale sup√©rieure"/>
        <s v="University of Nottingham"/>
        <s v="University of New South Wales"/>
        <s v="Tohoku University"/>
        <s v="McMaster University"/>
        <s v="Dartmouth College"/>
        <s v="University of Amsterdam"/>
        <s v="Monash University"/>
        <s v="University of Hamburg"/>
        <s v="Moscow State University"/>
        <s v="VU University Amsterdam"/>
        <s v="Stony Brook University"/>
        <s v="Rice University"/>
        <s v="Radboud University Nijmegen"/>
        <s v="Cardiff University"/>
        <s v="University of T√ºbingen"/>
        <s v="University of Colorado Denver | Anschutz Medical Campus"/>
        <s v="University of Iowa"/>
        <s v="University of Strasbourg"/>
        <s v="Shanghai Jiao Tong University"/>
        <s v="University of Southampton"/>
        <s v="Aix-Marseille University"/>
        <s v="Georgia Institute of Technology"/>
        <s v="Tokyo Institute of Technology"/>
        <s v="University of Montpellier"/>
        <s v="Case Western Reserve University"/>
        <s v="Indiana University Bloomington"/>
        <s v="Michigan State University"/>
        <s v="University of Western Australia"/>
        <s v="University of Lausanne"/>
        <s v="Technion ¬ñ Israel Institute of Technology"/>
        <s v="University of Milan"/>
        <s v="Goethe University Frankfurt"/>
        <s v="University of Padua"/>
        <s v="Oregon Health &amp; Science University"/>
        <s v="Autonomous University of Barcelona"/>
        <s v="Icahn School of Medicine at Mount Sinai"/>
        <s v="Tufts University"/>
        <s v="University of G√∂ttingen"/>
        <s v="Royal Institute of Technology"/>
        <s v="Zhejiang University"/>
        <s v="University of Glasgow"/>
        <s v="Stockholm University"/>
        <s v="University of Notre Dame"/>
        <s v="Universit√© catholique de Louvain"/>
        <s v="University of Sheffield"/>
        <s v="University of Warwick"/>
        <s v="University of Leeds"/>
        <s v="University of Freiburg"/>
        <s v="University of Gothenburg"/>
        <s v="North Carolina State University"/>
        <s v="Wageningen University and Research"/>
        <s v="University of Birmingham"/>
        <s v="Fudan University"/>
        <s v="University of Hong Kong"/>
        <s v="University of Vienna"/>
        <s v="Nanyang Technological University"/>
        <s v="Hokkaido University"/>
        <s v="Keio University"/>
        <s v="Universit√© libre de Bruxelles"/>
        <s v="Iowa State University"/>
        <s v="Chinese University of Hong Kong"/>
        <s v="University of Liverpool"/>
        <s v="University of Georgia"/>
        <s v="Paris Descartes University"/>
        <s v="University of Massachusetts Medical School"/>
        <s v="University of Science and Technology, Korea"/>
        <s v="University of Massachusetts Amherst"/>
        <s v="University of Florence"/>
        <s v="University of M√ºnster"/>
        <s v="Queen Mary University of London"/>
        <s v="Newcastle University"/>
        <s v="University of Chinese Academy of Sciences"/>
        <s v="University of Missouri¬ñColumbia"/>
        <s v="University of Alabama at Birmingham"/>
        <s v="Durham University"/>
        <s v="University of Connecticut"/>
        <s v="University of Texas Health Science Center at Houston"/>
        <s v="Yeshiva University"/>
        <s v="University of Calgary"/>
        <s v="University of Miami"/>
        <s v="Western University"/>
        <s v="Paul Sabatier University - Toulouse III"/>
        <s v="Nanjing University"/>
        <s v="University of Bologna"/>
        <s v="Sun Yat-sen University"/>
        <s v="Charles University in Prague"/>
        <s v="University of Cincinnati"/>
        <s v="University of Ottawa"/>
        <s v="University of Li√®ge"/>
        <s v="TU Dresden"/>
        <s v="University of Turin"/>
        <s v="University of Science and Technology of China"/>
        <s v="University of Maryland, Baltimore"/>
        <s v="University of Sussex"/>
        <s v="RWTH Aachen University"/>
        <s v="University of Cologne"/>
        <s v="University of W√ºrzburg"/>
        <s v="Technical University of Denmark"/>
        <s v="University of Erlangen-Nuremberg"/>
        <s v="University of Illinois at Chicago"/>
        <s v="Sungkyunkwan University"/>
        <s v="Louisiana State University"/>
        <s v="University of Lisbon"/>
        <s v="Claude Bernard University Lyon 1"/>
        <s v="Yonsei University"/>
        <s v="University of Cape Town"/>
        <s v="University of Kansas"/>
        <s v="University College Dublin"/>
        <s v="Kyushu University"/>
        <s v="University of Porto"/>
        <s v="Trinity College, Dublin"/>
        <s v="University of Adelaide"/>
        <s v="University of the Witwatersrand"/>
        <s v="University of Manitoba"/>
        <s v="Karlsruhe Institute of Technology"/>
        <s v="University of Kiel"/>
        <s v="Johannes Gutenberg University Mainz"/>
        <s v="Indiana University ¬ñ Purdue University Indianapolis"/>
        <s v="University of Auckland"/>
        <s v="Korea University"/>
        <s v="University of Tsukuba"/>
        <s v="Wake Forest University"/>
        <s v="Ulm University"/>
        <s v="Queensland University of Technology"/>
        <s v="University of Lille"/>
        <s v="University of Aberdeen"/>
        <s v="Colorado State University"/>
        <s v="University of California, Riverside"/>
        <s v="Virginia Commonwealth University"/>
        <s v="University of Naples Federico II"/>
        <s v="Florida State University"/>
        <s v="Maastricht University"/>
        <s v="Brandeis University"/>
        <s v="Oregon State University"/>
        <s v="University of Bergen"/>
        <s v="Wayne State University"/>
        <s v="University of Tennessee, Knoxville"/>
        <s v="Ume√• University"/>
        <s v="London School of Hygiene &amp; Tropical Medicine"/>
        <s v="University of New Mexico"/>
        <s v="National Autonomous University of Mexico"/>
        <s v="University of Kentucky"/>
        <s v="University of Warsaw"/>
        <s v="Queen's University"/>
        <s v="University of South Florida"/>
        <s v="Norwegian University of Science and Technology"/>
        <s v="Complutense University of Madrid"/>
        <s v="Xi'an Jiaotong University"/>
        <s v="University of Leicester"/>
        <s v="Medical University of Vienna"/>
        <s v="University of Waterloo"/>
        <s v="Laval University"/>
        <s v="Shandong University"/>
        <s v="University of Valencia"/>
        <s v="University of East Anglia"/>
        <s v="University at Buffalo"/>
        <s v="London School of Economics"/>
        <s v="Virginia Tech"/>
        <s v="Huazhong University of Science and Technology"/>
        <s v="Washington State University"/>
        <s v="Dalhousie University"/>
        <s v="University of York"/>
        <s v="Autonomous University of Madrid"/>
        <s v="University of Exeter"/>
        <s v="University of South Carolina - Columbia"/>
        <s v="University of Rome Tor Vergata"/>
        <s v="Delft University of Technology"/>
        <s v="University of Pisa"/>
        <s v="Kobe University"/>
        <s v="Leipzig University"/>
        <s v="University of Delaware"/>
        <s v="Georgetown University"/>
        <s v="University of Duisburg-Essen"/>
        <s v="Ruhr University Bochum"/>
        <s v="University of Antwerp"/>
        <s v="University of Buenos Aires"/>
        <s v="University of D√ºsseldorf"/>
        <s v="KAIST"/>
        <s v="Sichuan University"/>
        <s v="National Cheng Kung University"/>
        <s v="Federal University of Rio de Janeiro"/>
        <s v="University of Houston"/>
        <s v="Harbin Institute of Technology"/>
        <s v="University of Innsbruck"/>
        <s v="Chinese Academy of Medical Sciences &amp; Peking Union Medical College"/>
        <s v="Waseda University"/>
        <s v="University of Texas at Dallas"/>
        <s v="National and Kapodistrian University of Athens"/>
        <s v="University of Hawaii at Manoa"/>
        <s v="University of Lorraine"/>
        <s v="George Washington University"/>
        <s v="University of Otago"/>
        <s v="Versailles Saint-Quentin-en-Yvelines University"/>
        <s v="Simon Fraser University"/>
        <s v="Tongji University"/>
        <s v="University of Nebraska¬ñLincoln"/>
        <s v="University of Perugia"/>
        <s v="Queen's University Belfast"/>
        <s v="University of Texas Health Science Center at San Antonio"/>
        <s v="University of Jena"/>
        <s v="University of Granada"/>
        <s v="South China University of Technology"/>
        <s v="University of Dundee"/>
        <s v="Vrije Universiteit Brussel"/>
        <s v="George Mason University"/>
        <s v="King Abdulaziz University"/>
        <s v="Macquarie University"/>
        <s v="Pontifical Catholic University of Chile"/>
        <s v="University of Guelph"/>
        <s v="University of Regensburg"/>
        <s v="Central South University"/>
        <s v="Grenoble Institute of Technology"/>
        <s v="Thomas Jefferson University"/>
        <s v="Mines ParisTech"/>
        <s v="University of St Andrews"/>
        <s v="Medical University of South Carolina"/>
        <s v="Jilin University"/>
        <s v="Wuhan University"/>
        <s v="Hanyang University"/>
        <s v="Nankai University"/>
        <s v="University of Southern Denmark"/>
        <s v="University of Turku"/>
        <s v="Hong Kong University of Science and Technology"/>
        <s v="Temple University"/>
        <s v="Hong Kong Polytechnic University"/>
        <s v="University of Belgrade"/>
        <s v="Northeastern University"/>
        <s v="University of Stuttgart"/>
        <s v="Dalian University of Technology"/>
        <s v="Tianjin University"/>
        <s v="Pohang University of Science and Technology"/>
        <s v="University of Genoa"/>
        <s v="Hannover Medical School"/>
        <s v="Griffith University"/>
        <s v="University at Albany, SUNY"/>
        <s v="University of Giessen"/>
        <s v="Drexel University"/>
        <s v="Aalto University"/>
        <s v="Pompeu Fabra University"/>
        <s v="Link√∂ping University"/>
        <s v="City University of Hong Kong"/>
        <s v="University of the Basque Country"/>
        <s v="University of Campinas"/>
        <s v="Soochow University, China"/>
        <s v="Kansas State University"/>
        <s v="University of Victoria"/>
        <s v="Polytechnic University of Milan"/>
        <s v="University of Oulu"/>
        <s v="University of Pavia"/>
        <s v="Southeast University"/>
        <s v="Swedish University of Agricultural Sciences"/>
        <s v="Xiamen University"/>
        <s v="University of Ljubljana"/>
        <s v="Islamic Azad University"/>
        <s v="UNESP, S√£o Paulo State University"/>
        <s v="University of New Hampshire"/>
        <s v="Medical College of Wisconsin"/>
        <s v="Aristotle University of Thessaloniki"/>
        <s v="University of Vermont"/>
        <s v="Hiroshima University"/>
        <s v="National Tsing Hua University"/>
        <s v="Eindhoven University of Technology"/>
        <s v="University of Marburg"/>
        <s v="Jagiellonian University"/>
        <s v="Pusan National University"/>
        <s v="Beijing Normal University"/>
        <s v="University of Chile"/>
        <s v="Kyung Hee University"/>
        <s v="Lancaster University"/>
        <s v="Deakin University"/>
        <s v="York University"/>
        <s v="Okayama University"/>
        <s v="James Cook University"/>
        <s v="University of Bath"/>
        <s v="University of Trieste"/>
        <s v="University of Oklahoma, Norman"/>
        <s v="Ben-Gurion University of the Negev"/>
        <s v="University of Twente"/>
        <s v="China Agricultural University"/>
        <s v="University of Wollongong"/>
        <s v="Federal University of Rio Grande do Sul"/>
        <s v="University of Tasmania"/>
        <s v="Curtin University"/>
        <s v="TU Wien"/>
        <s v="University of KwaZulu-Natal"/>
        <s v="University of Coimbra"/>
        <s v="University of Milano-Bicocca"/>
        <s v="University of Louisville"/>
        <s v="Federal University of Minas Gerais"/>
        <s v="University of Reading"/>
        <s v="Kyungpook National University"/>
        <s v="University of Rennes 1"/>
        <s v="Technical University of Berlin"/>
        <s v="University of Saskatchewan"/>
        <s v="Martin Luther University of Halle-Wittenberg"/>
        <s v="E√∂tv√∂s Lor√°nd University"/>
        <s v="University of Seville"/>
        <s v="Polytechnic University of Catalonia"/>
        <s v="Catholic University of the Sacred Heart"/>
        <s v="University of Konstanz"/>
        <s v="University of Eastern Finland"/>
        <s v="√âcole normale sup√©rieure de Lyon"/>
        <s v="Indian Institute of Science"/>
        <s v="King Saud University"/>
        <s v="Scuola Normale Superiore"/>
        <s v="University of Bremen"/>
        <s v="University of Strathclyde"/>
        <s v="University of Newcastle"/>
        <s v="University of Santiago de Compostela"/>
        <s v="National Chiao Tung University"/>
        <s v="University of Oregon"/>
        <s v="Tulane University"/>
        <s v="Rensselaer Polytechnic Institute"/>
        <s v="University of Bari"/>
        <s v="Chonnam National University"/>
        <s v="Capital Medical University"/>
        <s v="King Abdullah University of Science and Technology"/>
        <s v="Rush University"/>
        <s v="INSEAD"/>
        <s v="Texas Tech University"/>
        <s v="University of Pretoria"/>
        <s v="New University of Lisbon"/>
        <s v="University of Oviedo"/>
        <s v="Saint Louis University"/>
        <s v="Federal University of S√£o Paulo"/>
        <s v="Vita-Salute San Raffaele University"/>
        <s v="University of Ulsan"/>
        <s v="University of Siena"/>
        <s v="University of La Laguna"/>
        <s v="University of Nice Sophia Antipolis"/>
        <s v="Stellenbosch University"/>
        <s v="University of Zaragoza"/>
        <s v="University of Canterbury"/>
        <s v="University of Malaya"/>
        <s v="Cairo University"/>
        <s v="Aalborg University"/>
        <s v="University of Bordeaux"/>
        <s v="University of Central Florida"/>
        <s v="University of Ferrara"/>
        <s v="TU Darmstadt"/>
        <s v="University of Savoy"/>
        <s v="University of Mississippi"/>
        <s v="Lanzhou University"/>
        <s v="University of Tehran"/>
        <s v="University of Modena and Reggio Emilia"/>
        <s v="University of Zagreb"/>
        <s v="Chalmers University of Technology"/>
        <s v="China University of Geosciences"/>
        <s v="Medical University of Innsbruck"/>
        <s v="National Yang-Ming University"/>
        <s v="University of Sherbrooke"/>
        <s v="University of Texas Medical Branch"/>
        <s v="University of Verona"/>
        <s v="Mahidol University"/>
        <s v="Polytechnic University of Valencia"/>
        <s v="University College Cork"/>
        <s v="University of Hanover"/>
        <s v="University of Parma"/>
        <s v="University of Iceland"/>
        <s v="University of Bayreuth"/>
        <s v="West Virginia University"/>
        <s v="University of Trento"/>
        <s v="Georgia State University"/>
        <s v="Southern Methodist University"/>
        <s v="Chiba University"/>
        <s v="University of Nebraska Medical Center"/>
        <s v="University of Electronic Science and Technology of China"/>
        <s v="Beihang University"/>
        <s v="San Diego State University"/>
        <s v="AgroParisTech"/>
        <s v="Chulalongkorn University"/>
        <s v="University of Troms√∏ ¬ñ The Arctic University of Norway"/>
        <s v="University of Tartu"/>
        <s v="University of Alabama - Tuscaloosa"/>
        <s v="Bar-Ilan University"/>
        <s v="Flinders University"/>
        <s v="Saarland University"/>
        <s v="Clemson University"/>
        <s v="Hunan University"/>
        <s v="East China University of Science and Technology"/>
        <s v="Open University, UK"/>
        <s v="University of Wyoming"/>
        <s v="Lehigh University"/>
        <s v="National Central University"/>
        <s v="Tilburg University"/>
        <s v="University of Science and Technology Beijing"/>
        <s v="University of Surrey"/>
        <s v="Tokyo Medical and Dental University"/>
        <s v="Paris Dauphine University"/>
        <s v="University of Potsdam"/>
        <s v="Brigham Young University"/>
        <s v="University of Palermo"/>
        <s v="Chang Gung University"/>
        <s v="University of Catania"/>
        <s v="Boston College"/>
        <s v="University of Nantes"/>
        <s v="University of Tampere"/>
        <s v="Beijing Institute of Technology"/>
        <s v="University of Poitiers"/>
        <s v="Utah State University"/>
        <s v="NUI Galway"/>
        <s v="Tata Institute of Fundamental Research"/>
        <s v="University of Burgundy"/>
        <s v="National Chung Hsing University"/>
        <s v="University of Minho"/>
        <s v="University of Hull"/>
        <s v="St George's, University of London"/>
        <s v="Hacettepe University"/>
        <s v="Loyola University Chicago"/>
        <s v="Oklahoma State University"/>
        <s v="Colorado School of Mines"/>
        <s v="Swansea University"/>
        <s v="National Polytechnic Institute of Toulouse"/>
        <s v="Massey University"/>
        <s v="Florida International University"/>
        <s v="East China Normal University"/>
        <s v="La Trobe University"/>
        <s v="Chongqing University"/>
        <s v="Shanghai University"/>
        <s v="University of Plymouth"/>
        <s v="Ewha Womans University"/>
        <s v="Technical University of Dortmund"/>
        <s v="Royal Holloway, University of London"/>
        <s v="Saint Petersburg State University"/>
        <s v="Bielefeld University"/>
        <s v="Northwestern Polytechnical University"/>
        <s v="Konkuk University"/>
        <s v="National University of La Plata"/>
        <s v="Auburn University"/>
        <s v="Tehran University of Medical Sciences"/>
        <s v="China Medical University, Taiwan"/>
        <s v="Nanjing Agricultural University"/>
        <s v="University of Maine, Orono"/>
        <s v="University of Aveiro"/>
        <s v="Catholic University of Korea"/>
        <s v="University of Salamanca"/>
        <s v="Second Military Medical University"/>
        <s v="Syracuse University"/>
        <s v="Moscow Institute of Physics and Technology"/>
        <s v="Carleton University"/>
        <s v="University of Texas at Arlington"/>
        <s v="National Polytechnic Institute"/>
        <s v="Istanbul University"/>
        <s v="Kanazawa University"/>
        <s v="University of Technology Sydney"/>
        <s v="University of Alaska Fairbanks"/>
        <s v="Western Sydney University"/>
        <s v="Birkbeck, University of London"/>
        <s v="University of Science, Malaysia"/>
        <s v="University of Arkansas - Fayetteville"/>
        <s v="Baylor University"/>
        <s v="University of Oklahoma Health Sciences Center"/>
        <s v="University of South Australia"/>
        <s v="Masaryk University"/>
        <s v="University of Wisconsin¬ñMilwaukee"/>
        <s v="Polytechnic University of Madrid"/>
        <s v="University of Rostock"/>
        <s v="Victoria University of Wellington"/>
        <s v="Warsaw University of Technology"/>
        <s v="Nanjing Medical University"/>
        <s v="Montana State University - Bozeman"/>
        <s v="Memorial University of Newfoundland"/>
        <s v="Chonbuk National University"/>
        <s v="Tokyo Metropolitan University"/>
        <s v="College of William &amp; Mary"/>
        <s v="Braunschweig University of Technology"/>
        <s v="University of Qu√©bec at Montreal"/>
        <s v="CINVESTAV"/>
        <s v="CentraleSup√©lec"/>
        <s v="Nanjing University of Science and Technology"/>
        <s v="Huazhong Agricultural University"/>
        <s v="HEC Paris"/>
        <s v="Zhengzhou University"/>
        <s v="SUNY Downstate Medical Center"/>
        <s v="Sharif University of Technology"/>
        <s v="National Sun Yat-sen University"/>
        <s v="University of Clermont Auvergne"/>
        <s v="Novosibirsk State University"/>
        <s v="Middle East Technical University"/>
        <s v="Yokohama City University"/>
        <s v="Beijing University of Chemical Technology"/>
        <s v="University of Nevada, Reno"/>
        <s v="Otto von Guericke University Magdeburg"/>
        <s v="Kitasato University"/>
        <s v="University of Montana - Missoula"/>
        <s v="University of Jyv√§skyl√§"/>
        <s v="University of Arkansas for Medical Sciences"/>
        <s v="University of Crete"/>
        <s v="University of L√ºbeck"/>
        <s v="Chungnam National University"/>
        <s v="Chung-Ang University"/>
        <s v="Inha University"/>
        <s v="Palack√Ω University Olomouc"/>
        <s v="University of Salerno"/>
        <s v="Loughborough University"/>
        <s v="Medical University of Graz"/>
        <s v="Polytechnic University of Turin"/>
        <s v="Indian Institute of Technology Bombay"/>
        <s v="Ege University"/>
        <s v="Shinshu University"/>
        <s v="Niigata University"/>
        <s v="University of Kent"/>
        <s v="University of Haifa"/>
        <s v="University of Cantabria"/>
        <s v="University of Cagliari"/>
        <s v="University of Tennessee Health Science Center"/>
        <s v="Kangwon National University"/>
        <s v="Ankara University"/>
        <s v="Southern Medical University"/>
        <s v="National Technical University of Athens"/>
        <s v="Kumamoto University"/>
        <s v="Nagasaki University"/>
        <s v="University of Udine"/>
        <s v="University of Greifswald"/>
        <s v="Fourth Military Medical University"/>
        <s v="AGH University of Science and Technology"/>
        <s v="RMIT University"/>
        <s v="China University of Petroleum"/>
        <s v="Nanjing University of Aeronautics and Astronautics"/>
        <s v="√âcole nationale d'administration"/>
        <s v="Mississippi State University"/>
        <s v="University of Maryland, Baltimore County"/>
        <s v="University of Murcia"/>
        <s v="Augusta University"/>
        <s v="Isfahan University of Technology"/>
        <s v="Swinburne University of Technology"/>
        <s v="Stockholm School of Economics"/>
        <s v="Northwest A&amp;F University"/>
        <s v="Wuhan University of Technology"/>
        <s v="University of Graz"/>
        <s v="Istanbul Technical University"/>
        <s v="University of Texas at San Antonio"/>
        <s v="International School for Advanced Studies"/>
        <s v="Indian Institute of Technology Madras"/>
        <s v="ESPCI Paris"/>
        <s v="University of Navarra"/>
        <s v="Taipei Medical University"/>
        <s v="Kaohsiung Medical University"/>
        <s v="√âcole normale sup√©rieure Paris-Saclay"/>
        <s v="Southwest University"/>
        <s v="Semmelweis University"/>
        <s v="Rio de Janeiro State University"/>
        <s v="Gwangju Institute of Science and Technology"/>
        <s v="University of Calabria"/>
        <s v="University of C√≥rdoba, Spain"/>
        <s v="University of Campania Luigi Vanvitelli"/>
        <s v="Rovira i Virgili University"/>
        <s v="University of Idaho"/>
        <s v="University of Louisiana at Lafayette"/>
        <s v="Czech Technical University in Prague"/>
        <s v="University of Franche-Comt√©"/>
        <s v="Rutgers University¬ñNewark"/>
        <s v="University of Patras"/>
        <s v="Indian Institute of Technology Delhi"/>
        <s v="Fuzhou University"/>
        <s v="Comenius University in Bratislava"/>
        <s v="Brunel University London"/>
        <s v="Osaka City University"/>
        <s v="Indian Institute of Technology Kharagpur"/>
        <s v="University of Akron"/>
        <s v="Kindai University"/>
        <s v="Gazi University"/>
        <s v="Jiangnan University"/>
        <s v="University of Rhode Island"/>
        <s v="University of North Texas, Denton"/>
        <s v="University of M√°laga"/>
        <s v="INSA Lyon"/>
        <s v="Shenzhen University"/>
        <s v="University of Eastern Piedmont"/>
        <s v="Kent State University"/>
        <s v="Army Medical University"/>
        <s v="Amirkabir University of Technology"/>
        <s v="Gyeongsang National University"/>
        <s v="Jinan University"/>
        <s v="Northwest University, China"/>
        <s v="Central China Normal University"/>
        <s v="Federal University of Santa Catarina"/>
        <s v="Liverpool John Moores University"/>
        <s v="University of Debrecen"/>
        <s v="Ocean University of China"/>
        <s v="Nihon University"/>
        <s v="Roma Tre University"/>
        <s v="Ajou University"/>
        <s v="Juntendo University"/>
        <s v="Tianjin Medical University"/>
        <s v="University of Brescia"/>
        <s v="University of Castilla-La Mancha"/>
        <s v="Donghua University"/>
        <s v="City College of New York"/>
        <s v="Northeastern University, China"/>
        <s v="University of Girona"/>
        <s v="Federal University of Paran√°"/>
        <s v="University of Portsmouth"/>
        <s v="University of Fribourg"/>
        <s v="University of Ioannina"/>
        <s v="Norwegian University of Life Sciences"/>
        <s v="Keele University"/>
        <s v="Ain Shams University"/>
        <s v="Paul Val√©ry University, Montpellier III"/>
        <s v="Carl von Ossietzky University of Oldenburg"/>
        <s v="Graz University of Technology"/>
        <s v="Concordia University"/>
        <s v="Graduate University for Advanced Studies"/>
        <s v="Nanjing Tech University"/>
        <s v="Xidian University"/>
        <s v="Tokyo University of Science"/>
        <s v="Jiangsu University"/>
        <s v="University of the Republic, Uruguay"/>
        <s v="University of Delhi"/>
        <s v="Northern Illinois University"/>
        <s v="University of Angers"/>
        <s v="University of Missouri¬ñKansas City"/>
        <s v="√ñrebro University"/>
        <s v="University of Vigo"/>
        <s v="All India Institute of Medical Sciences, Delhi"/>
        <s v="National Research Nuclear University MEPhI"/>
        <s v="University of Salento"/>
        <s v="South China Normal University"/>
        <s v="√âcole pratique des hautes √©tudes"/>
        <s v="University of Bras√≠lia"/>
        <s v="Bangor University"/>
        <s v="Federal University of Vi√ßosa"/>
        <s v="Bo?azi√ßi University"/>
        <s v="Adam Mickiewicz University in Pozna?"/>
        <s v="Putra University, Malaysia"/>
        <s v="Southern Illinois University Carbondale"/>
        <s v="Hong Kong Baptist University"/>
        <s v="Nanjing Normal University"/>
        <s v="University of Nevada, Las Vegas"/>
        <s v="Ehime University"/>
        <s v="Vilnius University"/>
        <s v="University of Messina"/>
        <s v="Illinois Institute of Technology"/>
        <s v="Miami University"/>
        <s v="University Paris-Est Cr√©teil"/>
        <s v="University of Natural Resources and Life Sciences, Vienna"/>
        <s v="National University of Defense Technology"/>
        <s v="Jean Monnet University"/>
        <s v="Tarbiat Modares University"/>
        <s v="Old Dominion University"/>
        <s v="University of Szeged"/>
        <s v="University of Texas Rio Grande Valley"/>
        <s v="Iran University of Science and Technology"/>
        <s v="Jadavpur University"/>
        <s v="National University of C√≥rdoba"/>
        <s v="Harbin Medical University"/>
        <s v="Heriot-Watt University"/>
        <s v="University of Toledo"/>
        <s v="National University of Colombia"/>
        <s v="University of Alicante"/>
        <s v="University of Essex"/>
        <s v="University of L'Aquila"/>
        <s v="New Mexico State University"/>
        <s v="Makerere University"/>
        <s v="University of Split"/>
        <s v="University of North Carolina at Charlotte"/>
        <s v="Banaras Hindu University"/>
        <s v="Ulsan National Institute of Science and Technology"/>
        <s v="University of Wroc?aw"/>
        <s v="University of Stirling"/>
        <s v="Nanchang University"/>
        <s v="University of Hohenheim"/>
        <s v="√âcole des ponts ParisTech"/>
        <s v="Jawaharlal Nehru Centre for Advanced Scientific Research"/>
        <s v="University of Kaiserslautern"/>
        <s v="American University of Beirut"/>
        <s v="King Fahd University of Petroleum and Minerals"/>
        <s v="China Medical University, PRC"/>
        <s v="Paris 13 University"/>
        <s v="Tampere University of Technology"/>
        <s v="Tokyo University of Agriculture and Technology"/>
        <s v="Bilkent University"/>
        <s v="University of Johannesburg"/>
        <s v="University of Concepci√≥n"/>
        <s v="China University of Mining and Technology"/>
        <s v="Chiang Mai University"/>
        <s v="Yeungnam University"/>
        <s v="Marche Polytechnic University"/>
        <s v="National Taiwan University of Science and Technology"/>
        <s v="Tokushima University"/>
        <s v="Indian Institute of Technology Kanpur"/>
        <s v="Quaid-i-Azam University"/>
        <s v="Northeast Normal University"/>
        <s v="Ryerson University"/>
        <s v="Babe?-Bolyai University"/>
        <s v="Ohio University"/>
        <s v="Wenzhou Medical University"/>
        <s v="University of Tours"/>
        <s v="University of the Andes, Colombia"/>
        <s v="Panjab University"/>
        <s v="University of Alcal√°"/>
        <s v="University of Hertfordshire"/>
        <s v="Dankook University"/>
        <s v="Chungbuk National University"/>
        <s v="University of Sassari"/>
        <s v="Toho University"/>
        <s v="Federal University of Cear√°"/>
        <s v="Portland State University"/>
        <s v="Gunma University"/>
        <s v="Polytechnic University of Bucharest"/>
        <s v="Yokohama National University"/>
        <s v="Zhejiang University of Technology"/>
        <s v="University of the Balearic Islands"/>
        <s v="Cranfield University"/>
        <s v="Polytechnic University of Bari"/>
        <s v="Budapest University of Technology and Economics"/>
        <s v="South China Agricultural University"/>
        <s v="University of Orl√©ans"/>
        <s v="National University of Malaysia, UKM"/>
        <s v="University of Bucharest"/>
        <s v="Carlos III University of Madrid"/>
        <s v="Uniformed Services University of the Health Sciences"/>
        <s v="University of Denver"/>
        <s v="Beijing University of Technology"/>
        <s v="University of Insubria"/>
        <s v="Sejong University"/>
        <s v="Medical University of Warsaw"/>
        <s v="East Carolina University"/>
        <s v="Beijing Jiaotong University"/>
        <s v="China Europe International Business School"/>
        <s v="Tokyo Women's Medical University"/>
        <s v="University of Wuppertal"/>
        <s v="Federal University of Pernambuco"/>
        <s v="University of Hyogo"/>
        <s v="University of Regina"/>
        <s v="Binghamton University"/>
        <s v="Wroc?aw University of Science and Technology"/>
        <s v="University of Toyama"/>
        <s v="National Taiwan Normal University"/>
        <s v="Federal University of S√£o Carlos"/>
        <s v="Metropolitan Autonomous University"/>
        <s v="University of Western Brittany"/>
        <s v="Tokai University"/>
        <s v="Harbin Engineering University"/>
        <s v="Gachon University"/>
        <s v="Meijo University"/>
        <s v="Federico Santa Mar√≠a Technical University"/>
        <s v="Michigan Technological University"/>
        <s v="√âcole des hautes √©tudes en sciences sociales"/>
        <s v="Shiraz University"/>
        <s v="Indian Institute of Technology Roorkee"/>
        <s v="Nara Institute of Science and Technology"/>
        <s v="New Jersey Institute of Technology"/>
        <s v="University of Picardie Jules Verne"/>
        <s v="Creighton University"/>
        <s v="√Öbo Akademi University"/>
        <s v="Miguel Hern√°ndez University of Elche"/>
        <s v="Jichi Medical University"/>
        <s v="University of Siegen"/>
        <s v="University of Extremadura"/>
        <s v="Nagoya City University"/>
        <s v="University of Valladolid"/>
        <s v="Murdoch University"/>
        <s v="Wesleyan University"/>
        <s v="Ferdowsi University of Mashhad"/>
        <s v="North China Electric Power University"/>
        <s v="Erciyes University"/>
        <s v="Chung Shan Medical University"/>
        <s v="Hefei University of Technology"/>
        <s v="China Pharmaceutical University"/>
        <s v="Dongguk University"/>
        <s v="University of California, Merced"/>
        <s v="Shanxi University"/>
        <s v="Sofia University"/>
        <s v="Kagoshima University"/>
        <s v="Jawaharlal Nehru University"/>
        <s v="Mansoura University"/>
        <s v="Northern Arizona University"/>
        <s v="Federal University of Pelotas"/>
        <s v="Shizuoka University"/>
        <s v="Inje University"/>
        <s v="Fluminense Federal University"/>
        <s v="Chongqing Medical University"/>
        <s v="City, University of London"/>
        <s v="Federal University of Goi√°s"/>
        <s v="Royal Veterinary College"/>
        <s v="Beijing University of Posts and Telecommunications"/>
        <s v="Yangzhou University"/>
        <s v="Gifu University"/>
        <s v="University of Veterinary Medicine Vienna"/>
        <s v="Yamagata University"/>
        <s v="University of Silesia in Katowice"/>
        <s v="University of Ja√©n"/>
        <s v="Yamaguchi University"/>
        <s v="Shaanxi Normal University"/>
        <s v="Alexandria University"/>
        <s v="University of Mons"/>
        <s v="University of Cyprus"/>
        <s v="Gabriele d¬íAnnunzio University"/>
        <s v="Hitotsubashi University"/>
        <s v="Tunis El Manar University"/>
        <s v="Southwest Jiaotong University"/>
        <s v="Ulster University"/>
        <s v="Renmin University of China"/>
        <s v="Florida Institute of Technology"/>
        <s v="Kyoto Prefectural University of Medicine"/>
        <s v="Anhui Medical University"/>
        <s v="University of Technology, Malaysia"/>
        <s v="Hallym University"/>
        <s v="COMSATS Institute of Information Technology"/>
        <s v="Toulouse 1 Capitole University"/>
        <s v="Indian Institute of Management Ahmedabad"/>
        <s v="Aberystwyth University"/>
        <s v="University of Jinan"/>
        <s v="North Dakota State University"/>
        <s v="University Paris 1 Panth√©on-Sorbonne"/>
        <s v="Rouen Normandy University"/>
        <s v="University of C√°diz"/>
        <s v="Ritsumeikan University"/>
        <s v="Federal University of Santa Maria"/>
        <s v="University of New Brunswick"/>
        <s v="University of Caen Normandy"/>
        <s v="University of South Bohemia in ?esk√© Bud?jovice"/>
        <s v="Osaka Prefecture University"/>
        <s v="√áukurova University"/>
        <s v="Paris Nanterre University"/>
        <s v="University of Alabama in Huntsville"/>
        <s v="Rochester Institute of Technology"/>
        <s v="Dublin City University"/>
        <s v="University of Hasselt"/>
        <s v="Dokuz Eyl√ºl University"/>
        <s v="University of Massachusetts Boston"/>
        <s v="Jaume I University"/>
        <s v="Nanjing University of Information Science and Technology"/>
        <s v="T√©l√©com ParisTech"/>
        <s v="San Francisco State University"/>
        <s v="Zhejiang Normal University"/>
        <s v="Guangxi University"/>
        <s v="Jacobs University Bremen"/>
        <s v="Howard University"/>
        <s v="University of P√©cs"/>
        <s v="University of Limerick"/>
        <s v="Tottori University"/>
        <s v="Sciences Po"/>
        <s v="University of Windsor"/>
        <s v="Mie University"/>
        <s v="Nicolaus Copernicus University in Toru?"/>
        <s v="Hohai University"/>
        <s v="King Juan Carlos University"/>
        <s v="Royal College of Surgeons in Ireland"/>
        <s v="University of Osnabr√ºck"/>
        <s v="University of Perpignan Via Domita"/>
        <s v="Qingdao University"/>
        <s v="Sogang University"/>
        <s v="University of Memphis"/>
        <s v="Hunter College"/>
        <s v="North-West University"/>
        <s v="Ningbo University"/>
        <s v="Shahid Beheshti University of Medical Sciences"/>
        <s v="National Taiwan Ocean University"/>
        <s v="INSA Toulouse"/>
        <s v="University of Antioquia"/>
        <s v="Shantou University"/>
        <s v="Chung Yuan Christian University"/>
        <s v="Guangzhou Medical University"/>
        <s v="Amherst College"/>
        <s v="Yunnan University"/>
        <s v="Johannes Kepler University Linz"/>
        <s v="New York Medical College"/>
        <s v="Missouri University of Science and Technology"/>
        <s v="University of Maribor"/>
        <s v="Atat√ºrk University"/>
        <s v="Eastern Virginia Medical School"/>
        <s v="University of North Carolina at Greensboro"/>
        <s v="Beijing Forestry University"/>
        <s v="Liverpool School of Tropical Medicine"/>
        <s v="University of Brighton"/>
        <s v="Federal University of Bahia"/>
        <s v="University of St. Gallen"/>
        <s v="Xiangtan University"/>
        <s v="Manchester Metropolitan University"/>
        <s v="University of A Coru√±a"/>
        <s v="Khon Kaen University"/>
        <s v="University of Ibadan"/>
        <s v="Shahid Beheshti University"/>
        <s v="University of Massachusetts Lowell"/>
        <s v="Loma Linda University"/>
        <s v="University of Macau"/>
        <s v="Aga Khan University"/>
        <s v="University of Calcutta"/>
        <s v="K?chi University"/>
        <s v="Soonchunhyang University"/>
        <s v="Capital Normal University"/>
      </sharedItems>
    </cacheField>
    <cacheField name="Location" numFmtId="0">
      <sharedItems count="61">
        <s v="USA"/>
        <s v="United Kingdom"/>
        <s v="Japan"/>
        <s v="Canada"/>
        <s v="Switzerland"/>
        <s v="France"/>
        <s v="Denmark"/>
        <s v="Israel"/>
        <s v="Germany"/>
        <s v="Sweden"/>
        <s v="Australia"/>
        <s v="South Korea"/>
        <s v="Italy"/>
        <s v="Netherlands"/>
        <s v="Norway"/>
        <s v="Brazil"/>
        <s v="Spain"/>
        <s v="China"/>
        <s v="Finland"/>
        <s v="Singapore"/>
        <s v="Belgium"/>
        <s v="Taiwan"/>
        <s v="Russia"/>
        <s v="Hong Kong"/>
        <s v="Austria"/>
        <s v="Czech Republic"/>
        <s v="Portugal"/>
        <s v="South Africa"/>
        <s v="Ireland"/>
        <s v="New Zealand"/>
        <s v="Mexico"/>
        <s v="Poland"/>
        <s v="Argentina"/>
        <s v="Greece"/>
        <s v="Saudi Arabia"/>
        <s v="Chile"/>
        <s v="Serbia"/>
        <s v="Slovenia"/>
        <s v="Iran"/>
        <s v="Hungary"/>
        <s v="India"/>
        <s v="Malaysia"/>
        <s v="Egypt"/>
        <s v="Croatia"/>
        <s v="Thailand"/>
        <s v="Iceland"/>
        <s v="Estonia"/>
        <s v="Turkey"/>
        <s v="Slovak Republic"/>
        <s v="Uruguay"/>
        <s v="Lithuania"/>
        <s v="Colombia"/>
        <s v="Uganda"/>
        <s v="Lebanon"/>
        <s v="Pakistan"/>
        <s v="Romania"/>
        <s v="Bulgaria"/>
        <s v="Cyprus"/>
        <s v="Tunisia"/>
        <s v="Nigeria"/>
        <s v="Macau"/>
      </sharedItems>
    </cacheField>
    <cacheField name="Region" numFmtId="0">
      <sharedItems count="6">
        <s v="North America"/>
        <s v="Europe"/>
        <s v="Asia"/>
        <s v="Oceania"/>
        <s v="South America"/>
        <s v="Africa"/>
      </sharedItems>
    </cacheField>
    <cacheField name="National Rank" numFmtId="0">
      <sharedItems containsSemiMixedTypes="0" containsString="0" containsNumber="1" containsInteger="1" minValue="1" maxValue="213"/>
    </cacheField>
    <cacheField name="Quality of Education" numFmtId="0">
      <sharedItems containsSemiMixedTypes="0" containsString="0" containsNumber="1" containsInteger="1" minValue="1" maxValue="667"/>
    </cacheField>
    <cacheField name="Alumni Employment" numFmtId="0">
      <sharedItems containsSemiMixedTypes="0" containsString="0" containsNumber="1" containsInteger="1" minValue="1" maxValue="1001"/>
    </cacheField>
    <cacheField name="Quality of Faculty" numFmtId="0">
      <sharedItems containsSemiMixedTypes="0" containsString="0" containsNumber="1" containsInteger="1" minValue="1" maxValue="304"/>
    </cacheField>
    <cacheField name="Research Output" numFmtId="0">
      <sharedItems containsSemiMixedTypes="0" containsString="0" containsNumber="1" containsInteger="1" minValue="1" maxValue="1001"/>
    </cacheField>
    <cacheField name="Quality Publications" numFmtId="0">
      <sharedItems containsSemiMixedTypes="0" containsString="0" containsNumber="1" containsInteger="1" minValue="1" maxValue="1001"/>
    </cacheField>
    <cacheField name="Influence" numFmtId="0">
      <sharedItems containsSemiMixedTypes="0" containsString="0" containsNumber="1" containsInteger="1" minValue="1" maxValue="1001"/>
    </cacheField>
    <cacheField name="Citations" numFmtId="0">
      <sharedItems containsSemiMixedTypes="0" containsString="0" containsNumber="1" containsInteger="1" minValue="1" maxValue="1001"/>
    </cacheField>
    <cacheField name="Score" numFmtId="0">
      <sharedItems containsSemiMixedTypes="0" containsString="0" containsNumber="1" minValue="69.8" maxValue="100"/>
    </cacheField>
    <cacheField name="Latitude" numFmtId="0">
      <sharedItems containsMixedTypes="1" containsNumber="1" minValue="-41.500083099999998" maxValue="64.984182099999998"/>
    </cacheField>
    <cacheField name="Longitude" numFmtId="0">
      <sharedItems containsMixedTypes="1" containsNumber="1" minValue="-107.99170700000001" maxValue="172.83440770000001"/>
    </cacheField>
    <cacheField name="Quality of Publications Score" numFmtId="2">
      <sharedItems containsSemiMixedTypes="0" containsString="0" containsNumber="1" minValue="0" maxValue="100"/>
    </cacheField>
    <cacheField name="Quality of Education Score" numFmtId="2">
      <sharedItems containsSemiMixedTypes="0" containsString="0" containsNumber="1" minValue="20" maxValue="100"/>
    </cacheField>
    <cacheField name="Alumni Score " numFmtId="0">
      <sharedItems containsSemiMixedTypes="0" containsString="0" containsNumber="1" minValue="0" maxValue="100"/>
    </cacheField>
    <cacheField name="Faculty Score" numFmtId="0">
      <sharedItems containsSemiMixedTypes="0" containsString="0" containsNumber="1" minValue="0" maxValue="100"/>
    </cacheField>
    <cacheField name="Research Acore" numFmtId="0">
      <sharedItems containsSemiMixedTypes="0" containsString="0" containsNumber="1" minValue="0" maxValue="100"/>
    </cacheField>
    <cacheField name="Influence Score" numFmtId="0">
      <sharedItems containsSemiMixedTypes="0" containsString="0" containsNumber="1" minValue="0" maxValue="100"/>
    </cacheField>
    <cacheField name="Citation Score " numFmtId="0">
      <sharedItems containsSemiMixedTypes="0" containsString="0" containsNumber="1" minValue="0" maxValue="100"/>
    </cacheField>
    <cacheField name="Global Index " numFmtId="0">
      <sharedItems containsSemiMixedTypes="0" containsString="0" containsNumber="1" minValue="0.1" maxValue="100"/>
    </cacheField>
    <cacheField name="Rank Tier" numFmtId="0">
      <sharedItems count="4">
        <s v="Q1-Elite"/>
        <s v="Q2-Strong"/>
        <s v="Q3-Developing"/>
        <s v="Q4-Emerging"/>
      </sharedItems>
    </cacheField>
  </cacheFields>
  <extLst>
    <ext xmlns:x14="http://schemas.microsoft.com/office/spreadsheetml/2009/9/main" uri="{725AE2AE-9491-48be-B2B4-4EB974FC3084}">
      <x14:pivotCacheDefinition pivotCacheId="19321692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n v="1"/>
    <n v="2"/>
    <n v="1"/>
    <n v="1"/>
    <n v="1"/>
    <n v="1"/>
    <n v="1"/>
    <n v="1"/>
    <n v="100"/>
    <n v="39.783730400000003"/>
    <n v="-100.445882"/>
    <n v="100"/>
    <n v="99.849849849849846"/>
    <n v="100"/>
    <n v="100"/>
    <n v="100"/>
    <n v="100"/>
    <n v="100"/>
    <n v="100"/>
    <x v="0"/>
  </r>
  <r>
    <x v="1"/>
    <x v="1"/>
    <x v="0"/>
    <x v="0"/>
    <n v="2"/>
    <n v="10"/>
    <n v="3"/>
    <n v="2"/>
    <n v="10"/>
    <n v="4"/>
    <n v="3"/>
    <n v="2"/>
    <n v="96.7"/>
    <n v="39.783730400000003"/>
    <n v="-100.445882"/>
    <n v="99.7"/>
    <n v="98.648648648648646"/>
    <n v="99.8"/>
    <n v="99.669966996699671"/>
    <n v="99.1"/>
    <n v="99.8"/>
    <n v="99.9"/>
    <n v="99.9"/>
    <x v="0"/>
  </r>
  <r>
    <x v="2"/>
    <x v="2"/>
    <x v="0"/>
    <x v="0"/>
    <n v="3"/>
    <n v="3"/>
    <n v="11"/>
    <n v="3"/>
    <n v="30"/>
    <n v="15"/>
    <n v="2"/>
    <n v="6"/>
    <n v="95.1"/>
    <n v="39.783730400000003"/>
    <n v="-100.445882"/>
    <n v="98.6"/>
    <n v="99.699699699699693"/>
    <n v="99"/>
    <n v="99.339933993399342"/>
    <n v="97.1"/>
    <n v="99.9"/>
    <n v="99.5"/>
    <n v="99.8"/>
    <x v="0"/>
  </r>
  <r>
    <x v="3"/>
    <x v="3"/>
    <x v="1"/>
    <x v="1"/>
    <n v="1"/>
    <n v="5"/>
    <n v="19"/>
    <n v="6"/>
    <n v="12"/>
    <n v="8"/>
    <n v="6"/>
    <n v="19"/>
    <n v="94"/>
    <n v="54.702354499999998"/>
    <n v="-3.2765753000000002"/>
    <n v="99.3"/>
    <n v="99.3993993993994"/>
    <n v="98.2"/>
    <n v="98.349834983498354"/>
    <n v="98.9"/>
    <n v="99.5"/>
    <n v="98.2"/>
    <n v="99.7"/>
    <x v="0"/>
  </r>
  <r>
    <x v="4"/>
    <x v="4"/>
    <x v="1"/>
    <x v="1"/>
    <n v="2"/>
    <n v="9"/>
    <n v="25"/>
    <n v="10"/>
    <n v="9"/>
    <n v="5"/>
    <n v="7"/>
    <n v="4"/>
    <n v="93.2"/>
    <n v="54.702354499999998"/>
    <n v="-3.2765753000000002"/>
    <n v="99.6"/>
    <n v="98.798798798798799"/>
    <n v="97.6"/>
    <n v="97.029702970297024"/>
    <n v="99.2"/>
    <n v="99.4"/>
    <n v="99.7"/>
    <n v="99.6"/>
    <x v="0"/>
  </r>
  <r>
    <x v="5"/>
    <x v="5"/>
    <x v="0"/>
    <x v="0"/>
    <n v="4"/>
    <n v="7"/>
    <n v="52"/>
    <n v="5"/>
    <n v="18"/>
    <n v="12"/>
    <n v="4"/>
    <n v="8"/>
    <n v="92.5"/>
    <n v="39.783730400000003"/>
    <n v="-100.445882"/>
    <n v="98.9"/>
    <n v="99.099099099099092"/>
    <n v="94.899999999999991"/>
    <n v="98.679867986798669"/>
    <n v="98.3"/>
    <n v="99.7"/>
    <n v="99.3"/>
    <n v="99.5"/>
    <x v="0"/>
  </r>
  <r>
    <x v="6"/>
    <x v="6"/>
    <x v="0"/>
    <x v="0"/>
    <n v="5"/>
    <n v="4"/>
    <n v="15"/>
    <n v="4"/>
    <n v="146"/>
    <n v="99"/>
    <n v="28"/>
    <n v="27"/>
    <n v="91.9"/>
    <n v="39.783730400000003"/>
    <n v="-100.445882"/>
    <n v="90.2"/>
    <n v="99.549549549549553"/>
    <n v="98.6"/>
    <n v="99.009900990099013"/>
    <n v="85.5"/>
    <n v="97.3"/>
    <n v="97.399999999999991"/>
    <n v="99.4"/>
    <x v="0"/>
  </r>
  <r>
    <x v="7"/>
    <x v="7"/>
    <x v="0"/>
    <x v="0"/>
    <n v="6"/>
    <n v="16"/>
    <n v="13"/>
    <n v="8"/>
    <n v="20"/>
    <n v="14"/>
    <n v="10"/>
    <n v="10"/>
    <n v="91.4"/>
    <n v="39.783730400000003"/>
    <n v="-100.445882"/>
    <n v="98.7"/>
    <n v="97.747747747747752"/>
    <n v="98.8"/>
    <n v="97.689768976897696"/>
    <n v="98.1"/>
    <n v="99.1"/>
    <n v="99.1"/>
    <n v="99.3"/>
    <x v="0"/>
  </r>
  <r>
    <x v="8"/>
    <x v="8"/>
    <x v="0"/>
    <x v="0"/>
    <n v="7"/>
    <n v="1"/>
    <n v="200"/>
    <n v="7"/>
    <n v="127"/>
    <n v="81"/>
    <n v="13"/>
    <n v="31"/>
    <n v="91"/>
    <n v="39.783730400000003"/>
    <n v="-100.445882"/>
    <n v="92"/>
    <n v="100"/>
    <n v="80.100000000000009"/>
    <n v="98.019801980198025"/>
    <n v="87.4"/>
    <n v="98.8"/>
    <n v="97"/>
    <n v="99.2"/>
    <x v="0"/>
  </r>
  <r>
    <x v="9"/>
    <x v="9"/>
    <x v="0"/>
    <x v="0"/>
    <n v="8"/>
    <n v="13"/>
    <n v="22"/>
    <n v="9"/>
    <n v="39"/>
    <n v="22"/>
    <n v="18"/>
    <n v="10"/>
    <n v="90.6"/>
    <n v="39.783730400000003"/>
    <n v="-100.445882"/>
    <n v="97.899999999999991"/>
    <n v="98.198198198198199"/>
    <n v="97.899999999999991"/>
    <n v="97.359735973597367"/>
    <n v="96.2"/>
    <n v="98.3"/>
    <n v="99.1"/>
    <n v="99.1"/>
    <x v="0"/>
  </r>
  <r>
    <x v="10"/>
    <x v="10"/>
    <x v="0"/>
    <x v="0"/>
    <n v="9"/>
    <n v="11"/>
    <n v="34"/>
    <n v="12"/>
    <n v="37"/>
    <n v="19"/>
    <n v="11"/>
    <n v="31"/>
    <n v="90.3"/>
    <n v="39.783730400000003"/>
    <n v="-100.445882"/>
    <n v="98.2"/>
    <n v="98.498498498498492"/>
    <n v="96.7"/>
    <n v="96.369636963696365"/>
    <n v="96.399999999999991"/>
    <n v="99"/>
    <n v="97"/>
    <n v="99"/>
    <x v="0"/>
  </r>
  <r>
    <x v="11"/>
    <x v="11"/>
    <x v="2"/>
    <x v="2"/>
    <n v="1"/>
    <n v="17"/>
    <n v="8"/>
    <n v="33"/>
    <n v="7"/>
    <n v="17"/>
    <n v="23"/>
    <n v="29"/>
    <n v="90"/>
    <n v="36.5748441"/>
    <n v="139.23941790000001"/>
    <n v="98.4"/>
    <n v="97.597597597597598"/>
    <n v="99.3"/>
    <n v="89.438943894389439"/>
    <n v="99.4"/>
    <n v="97.8"/>
    <n v="97.2"/>
    <n v="98.9"/>
    <x v="0"/>
  </r>
  <r>
    <x v="12"/>
    <x v="12"/>
    <x v="0"/>
    <x v="0"/>
    <n v="10"/>
    <n v="31"/>
    <n v="9"/>
    <n v="30"/>
    <n v="16"/>
    <n v="11"/>
    <n v="17"/>
    <n v="13"/>
    <n v="89.7"/>
    <n v="39.783730400000003"/>
    <n v="-100.445882"/>
    <n v="99"/>
    <n v="95.495495495495504"/>
    <n v="99.2"/>
    <n v="90.429042904290426"/>
    <n v="98.5"/>
    <n v="98.4"/>
    <n v="98.8"/>
    <n v="98.8"/>
    <x v="0"/>
  </r>
  <r>
    <x v="13"/>
    <x v="13"/>
    <x v="0"/>
    <x v="0"/>
    <n v="11"/>
    <n v="14"/>
    <n v="28"/>
    <n v="19"/>
    <n v="31"/>
    <n v="24"/>
    <n v="15"/>
    <n v="40"/>
    <n v="89.4"/>
    <n v="39.783730400000003"/>
    <n v="-100.445882"/>
    <n v="97.7"/>
    <n v="98.048048048048059"/>
    <n v="97.3"/>
    <n v="94.059405940594047"/>
    <n v="97"/>
    <n v="98.6"/>
    <n v="96.1"/>
    <n v="98.7"/>
    <x v="0"/>
  </r>
  <r>
    <x v="14"/>
    <x v="14"/>
    <x v="0"/>
    <x v="0"/>
    <n v="12"/>
    <n v="58"/>
    <n v="63"/>
    <n v="11"/>
    <n v="13"/>
    <n v="10"/>
    <n v="14"/>
    <n v="5"/>
    <n v="89.1"/>
    <n v="39.783730400000003"/>
    <n v="-100.445882"/>
    <n v="99.1"/>
    <n v="91.441441441441441"/>
    <n v="93.8"/>
    <n v="96.699669966996709"/>
    <n v="98.8"/>
    <n v="98.7"/>
    <n v="99.6"/>
    <n v="98.6"/>
    <x v="0"/>
  </r>
  <r>
    <x v="15"/>
    <x v="15"/>
    <x v="0"/>
    <x v="0"/>
    <n v="13"/>
    <n v="24"/>
    <n v="159"/>
    <n v="17"/>
    <n v="8"/>
    <n v="6"/>
    <n v="12"/>
    <n v="3"/>
    <n v="88.9"/>
    <n v="39.783730400000003"/>
    <n v="-100.445882"/>
    <n v="99.5"/>
    <n v="96.546546546546537"/>
    <n v="84.2"/>
    <n v="94.71947194719472"/>
    <n v="99.3"/>
    <n v="98.9"/>
    <n v="99.8"/>
    <n v="98.5"/>
    <x v="0"/>
  </r>
  <r>
    <x v="16"/>
    <x v="16"/>
    <x v="3"/>
    <x v="0"/>
    <n v="1"/>
    <n v="86"/>
    <n v="157"/>
    <n v="23"/>
    <n v="2"/>
    <n v="2"/>
    <n v="16"/>
    <n v="7"/>
    <n v="88.7"/>
    <n v="61.066692199999999"/>
    <n v="-107.99170700000001"/>
    <n v="99.9"/>
    <n v="87.237237237237238"/>
    <n v="84.399999999999991"/>
    <n v="92.739273927392745"/>
    <n v="99.9"/>
    <n v="98.5"/>
    <n v="99.4"/>
    <n v="98.4"/>
    <x v="0"/>
  </r>
  <r>
    <x v="17"/>
    <x v="17"/>
    <x v="0"/>
    <x v="0"/>
    <n v="14"/>
    <n v="47"/>
    <n v="38"/>
    <n v="68"/>
    <n v="3"/>
    <n v="3"/>
    <n v="20"/>
    <n v="10"/>
    <n v="88.4"/>
    <n v="39.783730400000003"/>
    <n v="-100.445882"/>
    <n v="99.8"/>
    <n v="93.093093093093088"/>
    <n v="96.3"/>
    <n v="77.887788778877891"/>
    <n v="99.8"/>
    <n v="98.1"/>
    <n v="99.1"/>
    <n v="98.3"/>
    <x v="0"/>
  </r>
  <r>
    <x v="18"/>
    <x v="18"/>
    <x v="0"/>
    <x v="0"/>
    <n v="15"/>
    <n v="75"/>
    <n v="220"/>
    <n v="26"/>
    <n v="11"/>
    <n v="9"/>
    <n v="9"/>
    <n v="9"/>
    <n v="88.2"/>
    <n v="39.783730400000003"/>
    <n v="-100.445882"/>
    <n v="99.2"/>
    <n v="88.888888888888886"/>
    <n v="78.100000000000009"/>
    <n v="91.749174917491743"/>
    <n v="99"/>
    <n v="99.2"/>
    <n v="99.2"/>
    <n v="98.2"/>
    <x v="0"/>
  </r>
  <r>
    <x v="19"/>
    <x v="19"/>
    <x v="0"/>
    <x v="0"/>
    <n v="16"/>
    <n v="37"/>
    <n v="1001"/>
    <n v="16"/>
    <n v="28"/>
    <n v="16"/>
    <n v="5"/>
    <n v="16"/>
    <n v="88"/>
    <n v="39.783730400000003"/>
    <n v="-100.445882"/>
    <n v="98.5"/>
    <n v="94.594594594594597"/>
    <n v="0"/>
    <n v="95.049504950495049"/>
    <n v="97.3"/>
    <n v="99.6"/>
    <n v="98.5"/>
    <n v="98.1"/>
    <x v="0"/>
  </r>
  <r>
    <x v="20"/>
    <x v="20"/>
    <x v="1"/>
    <x v="1"/>
    <n v="3"/>
    <n v="32"/>
    <n v="739"/>
    <n v="28"/>
    <n v="5"/>
    <n v="7"/>
    <n v="19"/>
    <n v="19"/>
    <n v="87.8"/>
    <n v="54.702354499999998"/>
    <n v="-3.2765753000000002"/>
    <n v="99.4"/>
    <n v="95.345345345345351"/>
    <n v="26.200000000000003"/>
    <n v="91.089108910891099"/>
    <n v="99.6"/>
    <n v="98.2"/>
    <n v="98.2"/>
    <n v="98"/>
    <x v="0"/>
  </r>
  <r>
    <x v="21"/>
    <x v="21"/>
    <x v="0"/>
    <x v="0"/>
    <n v="17"/>
    <n v="667"/>
    <n v="1001"/>
    <n v="13"/>
    <n v="45"/>
    <n v="23"/>
    <n v="8"/>
    <n v="17"/>
    <n v="87.7"/>
    <n v="39.783730400000003"/>
    <n v="-100.445882"/>
    <n v="97.8"/>
    <n v="20"/>
    <n v="0"/>
    <n v="96.039603960396036"/>
    <n v="95.6"/>
    <n v="99.3"/>
    <n v="98.4"/>
    <n v="97.899999999999991"/>
    <x v="0"/>
  </r>
  <r>
    <x v="22"/>
    <x v="22"/>
    <x v="0"/>
    <x v="0"/>
    <n v="18"/>
    <n v="129"/>
    <n v="18"/>
    <n v="44"/>
    <n v="52"/>
    <n v="28"/>
    <n v="36"/>
    <n v="34"/>
    <n v="87.5"/>
    <n v="39.783730400000003"/>
    <n v="-100.445882"/>
    <n v="97.3"/>
    <n v="80.780780780780788"/>
    <n v="98.3"/>
    <n v="85.808580858085804"/>
    <n v="94.899999999999991"/>
    <n v="96.5"/>
    <n v="96.7"/>
    <n v="97.8"/>
    <x v="0"/>
  </r>
  <r>
    <x v="23"/>
    <x v="23"/>
    <x v="0"/>
    <x v="0"/>
    <n v="19"/>
    <n v="98"/>
    <n v="46"/>
    <n v="47"/>
    <n v="36"/>
    <n v="20"/>
    <n v="21"/>
    <n v="14"/>
    <n v="87.3"/>
    <n v="39.783730400000003"/>
    <n v="-100.445882"/>
    <n v="98.1"/>
    <n v="85.435435435435437"/>
    <n v="95.5"/>
    <n v="84.818481848184817"/>
    <n v="96.5"/>
    <n v="98"/>
    <n v="98.7"/>
    <n v="97.7"/>
    <x v="0"/>
  </r>
  <r>
    <x v="24"/>
    <x v="24"/>
    <x v="0"/>
    <x v="0"/>
    <n v="20"/>
    <n v="64"/>
    <n v="40"/>
    <n v="18"/>
    <n v="70"/>
    <n v="50"/>
    <n v="29"/>
    <n v="35"/>
    <n v="87.2"/>
    <n v="39.783730400000003"/>
    <n v="-100.445882"/>
    <n v="95.1"/>
    <n v="90.540540540540533"/>
    <n v="96.1"/>
    <n v="94.38943894389439"/>
    <n v="93.100000000000009"/>
    <n v="97.2"/>
    <n v="96.6"/>
    <n v="97.6"/>
    <x v="0"/>
  </r>
  <r>
    <x v="25"/>
    <x v="25"/>
    <x v="2"/>
    <x v="2"/>
    <n v="2"/>
    <n v="25"/>
    <n v="29"/>
    <n v="24"/>
    <n v="29"/>
    <n v="45"/>
    <n v="48"/>
    <n v="101"/>
    <n v="87"/>
    <n v="36.5748441"/>
    <n v="139.23941790000001"/>
    <n v="95.6"/>
    <n v="96.396396396396398"/>
    <n v="97.2"/>
    <n v="92.409240924092401"/>
    <n v="97.2"/>
    <n v="95.3"/>
    <n v="90"/>
    <n v="97.5"/>
    <x v="0"/>
  </r>
  <r>
    <x v="26"/>
    <x v="26"/>
    <x v="0"/>
    <x v="0"/>
    <n v="21"/>
    <n v="65"/>
    <n v="79"/>
    <n v="32"/>
    <n v="32"/>
    <n v="26"/>
    <n v="30"/>
    <n v="15"/>
    <n v="86.9"/>
    <n v="39.783730400000003"/>
    <n v="-100.445882"/>
    <n v="97.5"/>
    <n v="90.39039039039038"/>
    <n v="92.2"/>
    <n v="89.768976897689768"/>
    <n v="96.899999999999991"/>
    <n v="97.1"/>
    <n v="98.6"/>
    <n v="97.399999999999991"/>
    <x v="0"/>
  </r>
  <r>
    <x v="27"/>
    <x v="27"/>
    <x v="4"/>
    <x v="1"/>
    <n v="1"/>
    <n v="29"/>
    <n v="98"/>
    <n v="20"/>
    <n v="57"/>
    <n v="42"/>
    <n v="27"/>
    <n v="59"/>
    <n v="86.7"/>
    <n v="46.798562400000002"/>
    <n v="8.2319735999999999"/>
    <n v="95.899999999999991"/>
    <n v="95.795795795795797"/>
    <n v="90.3"/>
    <n v="93.729372937293732"/>
    <n v="94.399999999999991"/>
    <n v="97.399999999999991"/>
    <n v="94.199999999999989"/>
    <n v="97.3"/>
    <x v="0"/>
  </r>
  <r>
    <x v="28"/>
    <x v="28"/>
    <x v="5"/>
    <x v="1"/>
    <n v="1"/>
    <n v="46"/>
    <n v="344"/>
    <n v="56"/>
    <n v="6"/>
    <n v="13"/>
    <n v="24"/>
    <n v="22"/>
    <n v="86.6"/>
    <n v="46.603354000000003"/>
    <n v="1.8883335000000001"/>
    <n v="98.8"/>
    <n v="93.243243243243242"/>
    <n v="65.7"/>
    <n v="81.848184818481855"/>
    <n v="99.5"/>
    <n v="97.7"/>
    <n v="97.899999999999991"/>
    <n v="97.2"/>
    <x v="0"/>
  </r>
  <r>
    <x v="29"/>
    <x v="29"/>
    <x v="1"/>
    <x v="1"/>
    <n v="4"/>
    <n v="93"/>
    <n v="103"/>
    <n v="43"/>
    <n v="21"/>
    <n v="18"/>
    <n v="25"/>
    <n v="29"/>
    <n v="86.5"/>
    <n v="54.702354499999998"/>
    <n v="-3.2765753000000002"/>
    <n v="98.3"/>
    <n v="86.186186186186191"/>
    <n v="89.8"/>
    <n v="86.138613861386133"/>
    <n v="98"/>
    <n v="97.6"/>
    <n v="97.2"/>
    <n v="97.1"/>
    <x v="0"/>
  </r>
  <r>
    <x v="30"/>
    <x v="30"/>
    <x v="0"/>
    <x v="0"/>
    <n v="22"/>
    <n v="108"/>
    <n v="62"/>
    <n v="29"/>
    <n v="73"/>
    <n v="58"/>
    <n v="58"/>
    <n v="24"/>
    <n v="86.3"/>
    <n v="39.783730400000003"/>
    <n v="-100.445882"/>
    <n v="94.3"/>
    <n v="83.933933933933929"/>
    <n v="93.899999999999991"/>
    <n v="90.759075907590756"/>
    <n v="92.800000000000011"/>
    <n v="94.3"/>
    <n v="97.7"/>
    <n v="97"/>
    <x v="0"/>
  </r>
  <r>
    <x v="31"/>
    <x v="31"/>
    <x v="0"/>
    <x v="0"/>
    <n v="23"/>
    <n v="40"/>
    <n v="150"/>
    <n v="27"/>
    <n v="65"/>
    <n v="55"/>
    <n v="61"/>
    <n v="50"/>
    <n v="86.2"/>
    <n v="39.783730400000003"/>
    <n v="-100.445882"/>
    <n v="94.6"/>
    <n v="94.14414414414415"/>
    <n v="85.1"/>
    <n v="91.419141914191414"/>
    <n v="93.600000000000009"/>
    <n v="94"/>
    <n v="95.1"/>
    <n v="96.899999999999991"/>
    <x v="0"/>
  </r>
  <r>
    <x v="32"/>
    <x v="32"/>
    <x v="0"/>
    <x v="0"/>
    <n v="24"/>
    <n v="205"/>
    <n v="120"/>
    <n v="72"/>
    <n v="50"/>
    <n v="30"/>
    <n v="33"/>
    <n v="21"/>
    <n v="86.1"/>
    <n v="39.783730400000003"/>
    <n v="-100.445882"/>
    <n v="97.1"/>
    <n v="69.369369369369366"/>
    <n v="88.1"/>
    <n v="76.567656765676574"/>
    <n v="95.1"/>
    <n v="96.8"/>
    <n v="98"/>
    <n v="96.8"/>
    <x v="0"/>
  </r>
  <r>
    <x v="33"/>
    <x v="33"/>
    <x v="1"/>
    <x v="1"/>
    <n v="5"/>
    <n v="61"/>
    <n v="325"/>
    <n v="36"/>
    <n v="72"/>
    <n v="56"/>
    <n v="31"/>
    <n v="48"/>
    <n v="86"/>
    <n v="54.702354499999998"/>
    <n v="-3.2765753000000002"/>
    <n v="94.5"/>
    <n v="90.990990990990994"/>
    <n v="67.600000000000009"/>
    <n v="88.448844884488452"/>
    <n v="92.9"/>
    <n v="97"/>
    <n v="95.3"/>
    <n v="96.7"/>
    <x v="0"/>
  </r>
  <r>
    <x v="34"/>
    <x v="34"/>
    <x v="0"/>
    <x v="0"/>
    <n v="25"/>
    <n v="131"/>
    <n v="302"/>
    <n v="76"/>
    <n v="24"/>
    <n v="21"/>
    <n v="35"/>
    <n v="28"/>
    <n v="85.9"/>
    <n v="39.783730400000003"/>
    <n v="-100.445882"/>
    <n v="98"/>
    <n v="80.48048048048048"/>
    <n v="69.899999999999991"/>
    <n v="75.247524752475243"/>
    <n v="97.7"/>
    <n v="96.6"/>
    <n v="97.3"/>
    <n v="96.6"/>
    <x v="0"/>
  </r>
  <r>
    <x v="35"/>
    <x v="35"/>
    <x v="0"/>
    <x v="0"/>
    <n v="26"/>
    <n v="206"/>
    <n v="161"/>
    <n v="64"/>
    <n v="81"/>
    <n v="46"/>
    <n v="22"/>
    <n v="22"/>
    <n v="85.8"/>
    <n v="39.783730400000003"/>
    <n v="-100.445882"/>
    <n v="95.5"/>
    <n v="69.219219219219212"/>
    <n v="84"/>
    <n v="79.207920792079207"/>
    <n v="92"/>
    <n v="97.899999999999991"/>
    <n v="97.899999999999991"/>
    <n v="96.5"/>
    <x v="0"/>
  </r>
  <r>
    <x v="36"/>
    <x v="36"/>
    <x v="3"/>
    <x v="0"/>
    <n v="2"/>
    <n v="68"/>
    <n v="86"/>
    <n v="65"/>
    <n v="44"/>
    <n v="36"/>
    <n v="53"/>
    <n v="39"/>
    <n v="85.6"/>
    <n v="61.066692199999999"/>
    <n v="-107.99170700000001"/>
    <n v="96.5"/>
    <n v="89.939939939939933"/>
    <n v="91.5"/>
    <n v="78.877887788778878"/>
    <n v="95.7"/>
    <n v="94.8"/>
    <n v="96.2"/>
    <n v="96.399999999999991"/>
    <x v="0"/>
  </r>
  <r>
    <x v="37"/>
    <x v="37"/>
    <x v="3"/>
    <x v="0"/>
    <n v="3"/>
    <n v="173"/>
    <n v="699"/>
    <n v="78"/>
    <n v="25"/>
    <n v="27"/>
    <n v="37"/>
    <n v="24"/>
    <n v="85.5"/>
    <n v="61.066692199999999"/>
    <n v="-107.99170700000001"/>
    <n v="97.399999999999991"/>
    <n v="74.174174174174183"/>
    <n v="30.2"/>
    <n v="74.587458745874585"/>
    <n v="97.6"/>
    <n v="96.399999999999991"/>
    <n v="97.7"/>
    <n v="96.3"/>
    <x v="0"/>
  </r>
  <r>
    <x v="38"/>
    <x v="38"/>
    <x v="6"/>
    <x v="1"/>
    <n v="1"/>
    <n v="302"/>
    <n v="364"/>
    <n v="79"/>
    <n v="26"/>
    <n v="29"/>
    <n v="26"/>
    <n v="38"/>
    <n v="85.4"/>
    <n v="55.670248999999998"/>
    <n v="10.3333283"/>
    <n v="97.2"/>
    <n v="54.80480480480481"/>
    <n v="63.7"/>
    <n v="74.257425742574256"/>
    <n v="97.5"/>
    <n v="97.5"/>
    <n v="96.3"/>
    <n v="96.2"/>
    <x v="0"/>
  </r>
  <r>
    <x v="39"/>
    <x v="39"/>
    <x v="0"/>
    <x v="0"/>
    <n v="27"/>
    <n v="165"/>
    <n v="254"/>
    <n v="70"/>
    <n v="33"/>
    <n v="31"/>
    <n v="50"/>
    <n v="35"/>
    <n v="85.3"/>
    <n v="39.783730400000003"/>
    <n v="-100.445882"/>
    <n v="97"/>
    <n v="75.37537537537537"/>
    <n v="74.7"/>
    <n v="77.227722772277232"/>
    <n v="96.8"/>
    <n v="95.1"/>
    <n v="96.6"/>
    <n v="96.1"/>
    <x v="0"/>
  </r>
  <r>
    <x v="40"/>
    <x v="40"/>
    <x v="0"/>
    <x v="0"/>
    <n v="28"/>
    <n v="212"/>
    <n v="101"/>
    <n v="35"/>
    <n v="74"/>
    <n v="67"/>
    <n v="62"/>
    <n v="59"/>
    <n v="85.2"/>
    <n v="39.783730400000003"/>
    <n v="-100.445882"/>
    <n v="93.4"/>
    <n v="68.318318318318319"/>
    <n v="90"/>
    <n v="88.778877887788781"/>
    <n v="92.7"/>
    <n v="93.899999999999991"/>
    <n v="94.199999999999989"/>
    <n v="96"/>
    <x v="0"/>
  </r>
  <r>
    <x v="41"/>
    <x v="41"/>
    <x v="0"/>
    <x v="0"/>
    <n v="29"/>
    <n v="83"/>
    <n v="579"/>
    <n v="75"/>
    <n v="42"/>
    <n v="35"/>
    <n v="39"/>
    <n v="31"/>
    <n v="85.1"/>
    <n v="39.783730400000003"/>
    <n v="-100.445882"/>
    <n v="96.6"/>
    <n v="87.687687687687685"/>
    <n v="42.199999999999996"/>
    <n v="75.577557755775587"/>
    <n v="95.899999999999991"/>
    <n v="96.2"/>
    <n v="97"/>
    <n v="95.899999999999991"/>
    <x v="0"/>
  </r>
  <r>
    <x v="42"/>
    <x v="42"/>
    <x v="0"/>
    <x v="0"/>
    <n v="30"/>
    <n v="374"/>
    <n v="168"/>
    <n v="60"/>
    <n v="43"/>
    <n v="40"/>
    <n v="41"/>
    <n v="51"/>
    <n v="85"/>
    <n v="39.783730400000003"/>
    <n v="-100.445882"/>
    <n v="96.1"/>
    <n v="43.993993993993996"/>
    <n v="83.3"/>
    <n v="80.528052805280524"/>
    <n v="95.8"/>
    <n v="96"/>
    <n v="95"/>
    <n v="95.8"/>
    <x v="0"/>
  </r>
  <r>
    <x v="43"/>
    <x v="43"/>
    <x v="1"/>
    <x v="1"/>
    <n v="6"/>
    <n v="171"/>
    <n v="227"/>
    <n v="63"/>
    <n v="49"/>
    <n v="48"/>
    <n v="65"/>
    <n v="35"/>
    <n v="85"/>
    <n v="54.702354499999998"/>
    <n v="-3.2765753000000002"/>
    <n v="95.3"/>
    <n v="74.474474474474476"/>
    <n v="77.400000000000006"/>
    <n v="79.537953795379536"/>
    <n v="95.199999999999989"/>
    <n v="93.600000000000009"/>
    <n v="96.6"/>
    <n v="95.7"/>
    <x v="0"/>
  </r>
  <r>
    <x v="44"/>
    <x v="44"/>
    <x v="7"/>
    <x v="2"/>
    <n v="1"/>
    <n v="8"/>
    <n v="1001"/>
    <n v="22"/>
    <n v="445"/>
    <n v="292"/>
    <n v="69"/>
    <n v="254"/>
    <n v="84.9"/>
    <n v="39.3181528"/>
    <n v="-79.810901400000006"/>
    <n v="70.899999999999991"/>
    <n v="98.948948948948939"/>
    <n v="0"/>
    <n v="93.069306930693074"/>
    <n v="55.600000000000009"/>
    <n v="93.2"/>
    <n v="74.7"/>
    <n v="95.6"/>
    <x v="0"/>
  </r>
  <r>
    <x v="45"/>
    <x v="45"/>
    <x v="8"/>
    <x v="1"/>
    <n v="1"/>
    <n v="71"/>
    <n v="807"/>
    <n v="51"/>
    <n v="63"/>
    <n v="64"/>
    <n v="51"/>
    <n v="53"/>
    <n v="84.8"/>
    <n v="40.420347900000003"/>
    <n v="-79.116698299999996"/>
    <n v="93.7"/>
    <n v="89.4894894894895"/>
    <n v="19.400000000000002"/>
    <n v="83.4983498349835"/>
    <n v="93.8"/>
    <n v="95"/>
    <n v="94.8"/>
    <n v="95.5"/>
    <x v="0"/>
  </r>
  <r>
    <x v="46"/>
    <x v="46"/>
    <x v="0"/>
    <x v="0"/>
    <n v="31"/>
    <n v="103"/>
    <n v="480"/>
    <n v="55"/>
    <n v="92"/>
    <n v="72"/>
    <n v="45"/>
    <n v="42"/>
    <n v="84.7"/>
    <n v="39.783730400000003"/>
    <n v="-100.445882"/>
    <n v="92.9"/>
    <n v="84.684684684684683"/>
    <n v="52.1"/>
    <n v="82.178217821782169"/>
    <n v="90.9"/>
    <n v="95.6"/>
    <n v="95.899999999999991"/>
    <n v="95.399999999999991"/>
    <x v="0"/>
  </r>
  <r>
    <x v="47"/>
    <x v="47"/>
    <x v="8"/>
    <x v="1"/>
    <n v="2"/>
    <n v="91"/>
    <n v="266"/>
    <n v="83"/>
    <n v="53"/>
    <n v="57"/>
    <n v="42"/>
    <n v="46"/>
    <n v="84.6"/>
    <n v="40.420347900000003"/>
    <n v="-79.116698299999996"/>
    <n v="94.399999999999991"/>
    <n v="86.486486486486484"/>
    <n v="73.5"/>
    <n v="72.937293729372925"/>
    <n v="94.8"/>
    <n v="95.899999999999991"/>
    <n v="95.5"/>
    <n v="95.3"/>
    <x v="0"/>
  </r>
  <r>
    <x v="48"/>
    <x v="48"/>
    <x v="9"/>
    <x v="1"/>
    <n v="1"/>
    <n v="162"/>
    <n v="1001"/>
    <n v="46"/>
    <n v="67"/>
    <n v="53"/>
    <n v="46"/>
    <n v="108"/>
    <n v="84.5"/>
    <n v="44.133434999999999"/>
    <n v="-70.822677999999996"/>
    <n v="94.8"/>
    <n v="75.825825825825817"/>
    <n v="0"/>
    <n v="85.148514851485146"/>
    <n v="93.4"/>
    <n v="95.5"/>
    <n v="89.3"/>
    <n v="95.199999999999989"/>
    <x v="0"/>
  </r>
  <r>
    <x v="49"/>
    <x v="49"/>
    <x v="0"/>
    <x v="0"/>
    <n v="32"/>
    <n v="134"/>
    <n v="170"/>
    <n v="41"/>
    <n v="145"/>
    <n v="111"/>
    <n v="40"/>
    <n v="59"/>
    <n v="84.4"/>
    <n v="39.783730400000003"/>
    <n v="-100.445882"/>
    <n v="89"/>
    <n v="80.030030030030034"/>
    <n v="83.1"/>
    <n v="86.798679867986792"/>
    <n v="85.6"/>
    <n v="96.1"/>
    <n v="94.199999999999989"/>
    <n v="95.1"/>
    <x v="0"/>
  </r>
  <r>
    <x v="50"/>
    <x v="50"/>
    <x v="0"/>
    <x v="0"/>
    <n v="33"/>
    <n v="215"/>
    <n v="111"/>
    <n v="40"/>
    <n v="121"/>
    <n v="88"/>
    <n v="74"/>
    <n v="66"/>
    <n v="84.4"/>
    <n v="39.783730400000003"/>
    <n v="-100.445882"/>
    <n v="91.3"/>
    <n v="67.867867867867872"/>
    <n v="89"/>
    <n v="87.128712871287135"/>
    <n v="88"/>
    <n v="92.7"/>
    <n v="93.5"/>
    <n v="95"/>
    <x v="0"/>
  </r>
  <r>
    <x v="51"/>
    <x v="51"/>
    <x v="0"/>
    <x v="0"/>
    <n v="34"/>
    <n v="166"/>
    <n v="164"/>
    <n v="53"/>
    <n v="111"/>
    <n v="96"/>
    <n v="43"/>
    <n v="48"/>
    <n v="84.3"/>
    <n v="39.783730400000003"/>
    <n v="-100.445882"/>
    <n v="90.5"/>
    <n v="75.225225225225216"/>
    <n v="83.7"/>
    <n v="82.838283828382842"/>
    <n v="89"/>
    <n v="95.8"/>
    <n v="95.3"/>
    <n v="94.899999999999991"/>
    <x v="0"/>
  </r>
  <r>
    <x v="52"/>
    <x v="52"/>
    <x v="2"/>
    <x v="2"/>
    <n v="3"/>
    <n v="70"/>
    <n v="65"/>
    <n v="61"/>
    <n v="59"/>
    <n v="82"/>
    <n v="83"/>
    <n v="174"/>
    <n v="84.2"/>
    <n v="36.5748441"/>
    <n v="139.23941790000001"/>
    <n v="91.9"/>
    <n v="89.63963963963964"/>
    <n v="93.600000000000009"/>
    <n v="80.198019801980209"/>
    <n v="94.199999999999989"/>
    <n v="91.8"/>
    <n v="82.699999999999989"/>
    <n v="94.8"/>
    <x v="0"/>
  </r>
  <r>
    <x v="53"/>
    <x v="53"/>
    <x v="5"/>
    <x v="1"/>
    <n v="2"/>
    <n v="49"/>
    <n v="815"/>
    <n v="38"/>
    <n v="103"/>
    <n v="86"/>
    <n v="98"/>
    <n v="76"/>
    <n v="84.1"/>
    <n v="46.603354000000003"/>
    <n v="1.8883335000000001"/>
    <n v="91.5"/>
    <n v="92.792792792792795"/>
    <n v="18.600000000000001"/>
    <n v="87.788778877887779"/>
    <n v="89.8"/>
    <n v="90.3"/>
    <n v="92.5"/>
    <n v="94.699999999999989"/>
    <x v="0"/>
  </r>
  <r>
    <x v="54"/>
    <x v="54"/>
    <x v="4"/>
    <x v="1"/>
    <n v="2"/>
    <n v="35"/>
    <n v="381"/>
    <n v="31"/>
    <n v="147"/>
    <n v="130"/>
    <n v="87"/>
    <n v="72"/>
    <n v="84"/>
    <n v="46.798562400000002"/>
    <n v="8.2319735999999999"/>
    <n v="87.1"/>
    <n v="94.894894894894904"/>
    <n v="62"/>
    <n v="90.099009900990097"/>
    <n v="85.399999999999991"/>
    <n v="91.4"/>
    <n v="92.9"/>
    <n v="94.6"/>
    <x v="0"/>
  </r>
  <r>
    <x v="55"/>
    <x v="55"/>
    <x v="0"/>
    <x v="0"/>
    <n v="35"/>
    <n v="572"/>
    <n v="112"/>
    <n v="106"/>
    <n v="113"/>
    <n v="75"/>
    <n v="52"/>
    <n v="26"/>
    <n v="84"/>
    <n v="39.783730400000003"/>
    <n v="-100.445882"/>
    <n v="92.600000000000009"/>
    <n v="20"/>
    <n v="88.9"/>
    <n v="65.346534653465355"/>
    <n v="88.8"/>
    <n v="94.899999999999991"/>
    <n v="97.5"/>
    <n v="94.5"/>
    <x v="0"/>
  </r>
  <r>
    <x v="56"/>
    <x v="56"/>
    <x v="10"/>
    <x v="3"/>
    <n v="1"/>
    <n v="232"/>
    <n v="408"/>
    <n v="180"/>
    <n v="35"/>
    <n v="34"/>
    <n v="54"/>
    <n v="40"/>
    <n v="83.9"/>
    <n v="-24.776108600000001"/>
    <n v="134.755"/>
    <n v="96.7"/>
    <n v="65.315315315315317"/>
    <n v="59.3"/>
    <n v="40.924092409240927"/>
    <n v="96.6"/>
    <n v="94.699999999999989"/>
    <n v="96.1"/>
    <n v="94.399999999999991"/>
    <x v="0"/>
  </r>
  <r>
    <x v="57"/>
    <x v="57"/>
    <x v="0"/>
    <x v="0"/>
    <n v="36"/>
    <n v="95"/>
    <n v="50"/>
    <n v="50"/>
    <n v="186"/>
    <n v="125"/>
    <n v="85"/>
    <n v="80"/>
    <n v="83.8"/>
    <n v="39.783730400000003"/>
    <n v="-100.445882"/>
    <n v="87.6"/>
    <n v="85.885885885885884"/>
    <n v="95.1"/>
    <n v="83.828382838283829"/>
    <n v="81.5"/>
    <n v="91.600000000000009"/>
    <n v="92.100000000000009"/>
    <n v="94.3"/>
    <x v="0"/>
  </r>
  <r>
    <x v="58"/>
    <x v="58"/>
    <x v="0"/>
    <x v="0"/>
    <n v="37"/>
    <n v="264"/>
    <n v="1001"/>
    <n v="42"/>
    <n v="133"/>
    <n v="97"/>
    <n v="64"/>
    <n v="57"/>
    <n v="83.8"/>
    <n v="39.783730400000003"/>
    <n v="-100.445882"/>
    <n v="90.4"/>
    <n v="60.510510510510507"/>
    <n v="0"/>
    <n v="86.468646864686477"/>
    <n v="86.8"/>
    <n v="93.7"/>
    <n v="94.399999999999991"/>
    <n v="94.199999999999989"/>
    <x v="0"/>
  </r>
  <r>
    <x v="59"/>
    <x v="59"/>
    <x v="11"/>
    <x v="2"/>
    <n v="1"/>
    <n v="667"/>
    <n v="20"/>
    <n v="304"/>
    <n v="19"/>
    <n v="39"/>
    <n v="146"/>
    <n v="129"/>
    <n v="83.7"/>
    <n v="36.638392000000003"/>
    <n v="127.69611879999999"/>
    <n v="96.2"/>
    <n v="20"/>
    <n v="98.1"/>
    <n v="0"/>
    <n v="98.2"/>
    <n v="85.5"/>
    <n v="87.2"/>
    <n v="94.1"/>
    <x v="0"/>
  </r>
  <r>
    <x v="60"/>
    <x v="60"/>
    <x v="7"/>
    <x v="2"/>
    <n v="2"/>
    <n v="19"/>
    <n v="400"/>
    <n v="15"/>
    <n v="177"/>
    <n v="143"/>
    <n v="122"/>
    <n v="405"/>
    <n v="83.6"/>
    <n v="39.3181528"/>
    <n v="-79.810901400000006"/>
    <n v="85.8"/>
    <n v="97.297297297297305"/>
    <n v="60.099999999999994"/>
    <n v="95.379537953795378"/>
    <n v="82.399999999999991"/>
    <n v="87.9"/>
    <n v="59.599999999999994"/>
    <n v="94"/>
    <x v="0"/>
  </r>
  <r>
    <x v="61"/>
    <x v="61"/>
    <x v="0"/>
    <x v="0"/>
    <n v="38"/>
    <n v="472"/>
    <n v="485"/>
    <n v="113"/>
    <n v="40"/>
    <n v="44"/>
    <n v="90"/>
    <n v="43"/>
    <n v="83.6"/>
    <n v="39.783730400000003"/>
    <n v="-100.445882"/>
    <n v="95.7"/>
    <n v="29.27927927927928"/>
    <n v="51.6"/>
    <n v="63.036303630363037"/>
    <n v="96.1"/>
    <n v="91.100000000000009"/>
    <n v="95.8"/>
    <n v="93.899999999999991"/>
    <x v="0"/>
  </r>
  <r>
    <x v="62"/>
    <x v="62"/>
    <x v="0"/>
    <x v="0"/>
    <n v="39"/>
    <n v="96"/>
    <n v="83"/>
    <n v="58"/>
    <n v="94"/>
    <n v="93"/>
    <n v="106"/>
    <n v="129"/>
    <n v="83.5"/>
    <n v="39.783730400000003"/>
    <n v="-100.445882"/>
    <n v="90.8"/>
    <n v="85.735735735735744"/>
    <n v="91.8"/>
    <n v="81.188118811881196"/>
    <n v="90.7"/>
    <n v="89.5"/>
    <n v="87.2"/>
    <n v="93.8"/>
    <x v="0"/>
  </r>
  <r>
    <x v="63"/>
    <x v="63"/>
    <x v="0"/>
    <x v="0"/>
    <n v="40"/>
    <n v="148"/>
    <n v="91"/>
    <n v="140"/>
    <n v="95"/>
    <n v="63"/>
    <n v="57"/>
    <n v="45"/>
    <n v="83.4"/>
    <n v="39.783730400000003"/>
    <n v="-100.445882"/>
    <n v="93.8"/>
    <n v="77.927927927927925"/>
    <n v="91"/>
    <n v="54.125412541254128"/>
    <n v="90.600000000000009"/>
    <n v="94.399999999999991"/>
    <n v="95.6"/>
    <n v="93.7"/>
    <x v="0"/>
  </r>
  <r>
    <x v="64"/>
    <x v="64"/>
    <x v="1"/>
    <x v="1"/>
    <n v="7"/>
    <n v="186"/>
    <n v="296"/>
    <n v="48"/>
    <n v="126"/>
    <n v="100"/>
    <n v="67"/>
    <n v="85"/>
    <n v="83.4"/>
    <n v="54.702354499999998"/>
    <n v="-3.2765753000000002"/>
    <n v="90.100000000000009"/>
    <n v="72.222222222222214"/>
    <n v="70.5"/>
    <n v="84.488448844884488"/>
    <n v="87.5"/>
    <n v="93.4"/>
    <n v="91.600000000000009"/>
    <n v="93.600000000000009"/>
    <x v="0"/>
  </r>
  <r>
    <x v="65"/>
    <x v="65"/>
    <x v="0"/>
    <x v="0"/>
    <n v="41"/>
    <n v="33"/>
    <n v="1001"/>
    <n v="39"/>
    <n v="244"/>
    <n v="151"/>
    <n v="34"/>
    <n v="187"/>
    <n v="83.3"/>
    <n v="39.783730400000003"/>
    <n v="-100.445882"/>
    <n v="85"/>
    <n v="95.195195195195197"/>
    <n v="0"/>
    <n v="87.458745874587464"/>
    <n v="75.7"/>
    <n v="96.7"/>
    <n v="81.399999999999991"/>
    <n v="93.5"/>
    <x v="0"/>
  </r>
  <r>
    <x v="66"/>
    <x v="66"/>
    <x v="12"/>
    <x v="1"/>
    <n v="1"/>
    <n v="117"/>
    <n v="486"/>
    <n v="34"/>
    <n v="61"/>
    <n v="103"/>
    <n v="195"/>
    <n v="71"/>
    <n v="83.2"/>
    <n v="42.638426099999997"/>
    <n v="12.674296999999999"/>
    <n v="89.8"/>
    <n v="82.582582582582589"/>
    <n v="51.5"/>
    <n v="89.10891089108911"/>
    <n v="94"/>
    <n v="80.600000000000009"/>
    <n v="93"/>
    <n v="93.4"/>
    <x v="0"/>
  </r>
  <r>
    <x v="67"/>
    <x v="67"/>
    <x v="1"/>
    <x v="1"/>
    <n v="8"/>
    <n v="43"/>
    <n v="341"/>
    <n v="110"/>
    <n v="88"/>
    <n v="65"/>
    <n v="79"/>
    <n v="72"/>
    <n v="83.2"/>
    <n v="54.702354499999998"/>
    <n v="-3.2765753000000002"/>
    <n v="93.600000000000009"/>
    <n v="93.693693693693689"/>
    <n v="66"/>
    <n v="64.026402640264024"/>
    <n v="91.3"/>
    <n v="92.2"/>
    <n v="92.9"/>
    <n v="93.300000000000011"/>
    <x v="0"/>
  </r>
  <r>
    <x v="68"/>
    <x v="68"/>
    <x v="4"/>
    <x v="1"/>
    <n v="3"/>
    <n v="267"/>
    <n v="771"/>
    <n v="108"/>
    <n v="80"/>
    <n v="70"/>
    <n v="49"/>
    <n v="51"/>
    <n v="83.1"/>
    <n v="46.798562400000002"/>
    <n v="8.2319735999999999"/>
    <n v="93.100000000000009"/>
    <n v="60.06006006006006"/>
    <n v="23"/>
    <n v="64.686468646864682"/>
    <n v="92.100000000000009"/>
    <n v="95.199999999999989"/>
    <n v="95"/>
    <n v="93.2"/>
    <x v="0"/>
  </r>
  <r>
    <x v="69"/>
    <x v="69"/>
    <x v="0"/>
    <x v="0"/>
    <n v="42"/>
    <n v="149"/>
    <n v="596"/>
    <n v="25"/>
    <n v="229"/>
    <n v="146"/>
    <n v="80"/>
    <n v="63"/>
    <n v="83"/>
    <n v="39.783730400000003"/>
    <n v="-100.445882"/>
    <n v="85.5"/>
    <n v="77.777777777777786"/>
    <n v="40.5"/>
    <n v="92.079207920792086"/>
    <n v="77.2"/>
    <n v="92.100000000000009"/>
    <n v="93.8"/>
    <n v="93.100000000000009"/>
    <x v="0"/>
  </r>
  <r>
    <x v="70"/>
    <x v="70"/>
    <x v="10"/>
    <x v="3"/>
    <n v="2"/>
    <n v="231"/>
    <n v="590"/>
    <n v="208"/>
    <n v="27"/>
    <n v="33"/>
    <n v="71"/>
    <n v="46"/>
    <n v="83"/>
    <n v="-24.776108600000001"/>
    <n v="134.755"/>
    <n v="96.8"/>
    <n v="65.465465465465471"/>
    <n v="41.099999999999994"/>
    <n v="31.683168316831683"/>
    <n v="97.399999999999991"/>
    <n v="93"/>
    <n v="95.5"/>
    <n v="93"/>
    <x v="0"/>
  </r>
  <r>
    <x v="71"/>
    <x v="71"/>
    <x v="13"/>
    <x v="1"/>
    <n v="1"/>
    <n v="122"/>
    <n v="352"/>
    <n v="137"/>
    <n v="58"/>
    <n v="43"/>
    <n v="56"/>
    <n v="66"/>
    <n v="82.9"/>
    <n v="52.243497900000001"/>
    <n v="5.6343227000000002"/>
    <n v="95.8"/>
    <n v="81.831831831831835"/>
    <n v="64.900000000000006"/>
    <n v="55.115511551155116"/>
    <n v="94.3"/>
    <n v="94.5"/>
    <n v="93.5"/>
    <n v="92.9"/>
    <x v="0"/>
  </r>
  <r>
    <x v="72"/>
    <x v="72"/>
    <x v="0"/>
    <x v="0"/>
    <n v="43"/>
    <n v="187"/>
    <n v="233"/>
    <n v="304"/>
    <n v="34"/>
    <n v="25"/>
    <n v="47"/>
    <n v="18"/>
    <n v="82.9"/>
    <n v="39.783730400000003"/>
    <n v="-100.445882"/>
    <n v="97.6"/>
    <n v="72.072072072072075"/>
    <n v="76.8"/>
    <n v="0"/>
    <n v="96.7"/>
    <n v="95.399999999999991"/>
    <n v="98.3"/>
    <n v="92.800000000000011"/>
    <x v="0"/>
  </r>
  <r>
    <x v="73"/>
    <x v="73"/>
    <x v="10"/>
    <x v="3"/>
    <n v="3"/>
    <n v="310"/>
    <n v="541"/>
    <n v="181"/>
    <n v="46"/>
    <n v="51"/>
    <n v="63"/>
    <n v="53"/>
    <n v="82.8"/>
    <n v="-24.776108600000001"/>
    <n v="134.755"/>
    <n v="95"/>
    <n v="53.603603603603602"/>
    <n v="46"/>
    <n v="40.594059405940598"/>
    <n v="95.5"/>
    <n v="93.8"/>
    <n v="94.8"/>
    <n v="92.7"/>
    <x v="0"/>
  </r>
  <r>
    <x v="74"/>
    <x v="74"/>
    <x v="14"/>
    <x v="1"/>
    <n v="1"/>
    <n v="97"/>
    <n v="633"/>
    <n v="52"/>
    <n v="99"/>
    <n v="102"/>
    <n v="112"/>
    <n v="93"/>
    <n v="82.8"/>
    <n v="64.573153700000006"/>
    <s v="11.52803643954819"/>
    <n v="89.9"/>
    <n v="85.585585585585591"/>
    <n v="36.799999999999997"/>
    <n v="83.168316831683171"/>
    <n v="90.2"/>
    <n v="88.9"/>
    <n v="90.8"/>
    <n v="92.600000000000009"/>
    <x v="0"/>
  </r>
  <r>
    <x v="75"/>
    <x v="75"/>
    <x v="0"/>
    <x v="0"/>
    <n v="44"/>
    <n v="15"/>
    <n v="1001"/>
    <n v="14"/>
    <n v="786"/>
    <n v="434"/>
    <n v="32"/>
    <n v="275"/>
    <n v="82.7"/>
    <n v="39.783730400000003"/>
    <n v="-100.445882"/>
    <n v="56.699999999999996"/>
    <n v="97.897897897897906"/>
    <n v="0"/>
    <n v="95.709570957095707"/>
    <n v="21.5"/>
    <n v="96.899999999999991"/>
    <n v="72.599999999999994"/>
    <n v="92.5"/>
    <x v="0"/>
  </r>
  <r>
    <x v="76"/>
    <x v="76"/>
    <x v="15"/>
    <x v="4"/>
    <n v="1"/>
    <n v="583"/>
    <n v="256"/>
    <n v="109"/>
    <n v="4"/>
    <n v="60"/>
    <n v="162"/>
    <n v="139"/>
    <n v="82.6"/>
    <n v="-10.3333333"/>
    <n v="-53.2"/>
    <n v="94.1"/>
    <n v="20"/>
    <n v="74.5"/>
    <n v="64.356435643564353"/>
    <n v="99.7"/>
    <n v="83.899999999999991"/>
    <n v="86.2"/>
    <n v="92.4"/>
    <x v="0"/>
  </r>
  <r>
    <x v="77"/>
    <x v="77"/>
    <x v="0"/>
    <x v="0"/>
    <n v="45"/>
    <n v="625"/>
    <n v="183"/>
    <n v="57"/>
    <n v="85"/>
    <n v="95"/>
    <n v="133"/>
    <n v="101"/>
    <n v="82.6"/>
    <n v="39.783730400000003"/>
    <n v="-100.445882"/>
    <n v="90.600000000000009"/>
    <n v="20"/>
    <n v="81.8"/>
    <n v="81.518151815181511"/>
    <n v="91.600000000000009"/>
    <n v="86.8"/>
    <n v="90"/>
    <n v="92.300000000000011"/>
    <x v="0"/>
  </r>
  <r>
    <x v="78"/>
    <x v="78"/>
    <x v="0"/>
    <x v="0"/>
    <n v="46"/>
    <n v="271"/>
    <n v="31"/>
    <n v="168"/>
    <n v="151"/>
    <n v="116"/>
    <n v="95"/>
    <n v="85"/>
    <n v="82.5"/>
    <n v="39.783730400000003"/>
    <n v="-100.445882"/>
    <n v="88.5"/>
    <n v="59.45945945945946"/>
    <n v="97"/>
    <n v="44.884488448844884"/>
    <n v="85"/>
    <n v="90.600000000000009"/>
    <n v="91.600000000000009"/>
    <n v="92.2"/>
    <x v="0"/>
  </r>
  <r>
    <x v="79"/>
    <x v="79"/>
    <x v="0"/>
    <x v="0"/>
    <n v="47"/>
    <n v="667"/>
    <n v="197"/>
    <n v="164"/>
    <n v="101"/>
    <n v="66"/>
    <n v="55"/>
    <n v="63"/>
    <n v="82.5"/>
    <n v="39.783730400000003"/>
    <n v="-100.445882"/>
    <n v="93.5"/>
    <n v="20"/>
    <n v="80.400000000000006"/>
    <n v="46.204620462046201"/>
    <n v="90"/>
    <n v="94.6"/>
    <n v="93.8"/>
    <n v="92.100000000000009"/>
    <x v="0"/>
  </r>
  <r>
    <x v="80"/>
    <x v="80"/>
    <x v="8"/>
    <x v="1"/>
    <n v="3"/>
    <n v="112"/>
    <n v="1001"/>
    <n v="124"/>
    <n v="64"/>
    <n v="76"/>
    <n v="72"/>
    <n v="85"/>
    <n v="82.4"/>
    <n v="40.420347900000003"/>
    <n v="-79.116698299999996"/>
    <n v="92.5"/>
    <n v="83.333333333333343"/>
    <n v="0"/>
    <n v="59.405940594059402"/>
    <n v="93.7"/>
    <n v="92.9"/>
    <n v="91.600000000000009"/>
    <n v="92"/>
    <x v="0"/>
  </r>
  <r>
    <x v="81"/>
    <x v="81"/>
    <x v="10"/>
    <x v="3"/>
    <n v="4"/>
    <n v="188"/>
    <n v="666"/>
    <n v="37"/>
    <n v="153"/>
    <n v="136"/>
    <n v="101"/>
    <n v="121"/>
    <n v="82.4"/>
    <n v="-24.776108600000001"/>
    <n v="134.755"/>
    <n v="86.5"/>
    <n v="71.921921921921921"/>
    <n v="33.5"/>
    <n v="88.118811881188122"/>
    <n v="84.8"/>
    <n v="90"/>
    <n v="88"/>
    <n v="91.9"/>
    <x v="0"/>
  </r>
  <r>
    <x v="82"/>
    <x v="82"/>
    <x v="0"/>
    <x v="0"/>
    <n v="48"/>
    <n v="169"/>
    <n v="187"/>
    <n v="80"/>
    <n v="125"/>
    <n v="105"/>
    <n v="68"/>
    <n v="93"/>
    <n v="82.3"/>
    <n v="39.783730400000003"/>
    <n v="-100.445882"/>
    <n v="89.600000000000009"/>
    <n v="74.774774774774784"/>
    <n v="81.399999999999991"/>
    <n v="73.927392739273927"/>
    <n v="87.6"/>
    <n v="93.300000000000011"/>
    <n v="90.8"/>
    <n v="91.8"/>
    <x v="0"/>
  </r>
  <r>
    <x v="83"/>
    <x v="83"/>
    <x v="5"/>
    <x v="1"/>
    <n v="3"/>
    <n v="192"/>
    <n v="1001"/>
    <n v="101"/>
    <n v="122"/>
    <n v="108"/>
    <n v="44"/>
    <n v="76"/>
    <n v="82.3"/>
    <n v="46.603354000000003"/>
    <n v="1.8883335000000001"/>
    <n v="89.3"/>
    <n v="71.321321321321321"/>
    <n v="0"/>
    <n v="66.996699669967001"/>
    <n v="87.9"/>
    <n v="95.7"/>
    <n v="92.5"/>
    <n v="91.7"/>
    <x v="0"/>
  </r>
  <r>
    <x v="84"/>
    <x v="84"/>
    <x v="7"/>
    <x v="2"/>
    <n v="3"/>
    <n v="105"/>
    <n v="143"/>
    <n v="59"/>
    <n v="108"/>
    <n v="115"/>
    <n v="129"/>
    <n v="151"/>
    <n v="82.2"/>
    <n v="39.3181528"/>
    <n v="-79.810901400000006"/>
    <n v="88.6"/>
    <n v="84.384384384384376"/>
    <n v="85.8"/>
    <n v="80.858085808580853"/>
    <n v="89.3"/>
    <n v="87.2"/>
    <n v="85"/>
    <n v="91.600000000000009"/>
    <x v="0"/>
  </r>
  <r>
    <x v="85"/>
    <x v="85"/>
    <x v="9"/>
    <x v="1"/>
    <n v="2"/>
    <n v="102"/>
    <n v="548"/>
    <n v="84"/>
    <n v="107"/>
    <n v="107"/>
    <n v="66"/>
    <n v="114"/>
    <n v="82.2"/>
    <n v="44.133434999999999"/>
    <n v="-70.822677999999996"/>
    <n v="89.4"/>
    <n v="84.834834834834837"/>
    <n v="45.300000000000004"/>
    <n v="72.60726072607261"/>
    <n v="89.4"/>
    <n v="93.5"/>
    <n v="88.7"/>
    <n v="91.5"/>
    <x v="0"/>
  </r>
  <r>
    <x v="86"/>
    <x v="86"/>
    <x v="16"/>
    <x v="1"/>
    <n v="1"/>
    <n v="386"/>
    <n v="472"/>
    <n v="181"/>
    <n v="47"/>
    <n v="54"/>
    <n v="91"/>
    <n v="72"/>
    <n v="82.1"/>
    <n v="39.326068499999998"/>
    <n v="-4.8379791000000001"/>
    <n v="94.699999999999989"/>
    <n v="42.192192192192188"/>
    <n v="52.900000000000006"/>
    <n v="40.594059405940598"/>
    <n v="95.399999999999991"/>
    <n v="91"/>
    <n v="92.9"/>
    <n v="91.4"/>
    <x v="0"/>
  </r>
  <r>
    <x v="87"/>
    <x v="87"/>
    <x v="6"/>
    <x v="1"/>
    <n v="2"/>
    <n v="589"/>
    <n v="379"/>
    <n v="114"/>
    <n v="83"/>
    <n v="79"/>
    <n v="78"/>
    <n v="121"/>
    <n v="82.1"/>
    <n v="55.670248999999998"/>
    <n v="10.3333283"/>
    <n v="92.2"/>
    <n v="20"/>
    <n v="62.2"/>
    <n v="62.706270627062707"/>
    <n v="91.8"/>
    <n v="92.300000000000011"/>
    <n v="88"/>
    <n v="91.3"/>
    <x v="0"/>
  </r>
  <r>
    <x v="88"/>
    <x v="88"/>
    <x v="0"/>
    <x v="0"/>
    <n v="49"/>
    <n v="667"/>
    <n v="1001"/>
    <n v="91"/>
    <n v="158"/>
    <n v="104"/>
    <n v="70"/>
    <n v="66"/>
    <n v="82"/>
    <n v="39.783730400000003"/>
    <n v="-100.445882"/>
    <n v="89.7"/>
    <n v="20"/>
    <n v="0"/>
    <n v="70.297029702970292"/>
    <n v="84.3"/>
    <n v="93.100000000000009"/>
    <n v="93.5"/>
    <n v="91.2"/>
    <x v="0"/>
  </r>
  <r>
    <x v="89"/>
    <x v="89"/>
    <x v="13"/>
    <x v="1"/>
    <n v="2"/>
    <n v="228"/>
    <n v="1001"/>
    <n v="118"/>
    <n v="118"/>
    <n v="78"/>
    <n v="81"/>
    <n v="80"/>
    <n v="82"/>
    <n v="52.243497900000001"/>
    <n v="5.6343227000000002"/>
    <n v="92.300000000000011"/>
    <n v="65.915915915915917"/>
    <n v="0"/>
    <n v="61.386138613861384"/>
    <n v="88.3"/>
    <n v="92"/>
    <n v="92.100000000000009"/>
    <n v="91.100000000000009"/>
    <x v="0"/>
  </r>
  <r>
    <x v="90"/>
    <x v="90"/>
    <x v="0"/>
    <x v="0"/>
    <n v="50"/>
    <n v="34"/>
    <n v="145"/>
    <n v="21"/>
    <n v="318"/>
    <n v="228"/>
    <n v="221"/>
    <n v="129"/>
    <n v="81.900000000000006"/>
    <n v="39.783730400000003"/>
    <n v="-100.445882"/>
    <n v="77.3"/>
    <n v="95.045045045045043"/>
    <n v="85.6"/>
    <n v="93.399339933993403"/>
    <n v="68.300000000000011"/>
    <n v="78"/>
    <n v="87.2"/>
    <n v="91"/>
    <x v="0"/>
  </r>
  <r>
    <x v="91"/>
    <x v="91"/>
    <x v="17"/>
    <x v="2"/>
    <n v="1"/>
    <n v="340"/>
    <n v="67"/>
    <n v="304"/>
    <n v="23"/>
    <n v="38"/>
    <n v="88"/>
    <n v="167"/>
    <n v="81.900000000000006"/>
    <n v="30.047992000000001"/>
    <n v="-94.335743300000004"/>
    <n v="96.3"/>
    <n v="49.099099099099099"/>
    <n v="93.4"/>
    <n v="0"/>
    <n v="97.8"/>
    <n v="91.3"/>
    <n v="83.399999999999991"/>
    <n v="90.9"/>
    <x v="0"/>
  </r>
  <r>
    <x v="92"/>
    <x v="92"/>
    <x v="18"/>
    <x v="1"/>
    <n v="1"/>
    <n v="109"/>
    <n v="1001"/>
    <n v="135"/>
    <n v="82"/>
    <n v="83"/>
    <n v="77"/>
    <n v="108"/>
    <n v="81.8"/>
    <n v="63.246777700000003"/>
    <n v="25.920916399999999"/>
    <n v="91.8"/>
    <n v="83.78378378378379"/>
    <n v="0"/>
    <n v="55.775577557755774"/>
    <n v="91.9"/>
    <n v="92.4"/>
    <n v="89.3"/>
    <n v="90.8"/>
    <x v="0"/>
  </r>
  <r>
    <x v="93"/>
    <x v="93"/>
    <x v="0"/>
    <x v="0"/>
    <n v="51"/>
    <n v="667"/>
    <n v="1001"/>
    <n v="141"/>
    <n v="161"/>
    <n v="118"/>
    <n v="38"/>
    <n v="53"/>
    <n v="81.8"/>
    <n v="39.783730400000003"/>
    <n v="-100.445882"/>
    <n v="88.3"/>
    <n v="20"/>
    <n v="0"/>
    <n v="53.795379537953792"/>
    <n v="84"/>
    <n v="96.3"/>
    <n v="94.8"/>
    <n v="90.7"/>
    <x v="0"/>
  </r>
  <r>
    <x v="94"/>
    <x v="94"/>
    <x v="9"/>
    <x v="1"/>
    <n v="3"/>
    <n v="294"/>
    <n v="753"/>
    <n v="122"/>
    <n v="90"/>
    <n v="90"/>
    <n v="121"/>
    <n v="76"/>
    <n v="81.7"/>
    <n v="44.133434999999999"/>
    <n v="-70.822677999999996"/>
    <n v="91.100000000000009"/>
    <n v="56.006006006006004"/>
    <n v="24.8"/>
    <n v="60.066006600660074"/>
    <n v="91.100000000000009"/>
    <n v="88"/>
    <n v="92.5"/>
    <n v="90.600000000000009"/>
    <x v="0"/>
  </r>
  <r>
    <x v="95"/>
    <x v="95"/>
    <x v="3"/>
    <x v="0"/>
    <n v="4"/>
    <n v="281"/>
    <n v="371"/>
    <n v="192"/>
    <n v="62"/>
    <n v="69"/>
    <n v="117"/>
    <n v="80"/>
    <n v="81.7"/>
    <n v="61.066692199999999"/>
    <n v="-107.99170700000001"/>
    <n v="93.2"/>
    <n v="57.957957957957959"/>
    <n v="63"/>
    <n v="36.963696369636963"/>
    <n v="93.899999999999991"/>
    <n v="88.4"/>
    <n v="92.100000000000009"/>
    <n v="90.5"/>
    <x v="0"/>
  </r>
  <r>
    <x v="96"/>
    <x v="96"/>
    <x v="5"/>
    <x v="1"/>
    <n v="4"/>
    <n v="334"/>
    <n v="1001"/>
    <n v="157"/>
    <n v="89"/>
    <n v="87"/>
    <n v="75"/>
    <n v="93"/>
    <n v="81.7"/>
    <n v="46.603354000000003"/>
    <n v="1.8883335000000001"/>
    <n v="91.4"/>
    <n v="50"/>
    <n v="0"/>
    <n v="48.514851485148512"/>
    <n v="91.2"/>
    <n v="92.600000000000009"/>
    <n v="90.8"/>
    <n v="90.4"/>
    <x v="0"/>
  </r>
  <r>
    <x v="97"/>
    <x v="97"/>
    <x v="17"/>
    <x v="2"/>
    <n v="2"/>
    <n v="586"/>
    <n v="109"/>
    <n v="304"/>
    <n v="22"/>
    <n v="41"/>
    <n v="96"/>
    <n v="108"/>
    <n v="81.599999999999994"/>
    <n v="30.047992000000001"/>
    <n v="-94.335743300000004"/>
    <n v="96"/>
    <n v="20"/>
    <n v="89.2"/>
    <n v="0"/>
    <n v="97.899999999999991"/>
    <n v="90.5"/>
    <n v="89.3"/>
    <n v="90.3"/>
    <x v="0"/>
  </r>
  <r>
    <x v="98"/>
    <x v="98"/>
    <x v="4"/>
    <x v="1"/>
    <n v="4"/>
    <n v="142"/>
    <n v="393"/>
    <n v="54"/>
    <n v="218"/>
    <n v="162"/>
    <n v="89"/>
    <n v="139"/>
    <n v="81.599999999999994"/>
    <n v="46.798562400000002"/>
    <n v="8.2319735999999999"/>
    <n v="83.899999999999991"/>
    <n v="78.828828828828833"/>
    <n v="60.8"/>
    <n v="82.508250825082513"/>
    <n v="78.3"/>
    <n v="91.2"/>
    <n v="86.2"/>
    <n v="90.2"/>
    <x v="0"/>
  </r>
  <r>
    <x v="99"/>
    <x v="99"/>
    <x v="13"/>
    <x v="1"/>
    <n v="3"/>
    <n v="363"/>
    <n v="482"/>
    <n v="131"/>
    <n v="97"/>
    <n v="73"/>
    <n v="104"/>
    <n v="93"/>
    <n v="81.5"/>
    <n v="52.243497900000001"/>
    <n v="5.6343227000000002"/>
    <n v="92.800000000000011"/>
    <n v="45.645645645645644"/>
    <n v="51.9"/>
    <n v="57.095709570957098"/>
    <n v="90.4"/>
    <n v="89.7"/>
    <n v="90.8"/>
    <n v="90.100000000000009"/>
    <x v="0"/>
  </r>
  <r>
    <x v="100"/>
    <x v="100"/>
    <x v="8"/>
    <x v="1"/>
    <n v="4"/>
    <n v="570"/>
    <n v="1001"/>
    <n v="225"/>
    <n v="69"/>
    <n v="77"/>
    <n v="73"/>
    <n v="80"/>
    <n v="81.5"/>
    <n v="40.420347900000003"/>
    <n v="-79.116698299999996"/>
    <n v="92.4"/>
    <n v="20"/>
    <n v="0"/>
    <n v="26.072607260726073"/>
    <n v="93.2"/>
    <n v="92.800000000000011"/>
    <n v="92.100000000000009"/>
    <n v="90"/>
    <x v="0"/>
  </r>
  <r>
    <x v="101"/>
    <x v="101"/>
    <x v="4"/>
    <x v="1"/>
    <n v="5"/>
    <n v="400"/>
    <n v="92"/>
    <n v="141"/>
    <n v="184"/>
    <n v="126"/>
    <n v="102"/>
    <n v="53"/>
    <n v="81.400000000000006"/>
    <n v="46.798562400000002"/>
    <n v="8.2319735999999999"/>
    <n v="87.5"/>
    <n v="40.090090090090094"/>
    <n v="90.9"/>
    <n v="53.795379537953792"/>
    <n v="81.699999999999989"/>
    <n v="89.9"/>
    <n v="94.8"/>
    <n v="89.9"/>
    <x v="0"/>
  </r>
  <r>
    <x v="102"/>
    <x v="102"/>
    <x v="19"/>
    <x v="2"/>
    <n v="1"/>
    <n v="667"/>
    <n v="148"/>
    <n v="304"/>
    <n v="38"/>
    <n v="32"/>
    <n v="94"/>
    <n v="85"/>
    <n v="81.400000000000006"/>
    <n v="1.3571070000000001"/>
    <n v="103.8194992"/>
    <n v="96.899999999999991"/>
    <n v="20"/>
    <n v="85.3"/>
    <n v="0"/>
    <n v="96.3"/>
    <n v="90.7"/>
    <n v="91.600000000000009"/>
    <n v="89.8"/>
    <x v="0"/>
  </r>
  <r>
    <x v="103"/>
    <x v="103"/>
    <x v="20"/>
    <x v="1"/>
    <n v="1"/>
    <n v="311"/>
    <n v="685"/>
    <n v="190"/>
    <n v="55"/>
    <n v="68"/>
    <n v="136"/>
    <n v="101"/>
    <n v="81.3"/>
    <n v="50.6402809"/>
    <n v="4.6667145000000003"/>
    <n v="93.300000000000011"/>
    <n v="53.453453453453456"/>
    <n v="31.6"/>
    <n v="37.623762376237622"/>
    <n v="94.6"/>
    <n v="86.5"/>
    <n v="90"/>
    <n v="89.7"/>
    <x v="0"/>
  </r>
  <r>
    <x v="104"/>
    <x v="104"/>
    <x v="0"/>
    <x v="0"/>
    <n v="52"/>
    <n v="73"/>
    <n v="74"/>
    <n v="139"/>
    <n v="220"/>
    <n v="148"/>
    <n v="139"/>
    <n v="66"/>
    <n v="81.3"/>
    <n v="39.783730400000003"/>
    <n v="-100.445882"/>
    <n v="85.3"/>
    <n v="89.189189189189193"/>
    <n v="92.7"/>
    <n v="54.455445544554458"/>
    <n v="78.100000000000009"/>
    <n v="86.2"/>
    <n v="93.5"/>
    <n v="89.600000000000009"/>
    <x v="0"/>
  </r>
  <r>
    <x v="105"/>
    <x v="105"/>
    <x v="13"/>
    <x v="1"/>
    <n v="4"/>
    <n v="667"/>
    <n v="90"/>
    <n v="264"/>
    <n v="120"/>
    <n v="84"/>
    <n v="107"/>
    <n v="72"/>
    <n v="81.3"/>
    <n v="52.243497900000001"/>
    <n v="5.6343227000000002"/>
    <n v="91.7"/>
    <n v="20"/>
    <n v="91.100000000000009"/>
    <n v="13.201320132013199"/>
    <n v="88.1"/>
    <n v="89.4"/>
    <n v="92.9"/>
    <n v="89.5"/>
    <x v="0"/>
  </r>
  <r>
    <x v="106"/>
    <x v="106"/>
    <x v="20"/>
    <x v="1"/>
    <n v="2"/>
    <n v="667"/>
    <n v="429"/>
    <n v="304"/>
    <n v="48"/>
    <n v="47"/>
    <n v="84"/>
    <n v="66"/>
    <n v="81.2"/>
    <n v="50.6402809"/>
    <n v="4.6667145000000003"/>
    <n v="95.399999999999991"/>
    <n v="20"/>
    <n v="57.199999999999996"/>
    <n v="0"/>
    <n v="95.3"/>
    <n v="91.7"/>
    <n v="93.5"/>
    <n v="89.4"/>
    <x v="0"/>
  </r>
  <r>
    <x v="107"/>
    <x v="107"/>
    <x v="4"/>
    <x v="1"/>
    <n v="6"/>
    <n v="183"/>
    <n v="1001"/>
    <n v="102"/>
    <n v="160"/>
    <n v="144"/>
    <n v="105"/>
    <n v="85"/>
    <n v="81.2"/>
    <n v="46.798562400000002"/>
    <n v="8.2319735999999999"/>
    <n v="85.7"/>
    <n v="72.672672672672675"/>
    <n v="0"/>
    <n v="66.666666666666657"/>
    <n v="84.1"/>
    <n v="89.600000000000009"/>
    <n v="91.600000000000009"/>
    <n v="89.3"/>
    <x v="0"/>
  </r>
  <r>
    <x v="108"/>
    <x v="108"/>
    <x v="21"/>
    <x v="2"/>
    <n v="1"/>
    <n v="140"/>
    <n v="37"/>
    <n v="304"/>
    <n v="51"/>
    <n v="61"/>
    <n v="223"/>
    <n v="151"/>
    <n v="81.099999999999994"/>
    <n v="23.598322700000001"/>
    <s v="120.83537694479215"/>
    <n v="94"/>
    <n v="79.129129129129126"/>
    <n v="96.399999999999991"/>
    <n v="0"/>
    <n v="95"/>
    <n v="77.8"/>
    <n v="85"/>
    <n v="89.2"/>
    <x v="0"/>
  </r>
  <r>
    <x v="109"/>
    <x v="109"/>
    <x v="3"/>
    <x v="0"/>
    <n v="5"/>
    <n v="486"/>
    <n v="455"/>
    <n v="205"/>
    <n v="86"/>
    <n v="91"/>
    <n v="93"/>
    <n v="139"/>
    <n v="81.099999999999994"/>
    <n v="61.066692199999999"/>
    <n v="-107.99170700000001"/>
    <n v="91"/>
    <n v="27.177177177177175"/>
    <n v="54.6"/>
    <n v="32.673267326732677"/>
    <n v="91.5"/>
    <n v="90.8"/>
    <n v="86.2"/>
    <n v="89.1"/>
    <x v="0"/>
  </r>
  <r>
    <x v="110"/>
    <x v="110"/>
    <x v="0"/>
    <x v="0"/>
    <n v="53"/>
    <n v="343"/>
    <n v="1001"/>
    <n v="45"/>
    <n v="412"/>
    <n v="275"/>
    <n v="60"/>
    <n v="93"/>
    <n v="81.099999999999994"/>
    <n v="39.783730400000003"/>
    <n v="-100.445882"/>
    <n v="72.599999999999994"/>
    <n v="48.648648648648653"/>
    <n v="0"/>
    <n v="85.478547854785475"/>
    <n v="58.9"/>
    <n v="94.1"/>
    <n v="90.8"/>
    <n v="89"/>
    <x v="0"/>
  </r>
  <r>
    <x v="111"/>
    <x v="111"/>
    <x v="8"/>
    <x v="1"/>
    <n v="5"/>
    <n v="89"/>
    <n v="339"/>
    <n v="226"/>
    <n v="106"/>
    <n v="98"/>
    <n v="86"/>
    <n v="139"/>
    <n v="81"/>
    <n v="40.420347900000003"/>
    <n v="-79.116698299999996"/>
    <n v="90.3"/>
    <n v="86.786786786786791"/>
    <n v="66.2"/>
    <n v="25.742574257425744"/>
    <n v="89.5"/>
    <n v="91.5"/>
    <n v="86.2"/>
    <n v="88.9"/>
    <x v="0"/>
  </r>
  <r>
    <x v="112"/>
    <x v="112"/>
    <x v="2"/>
    <x v="2"/>
    <n v="4"/>
    <n v="69"/>
    <n v="366"/>
    <n v="67"/>
    <n v="132"/>
    <n v="165"/>
    <n v="169"/>
    <n v="222"/>
    <n v="81"/>
    <n v="36.5748441"/>
    <n v="139.23941790000001"/>
    <n v="83.6"/>
    <n v="89.789789789789793"/>
    <n v="63.5"/>
    <n v="78.21782178217822"/>
    <n v="86.9"/>
    <n v="83.2"/>
    <n v="77.900000000000006"/>
    <n v="88.8"/>
    <x v="0"/>
  </r>
  <r>
    <x v="113"/>
    <x v="113"/>
    <x v="0"/>
    <x v="0"/>
    <n v="54"/>
    <n v="667"/>
    <n v="796"/>
    <n v="111"/>
    <n v="155"/>
    <n v="139"/>
    <n v="113"/>
    <n v="114"/>
    <n v="80.900000000000006"/>
    <n v="39.783730400000003"/>
    <n v="-100.445882"/>
    <n v="86.2"/>
    <n v="20"/>
    <n v="20.5"/>
    <n v="63.696369636963702"/>
    <n v="84.6"/>
    <n v="88.8"/>
    <n v="88.7"/>
    <n v="88.7"/>
    <x v="0"/>
  </r>
  <r>
    <x v="114"/>
    <x v="114"/>
    <x v="8"/>
    <x v="1"/>
    <n v="6"/>
    <n v="123"/>
    <n v="494"/>
    <n v="105"/>
    <n v="167"/>
    <n v="158"/>
    <n v="123"/>
    <n v="101"/>
    <n v="80.900000000000006"/>
    <n v="40.420347900000003"/>
    <n v="-79.116698299999996"/>
    <n v="84.3"/>
    <n v="81.681681681681681"/>
    <n v="50.7"/>
    <n v="65.67656765676567"/>
    <n v="83.399999999999991"/>
    <n v="87.8"/>
    <n v="90"/>
    <n v="88.6"/>
    <x v="0"/>
  </r>
  <r>
    <x v="115"/>
    <x v="115"/>
    <x v="5"/>
    <x v="1"/>
    <n v="5"/>
    <n v="85"/>
    <n v="5"/>
    <n v="240"/>
    <n v="488"/>
    <n v="396"/>
    <n v="348"/>
    <n v="254"/>
    <n v="80.900000000000006"/>
    <n v="46.603354000000003"/>
    <n v="1.8883335000000001"/>
    <n v="60.5"/>
    <n v="87.387387387387378"/>
    <n v="99.6"/>
    <n v="21.122112211221122"/>
    <n v="51.300000000000004"/>
    <n v="65.3"/>
    <n v="74.7"/>
    <n v="88.5"/>
    <x v="0"/>
  </r>
  <r>
    <x v="116"/>
    <x v="116"/>
    <x v="5"/>
    <x v="1"/>
    <n v="6"/>
    <n v="6"/>
    <n v="627"/>
    <n v="82"/>
    <n v="598"/>
    <n v="442"/>
    <n v="227"/>
    <n v="460"/>
    <n v="80.8"/>
    <n v="46.603354000000003"/>
    <n v="1.8883335000000001"/>
    <n v="55.900000000000006"/>
    <n v="99.249249249249246"/>
    <n v="37.4"/>
    <n v="73.267326732673268"/>
    <n v="40.300000000000004"/>
    <n v="77.400000000000006"/>
    <n v="54.1"/>
    <n v="88.4"/>
    <x v="0"/>
  </r>
  <r>
    <x v="117"/>
    <x v="117"/>
    <x v="1"/>
    <x v="1"/>
    <n v="9"/>
    <n v="317"/>
    <n v="375"/>
    <n v="98"/>
    <n v="138"/>
    <n v="121"/>
    <n v="179"/>
    <n v="114"/>
    <n v="80.8"/>
    <n v="54.702354499999998"/>
    <n v="-3.2765753000000002"/>
    <n v="88"/>
    <n v="52.552552552552555"/>
    <n v="62.6"/>
    <n v="67.986798679867988"/>
    <n v="86.3"/>
    <n v="82.199999999999989"/>
    <n v="88.7"/>
    <n v="88.3"/>
    <x v="0"/>
  </r>
  <r>
    <x v="118"/>
    <x v="118"/>
    <x v="10"/>
    <x v="3"/>
    <n v="5"/>
    <n v="399"/>
    <n v="126"/>
    <n v="278"/>
    <n v="68"/>
    <n v="74"/>
    <n v="154"/>
    <n v="85"/>
    <n v="80.8"/>
    <n v="-24.776108600000001"/>
    <n v="134.755"/>
    <n v="92.7"/>
    <n v="40.24024024024024"/>
    <n v="87.5"/>
    <n v="8.5808580858085808"/>
    <n v="93.300000000000011"/>
    <n v="84.7"/>
    <n v="91.600000000000009"/>
    <n v="88.2"/>
    <x v="0"/>
  </r>
  <r>
    <x v="119"/>
    <x v="119"/>
    <x v="2"/>
    <x v="2"/>
    <n v="5"/>
    <n v="82"/>
    <n v="158"/>
    <n v="246"/>
    <n v="60"/>
    <n v="101"/>
    <n v="166"/>
    <n v="167"/>
    <n v="80.7"/>
    <n v="36.5748441"/>
    <n v="139.23941790000001"/>
    <n v="90"/>
    <n v="87.837837837837839"/>
    <n v="84.3"/>
    <n v="19.141914191419144"/>
    <n v="94.1"/>
    <n v="83.5"/>
    <n v="83.399999999999991"/>
    <n v="88.1"/>
    <x v="0"/>
  </r>
  <r>
    <x v="120"/>
    <x v="120"/>
    <x v="3"/>
    <x v="0"/>
    <n v="6"/>
    <n v="339"/>
    <n v="660"/>
    <n v="202"/>
    <n v="140"/>
    <n v="133"/>
    <n v="124"/>
    <n v="57"/>
    <n v="80.7"/>
    <n v="61.066692199999999"/>
    <n v="-107.99170700000001"/>
    <n v="86.8"/>
    <n v="49.249249249249246"/>
    <n v="34.1"/>
    <n v="33.663366336633665"/>
    <n v="86.1"/>
    <n v="87.7"/>
    <n v="94.399999999999991"/>
    <n v="88"/>
    <x v="0"/>
  </r>
  <r>
    <x v="121"/>
    <x v="121"/>
    <x v="0"/>
    <x v="0"/>
    <n v="55"/>
    <n v="48"/>
    <n v="17"/>
    <n v="232"/>
    <n v="372"/>
    <n v="258"/>
    <n v="185"/>
    <n v="240"/>
    <n v="80.599999999999994"/>
    <n v="39.783730400000003"/>
    <n v="-100.445882"/>
    <n v="74.3"/>
    <n v="92.942942942942935"/>
    <n v="98.4"/>
    <n v="23.762376237623762"/>
    <n v="62.9"/>
    <n v="81.599999999999994"/>
    <n v="76.099999999999994"/>
    <n v="87.9"/>
    <x v="0"/>
  </r>
  <r>
    <x v="122"/>
    <x v="122"/>
    <x v="13"/>
    <x v="1"/>
    <n v="5"/>
    <n v="175"/>
    <n v="872"/>
    <n v="298"/>
    <n v="79"/>
    <n v="62"/>
    <n v="82"/>
    <n v="85"/>
    <n v="80.599999999999994"/>
    <n v="52.243497900000001"/>
    <n v="5.6343227000000002"/>
    <n v="93.899999999999991"/>
    <n v="73.873873873873876"/>
    <n v="12.9"/>
    <n v="1.9801980198019802"/>
    <n v="92.2"/>
    <n v="91.9"/>
    <n v="91.600000000000009"/>
    <n v="87.8"/>
    <x v="0"/>
  </r>
  <r>
    <x v="123"/>
    <x v="123"/>
    <x v="10"/>
    <x v="3"/>
    <n v="6"/>
    <n v="455"/>
    <n v="405"/>
    <n v="304"/>
    <n v="56"/>
    <n v="59"/>
    <n v="100"/>
    <n v="101"/>
    <n v="80.599999999999994"/>
    <n v="-24.776108600000001"/>
    <n v="134.755"/>
    <n v="94.199999999999989"/>
    <n v="31.831831831831831"/>
    <n v="59.599999999999994"/>
    <n v="0"/>
    <n v="94.5"/>
    <n v="90.100000000000009"/>
    <n v="90"/>
    <n v="87.7"/>
    <x v="0"/>
  </r>
  <r>
    <x v="124"/>
    <x v="124"/>
    <x v="8"/>
    <x v="1"/>
    <n v="7"/>
    <n v="594"/>
    <n v="414"/>
    <n v="177"/>
    <n v="139"/>
    <n v="138"/>
    <n v="130"/>
    <n v="114"/>
    <n v="80.5"/>
    <n v="40.420347900000003"/>
    <n v="-79.116698299999996"/>
    <n v="86.3"/>
    <n v="20"/>
    <n v="58.699999999999996"/>
    <n v="41.914191419141915"/>
    <n v="86.2"/>
    <n v="87.1"/>
    <n v="88.7"/>
    <n v="87.6"/>
    <x v="0"/>
  </r>
  <r>
    <x v="125"/>
    <x v="125"/>
    <x v="22"/>
    <x v="1"/>
    <n v="1"/>
    <n v="23"/>
    <n v="384"/>
    <n v="71"/>
    <n v="98"/>
    <n v="289"/>
    <n v="279"/>
    <n v="304"/>
    <n v="80.5"/>
    <n v="40.2338211"/>
    <n v="-84.409672900000004"/>
    <n v="71.2"/>
    <n v="96.696696696696691"/>
    <n v="61.7"/>
    <n v="76.897689768976889"/>
    <n v="90.3"/>
    <n v="72.2"/>
    <n v="69.699999999999989"/>
    <n v="87.5"/>
    <x v="0"/>
  </r>
  <r>
    <x v="126"/>
    <x v="126"/>
    <x v="13"/>
    <x v="1"/>
    <n v="6"/>
    <n v="667"/>
    <n v="984"/>
    <n v="304"/>
    <n v="91"/>
    <n v="71"/>
    <n v="132"/>
    <n v="44"/>
    <n v="80.5"/>
    <n v="52.243497900000001"/>
    <n v="5.6343227000000002"/>
    <n v="93"/>
    <n v="20"/>
    <n v="1.7000000000000002"/>
    <n v="0"/>
    <n v="91"/>
    <n v="86.9"/>
    <n v="95.7"/>
    <n v="87.4"/>
    <x v="0"/>
  </r>
  <r>
    <x v="127"/>
    <x v="127"/>
    <x v="0"/>
    <x v="0"/>
    <n v="56"/>
    <n v="373"/>
    <n v="1001"/>
    <n v="62"/>
    <n v="270"/>
    <n v="197"/>
    <n v="115"/>
    <n v="187"/>
    <n v="80.400000000000006"/>
    <n v="39.783730400000003"/>
    <n v="-100.445882"/>
    <n v="80.400000000000006"/>
    <n v="44.144144144144143"/>
    <n v="0"/>
    <n v="79.867986798679866"/>
    <n v="73.099999999999994"/>
    <n v="88.6"/>
    <n v="81.399999999999991"/>
    <n v="87.3"/>
    <x v="0"/>
  </r>
  <r>
    <x v="128"/>
    <x v="128"/>
    <x v="0"/>
    <x v="0"/>
    <n v="57"/>
    <n v="67"/>
    <n v="93"/>
    <n v="77"/>
    <n v="407"/>
    <n v="283"/>
    <n v="163"/>
    <n v="108"/>
    <n v="80.400000000000006"/>
    <n v="39.783730400000003"/>
    <n v="-100.445882"/>
    <n v="71.8"/>
    <n v="90.090090090090087"/>
    <n v="90.8"/>
    <n v="74.917491749174914"/>
    <n v="59.4"/>
    <n v="83.8"/>
    <n v="89.3"/>
    <n v="87.2"/>
    <x v="0"/>
  </r>
  <r>
    <x v="129"/>
    <x v="129"/>
    <x v="13"/>
    <x v="1"/>
    <n v="7"/>
    <n v="172"/>
    <n v="533"/>
    <n v="304"/>
    <n v="114"/>
    <n v="80"/>
    <n v="99"/>
    <n v="59"/>
    <n v="80.400000000000006"/>
    <n v="52.243497900000001"/>
    <n v="5.6343227000000002"/>
    <n v="92.100000000000009"/>
    <n v="74.324324324324323"/>
    <n v="46.800000000000004"/>
    <n v="0"/>
    <n v="88.7"/>
    <n v="90.2"/>
    <n v="94.199999999999989"/>
    <n v="87.1"/>
    <x v="0"/>
  </r>
  <r>
    <x v="130"/>
    <x v="130"/>
    <x v="1"/>
    <x v="1"/>
    <n v="10"/>
    <n v="338"/>
    <n v="483"/>
    <n v="95"/>
    <n v="212"/>
    <n v="182"/>
    <n v="148"/>
    <n v="121"/>
    <n v="80.3"/>
    <n v="54.702354499999998"/>
    <n v="-3.2765753000000002"/>
    <n v="81.899999999999991"/>
    <n v="49.3993993993994"/>
    <n v="51.800000000000004"/>
    <n v="68.976897689768975"/>
    <n v="78.900000000000006"/>
    <n v="85.3"/>
    <n v="88"/>
    <n v="87"/>
    <x v="0"/>
  </r>
  <r>
    <x v="131"/>
    <x v="131"/>
    <x v="8"/>
    <x v="1"/>
    <n v="8"/>
    <n v="94"/>
    <n v="1001"/>
    <n v="122"/>
    <n v="152"/>
    <n v="141"/>
    <n v="118"/>
    <n v="240"/>
    <n v="80.3"/>
    <n v="40.420347900000003"/>
    <n v="-79.116698299999996"/>
    <n v="86"/>
    <n v="86.036036036036037"/>
    <n v="0"/>
    <n v="60.066006600660074"/>
    <n v="84.899999999999991"/>
    <n v="88.3"/>
    <n v="76.099999999999994"/>
    <n v="86.9"/>
    <x v="0"/>
  </r>
  <r>
    <x v="132"/>
    <x v="132"/>
    <x v="0"/>
    <x v="0"/>
    <n v="58"/>
    <n v="667"/>
    <n v="1001"/>
    <n v="94"/>
    <n v="234"/>
    <n v="167"/>
    <n v="134"/>
    <n v="139"/>
    <n v="80.3"/>
    <n v="39.783730400000003"/>
    <n v="-100.445882"/>
    <n v="83.399999999999991"/>
    <n v="20"/>
    <n v="0"/>
    <n v="69.306930693069305"/>
    <n v="76.7"/>
    <n v="86.7"/>
    <n v="86.2"/>
    <n v="86.8"/>
    <x v="0"/>
  </r>
  <r>
    <x v="133"/>
    <x v="133"/>
    <x v="0"/>
    <x v="0"/>
    <n v="59"/>
    <n v="292"/>
    <n v="373"/>
    <n v="212"/>
    <n v="148"/>
    <n v="120"/>
    <n v="108"/>
    <n v="151"/>
    <n v="80.2"/>
    <n v="39.783730400000003"/>
    <n v="-100.445882"/>
    <n v="88.1"/>
    <n v="56.306306306306311"/>
    <n v="62.8"/>
    <n v="30.363036303630363"/>
    <n v="85.3"/>
    <n v="89.3"/>
    <n v="85"/>
    <n v="86.7"/>
    <x v="0"/>
  </r>
  <r>
    <x v="134"/>
    <x v="134"/>
    <x v="5"/>
    <x v="1"/>
    <n v="7"/>
    <n v="113"/>
    <n v="1001"/>
    <n v="49"/>
    <n v="258"/>
    <n v="197"/>
    <n v="157"/>
    <n v="275"/>
    <n v="80.2"/>
    <n v="46.603354000000003"/>
    <n v="1.8883335000000001"/>
    <n v="80.400000000000006"/>
    <n v="83.183183183183189"/>
    <n v="0"/>
    <n v="84.158415841584159"/>
    <n v="74.3"/>
    <n v="84.399999999999991"/>
    <n v="72.599999999999994"/>
    <n v="86.6"/>
    <x v="0"/>
  </r>
  <r>
    <x v="135"/>
    <x v="135"/>
    <x v="17"/>
    <x v="2"/>
    <n v="3"/>
    <n v="619"/>
    <n v="236"/>
    <n v="304"/>
    <n v="17"/>
    <n v="52"/>
    <n v="203"/>
    <n v="167"/>
    <n v="80.2"/>
    <n v="30.047992000000001"/>
    <n v="-94.335743300000004"/>
    <n v="94.899999999999991"/>
    <n v="20"/>
    <n v="76.5"/>
    <n v="0"/>
    <n v="98.4"/>
    <n v="79.800000000000011"/>
    <n v="83.399999999999991"/>
    <n v="86.5"/>
    <x v="0"/>
  </r>
  <r>
    <x v="136"/>
    <x v="136"/>
    <x v="1"/>
    <x v="1"/>
    <n v="11"/>
    <n v="603"/>
    <n v="285"/>
    <n v="243"/>
    <n v="134"/>
    <n v="114"/>
    <n v="119"/>
    <n v="151"/>
    <n v="80.099999999999994"/>
    <n v="54.702354499999998"/>
    <n v="-3.2765753000000002"/>
    <n v="88.7"/>
    <n v="20"/>
    <n v="71.599999999999994"/>
    <n v="20.132013201320131"/>
    <n v="86.7"/>
    <n v="88.2"/>
    <n v="85"/>
    <n v="86.4"/>
    <x v="0"/>
  </r>
  <r>
    <x v="137"/>
    <x v="137"/>
    <x v="5"/>
    <x v="1"/>
    <n v="8"/>
    <n v="401"/>
    <n v="941"/>
    <n v="304"/>
    <n v="87"/>
    <n v="89"/>
    <n v="76"/>
    <n v="139"/>
    <n v="80.099999999999994"/>
    <n v="46.603354000000003"/>
    <n v="1.8883335000000001"/>
    <n v="91.2"/>
    <n v="39.93993993993994"/>
    <n v="6"/>
    <n v="0"/>
    <n v="91.4"/>
    <n v="92.5"/>
    <n v="86.2"/>
    <n v="86.3"/>
    <x v="0"/>
  </r>
  <r>
    <x v="138"/>
    <x v="138"/>
    <x v="0"/>
    <x v="0"/>
    <n v="60"/>
    <n v="282"/>
    <n v="151"/>
    <n v="157"/>
    <n v="144"/>
    <n v="117"/>
    <n v="171"/>
    <n v="222"/>
    <n v="80.099999999999994"/>
    <n v="39.783730400000003"/>
    <n v="-100.445882"/>
    <n v="88.4"/>
    <n v="57.807807807807812"/>
    <n v="85"/>
    <n v="48.514851485148512"/>
    <n v="85.7"/>
    <n v="83"/>
    <n v="77.900000000000006"/>
    <n v="86.2"/>
    <x v="0"/>
  </r>
  <r>
    <x v="139"/>
    <x v="139"/>
    <x v="2"/>
    <x v="2"/>
    <n v="6"/>
    <n v="303"/>
    <n v="71"/>
    <n v="87"/>
    <n v="195"/>
    <n v="233"/>
    <n v="218"/>
    <n v="222"/>
    <n v="80"/>
    <n v="36.5748441"/>
    <n v="139.23941790000001"/>
    <n v="76.8"/>
    <n v="54.654654654654657"/>
    <n v="93"/>
    <n v="71.617161716171623"/>
    <n v="80.600000000000009"/>
    <n v="78.3"/>
    <n v="77.900000000000006"/>
    <n v="86.1"/>
    <x v="0"/>
  </r>
  <r>
    <x v="140"/>
    <x v="140"/>
    <x v="5"/>
    <x v="1"/>
    <n v="9"/>
    <n v="565"/>
    <n v="1001"/>
    <n v="214"/>
    <n v="142"/>
    <n v="129"/>
    <n v="125"/>
    <n v="139"/>
    <n v="80"/>
    <n v="46.603354000000003"/>
    <n v="1.8883335000000001"/>
    <n v="87.2"/>
    <n v="20"/>
    <n v="0"/>
    <n v="29.702970297029701"/>
    <n v="85.9"/>
    <n v="87.6"/>
    <n v="86.2"/>
    <n v="86"/>
    <x v="0"/>
  </r>
  <r>
    <x v="141"/>
    <x v="141"/>
    <x v="0"/>
    <x v="0"/>
    <n v="61"/>
    <n v="60"/>
    <n v="259"/>
    <n v="280"/>
    <n v="183"/>
    <n v="140"/>
    <n v="109"/>
    <n v="76"/>
    <n v="80"/>
    <n v="39.783730400000003"/>
    <n v="-100.445882"/>
    <n v="86.1"/>
    <n v="91.141141141141148"/>
    <n v="74.2"/>
    <n v="7.9207920792079207"/>
    <n v="81.8"/>
    <n v="89.2"/>
    <n v="92.5"/>
    <n v="85.9"/>
    <x v="0"/>
  </r>
  <r>
    <x v="142"/>
    <x v="142"/>
    <x v="0"/>
    <x v="0"/>
    <n v="62"/>
    <n v="237"/>
    <n v="78"/>
    <n v="133"/>
    <n v="267"/>
    <n v="193"/>
    <n v="161"/>
    <n v="163"/>
    <n v="79.900000000000006"/>
    <n v="39.783730400000003"/>
    <n v="-100.445882"/>
    <n v="80.800000000000011"/>
    <n v="64.564564564564563"/>
    <n v="92.300000000000011"/>
    <n v="56.435643564356432"/>
    <n v="73.400000000000006"/>
    <n v="84"/>
    <n v="83.8"/>
    <n v="85.8"/>
    <x v="0"/>
  </r>
  <r>
    <x v="143"/>
    <x v="143"/>
    <x v="0"/>
    <x v="0"/>
    <n v="63"/>
    <n v="209"/>
    <n v="281"/>
    <n v="304"/>
    <n v="110"/>
    <n v="106"/>
    <n v="145"/>
    <n v="65"/>
    <n v="79.900000000000006"/>
    <n v="39.783730400000003"/>
    <n v="-100.445882"/>
    <n v="89.5"/>
    <n v="68.76876876876878"/>
    <n v="72"/>
    <n v="0"/>
    <n v="89.1"/>
    <n v="85.6"/>
    <n v="93.600000000000009"/>
    <n v="85.7"/>
    <x v="0"/>
  </r>
  <r>
    <x v="144"/>
    <x v="144"/>
    <x v="10"/>
    <x v="3"/>
    <n v="7"/>
    <n v="273"/>
    <n v="663"/>
    <n v="253"/>
    <n v="123"/>
    <n v="123"/>
    <n v="141"/>
    <n v="121"/>
    <n v="79.900000000000006"/>
    <n v="-24.776108600000001"/>
    <n v="134.755"/>
    <n v="87.8"/>
    <n v="59.159159159159159"/>
    <n v="33.800000000000004"/>
    <n v="16.831683168316832"/>
    <n v="87.8"/>
    <n v="86"/>
    <n v="88"/>
    <n v="85.6"/>
    <x v="0"/>
  </r>
  <r>
    <x v="145"/>
    <x v="145"/>
    <x v="4"/>
    <x v="1"/>
    <n v="7"/>
    <n v="144"/>
    <n v="791"/>
    <n v="104"/>
    <n v="286"/>
    <n v="215"/>
    <n v="120"/>
    <n v="151"/>
    <n v="79.8"/>
    <n v="46.798562400000002"/>
    <n v="8.2319735999999999"/>
    <n v="78.600000000000009"/>
    <n v="78.528528528528525"/>
    <n v="21"/>
    <n v="66.006600660065999"/>
    <n v="71.5"/>
    <n v="88.1"/>
    <n v="85"/>
    <n v="85.5"/>
    <x v="0"/>
  </r>
  <r>
    <x v="146"/>
    <x v="146"/>
    <x v="7"/>
    <x v="2"/>
    <n v="4"/>
    <n v="79"/>
    <n v="271"/>
    <n v="69"/>
    <n v="271"/>
    <n v="227"/>
    <n v="213"/>
    <n v="200"/>
    <n v="79.8"/>
    <n v="39.3181528"/>
    <n v="-79.810901400000006"/>
    <n v="77.400000000000006"/>
    <n v="88.288288288288285"/>
    <n v="73"/>
    <n v="77.557755775577547"/>
    <n v="73"/>
    <n v="78.8"/>
    <n v="80.100000000000009"/>
    <n v="85.399999999999991"/>
    <x v="0"/>
  </r>
  <r>
    <x v="147"/>
    <x v="147"/>
    <x v="12"/>
    <x v="1"/>
    <n v="2"/>
    <n v="384"/>
    <n v="691"/>
    <n v="229"/>
    <n v="117"/>
    <n v="130"/>
    <n v="184"/>
    <n v="114"/>
    <n v="79.8"/>
    <n v="42.638426099999997"/>
    <n v="12.674296999999999"/>
    <n v="87.1"/>
    <n v="42.492492492492495"/>
    <n v="31"/>
    <n v="24.752475247524753"/>
    <n v="88.4"/>
    <n v="81.699999999999989"/>
    <n v="88.7"/>
    <n v="85.3"/>
    <x v="0"/>
  </r>
  <r>
    <x v="148"/>
    <x v="148"/>
    <x v="8"/>
    <x v="1"/>
    <n v="9"/>
    <n v="220"/>
    <n v="642"/>
    <n v="107"/>
    <n v="219"/>
    <n v="205"/>
    <n v="152"/>
    <n v="222"/>
    <n v="79.7"/>
    <n v="40.420347900000003"/>
    <n v="-79.116698299999996"/>
    <n v="79.600000000000009"/>
    <n v="67.117117117117118"/>
    <n v="35.9"/>
    <n v="65.016501650165011"/>
    <n v="78.2"/>
    <n v="84.899999999999991"/>
    <n v="77.900000000000006"/>
    <n v="85.2"/>
    <x v="0"/>
  </r>
  <r>
    <x v="149"/>
    <x v="149"/>
    <x v="12"/>
    <x v="1"/>
    <n v="3"/>
    <n v="553"/>
    <n v="1001"/>
    <n v="304"/>
    <n v="96"/>
    <n v="110"/>
    <n v="144"/>
    <n v="80"/>
    <n v="79.7"/>
    <n v="42.638426099999997"/>
    <n v="12.674296999999999"/>
    <n v="89.1"/>
    <n v="20"/>
    <n v="0"/>
    <n v="0"/>
    <n v="90.5"/>
    <n v="85.7"/>
    <n v="92.100000000000009"/>
    <n v="85.1"/>
    <x v="0"/>
  </r>
  <r>
    <x v="150"/>
    <x v="150"/>
    <x v="0"/>
    <x v="0"/>
    <n v="64"/>
    <n v="667"/>
    <n v="1001"/>
    <n v="172"/>
    <n v="295"/>
    <n v="208"/>
    <n v="111"/>
    <n v="108"/>
    <n v="79.7"/>
    <n v="39.783730400000003"/>
    <n v="-100.445882"/>
    <n v="79.3"/>
    <n v="20"/>
    <n v="0"/>
    <n v="43.564356435643568"/>
    <n v="70.599999999999994"/>
    <n v="89"/>
    <n v="89.3"/>
    <n v="85"/>
    <x v="0"/>
  </r>
  <r>
    <x v="151"/>
    <x v="151"/>
    <x v="16"/>
    <x v="1"/>
    <n v="2"/>
    <n v="667"/>
    <n v="1001"/>
    <n v="153"/>
    <n v="131"/>
    <n v="135"/>
    <n v="206"/>
    <n v="187"/>
    <n v="79.599999999999994"/>
    <n v="39.326068499999998"/>
    <n v="-4.8379791000000001"/>
    <n v="86.6"/>
    <n v="20"/>
    <n v="0"/>
    <n v="49.834983498349835"/>
    <n v="87"/>
    <n v="79.5"/>
    <n v="81.399999999999991"/>
    <n v="84.899999999999991"/>
    <x v="0"/>
  </r>
  <r>
    <x v="152"/>
    <x v="152"/>
    <x v="0"/>
    <x v="0"/>
    <n v="65"/>
    <n v="667"/>
    <n v="1001"/>
    <n v="304"/>
    <n v="202"/>
    <n v="145"/>
    <n v="59"/>
    <n v="101"/>
    <n v="79.599999999999994"/>
    <n v="39.783730400000003"/>
    <n v="-100.445882"/>
    <n v="85.6"/>
    <n v="20"/>
    <n v="0"/>
    <n v="0"/>
    <n v="79.900000000000006"/>
    <n v="94.199999999999989"/>
    <n v="90"/>
    <n v="84.8"/>
    <x v="0"/>
  </r>
  <r>
    <x v="153"/>
    <x v="153"/>
    <x v="0"/>
    <x v="0"/>
    <n v="66"/>
    <n v="100"/>
    <n v="64"/>
    <n v="229"/>
    <n v="272"/>
    <n v="212"/>
    <n v="178"/>
    <n v="151"/>
    <n v="79.599999999999994"/>
    <n v="39.783730400000003"/>
    <n v="-100.445882"/>
    <n v="78.900000000000006"/>
    <n v="85.13513513513513"/>
    <n v="93.7"/>
    <n v="24.752475247524753"/>
    <n v="72.899999999999991"/>
    <n v="82.3"/>
    <n v="85"/>
    <n v="84.7"/>
    <x v="0"/>
  </r>
  <r>
    <x v="154"/>
    <x v="154"/>
    <x v="8"/>
    <x v="1"/>
    <n v="10"/>
    <n v="80"/>
    <n v="316"/>
    <n v="224"/>
    <n v="188"/>
    <n v="171"/>
    <n v="138"/>
    <n v="187"/>
    <n v="79.599999999999994"/>
    <n v="40.420347900000003"/>
    <n v="-79.116698299999996"/>
    <n v="83"/>
    <n v="88.138138138138132"/>
    <n v="68.5"/>
    <n v="26.402640264026399"/>
    <n v="81.3"/>
    <n v="86.3"/>
    <n v="81.399999999999991"/>
    <n v="84.6"/>
    <x v="0"/>
  </r>
  <r>
    <x v="155"/>
    <x v="155"/>
    <x v="9"/>
    <x v="1"/>
    <n v="4"/>
    <n v="266"/>
    <n v="45"/>
    <n v="126"/>
    <n v="242"/>
    <n v="232"/>
    <n v="322"/>
    <n v="222"/>
    <n v="79.5"/>
    <n v="44.133434999999999"/>
    <n v="-70.822677999999996"/>
    <n v="76.900000000000006"/>
    <n v="60.210210210210214"/>
    <n v="95.6"/>
    <n v="58.745874587458744"/>
    <n v="75.900000000000006"/>
    <n v="67.900000000000006"/>
    <n v="77.900000000000006"/>
    <n v="84.5"/>
    <x v="0"/>
  </r>
  <r>
    <x v="156"/>
    <x v="156"/>
    <x v="17"/>
    <x v="2"/>
    <n v="4"/>
    <n v="667"/>
    <n v="568"/>
    <n v="304"/>
    <n v="15"/>
    <n v="49"/>
    <n v="244"/>
    <n v="304"/>
    <n v="79.5"/>
    <n v="30.047992000000001"/>
    <n v="-94.335743300000004"/>
    <n v="95.199999999999989"/>
    <n v="20"/>
    <n v="43.3"/>
    <n v="0"/>
    <n v="98.6"/>
    <n v="75.7"/>
    <n v="69.699999999999989"/>
    <n v="84.399999999999991"/>
    <x v="0"/>
  </r>
  <r>
    <x v="157"/>
    <x v="157"/>
    <x v="1"/>
    <x v="1"/>
    <n v="12"/>
    <n v="284"/>
    <n v="264"/>
    <n v="304"/>
    <n v="165"/>
    <n v="128"/>
    <n v="103"/>
    <n v="114"/>
    <n v="79.5"/>
    <n v="54.702354499999998"/>
    <n v="-3.2765753000000002"/>
    <n v="87.3"/>
    <n v="57.507507507507505"/>
    <n v="73.7"/>
    <n v="0"/>
    <n v="83.6"/>
    <n v="89.8"/>
    <n v="88.7"/>
    <n v="84.3"/>
    <x v="0"/>
  </r>
  <r>
    <x v="158"/>
    <x v="158"/>
    <x v="9"/>
    <x v="1"/>
    <n v="5"/>
    <n v="243"/>
    <n v="276"/>
    <n v="263"/>
    <n v="247"/>
    <n v="200"/>
    <n v="110"/>
    <n v="93"/>
    <n v="79.400000000000006"/>
    <n v="44.133434999999999"/>
    <n v="-70.822677999999996"/>
    <n v="80.100000000000009"/>
    <n v="63.663663663663662"/>
    <n v="72.5"/>
    <n v="13.531353135313532"/>
    <n v="75.400000000000006"/>
    <n v="89.1"/>
    <n v="90.8"/>
    <n v="84.2"/>
    <x v="0"/>
  </r>
  <r>
    <x v="159"/>
    <x v="159"/>
    <x v="0"/>
    <x v="0"/>
    <n v="67"/>
    <n v="397"/>
    <n v="30"/>
    <n v="103"/>
    <n v="379"/>
    <n v="274"/>
    <n v="286"/>
    <n v="327"/>
    <n v="79.400000000000006"/>
    <n v="39.783730400000003"/>
    <n v="-100.445882"/>
    <n v="72.7"/>
    <n v="40.54054054054054"/>
    <n v="97.1"/>
    <n v="66.336633663366342"/>
    <n v="62.2"/>
    <n v="71.5"/>
    <n v="67.400000000000006"/>
    <n v="84.1"/>
    <x v="0"/>
  </r>
  <r>
    <x v="160"/>
    <x v="160"/>
    <x v="20"/>
    <x v="1"/>
    <n v="3"/>
    <n v="355"/>
    <n v="524"/>
    <n v="116"/>
    <n v="254"/>
    <n v="217"/>
    <n v="254"/>
    <n v="85"/>
    <n v="79.400000000000006"/>
    <n v="50.6402809"/>
    <n v="4.6667145000000003"/>
    <n v="78.400000000000006"/>
    <n v="46.846846846846844"/>
    <n v="47.699999999999996"/>
    <n v="62.046204620462042"/>
    <n v="74.7"/>
    <n v="74.7"/>
    <n v="91.600000000000009"/>
    <n v="84"/>
    <x v="0"/>
  </r>
  <r>
    <x v="161"/>
    <x v="161"/>
    <x v="1"/>
    <x v="1"/>
    <n v="13"/>
    <n v="330"/>
    <n v="440"/>
    <n v="281"/>
    <n v="154"/>
    <n v="147"/>
    <n v="160"/>
    <n v="93"/>
    <n v="79.400000000000006"/>
    <n v="54.702354499999998"/>
    <n v="-3.2765753000000002"/>
    <n v="85.399999999999991"/>
    <n v="50.6006006006006"/>
    <n v="56.100000000000009"/>
    <n v="7.5907590759075907"/>
    <n v="84.7"/>
    <n v="84.1"/>
    <n v="90.8"/>
    <n v="83.899999999999991"/>
    <x v="0"/>
  </r>
  <r>
    <x v="162"/>
    <x v="162"/>
    <x v="1"/>
    <x v="1"/>
    <n v="14"/>
    <n v="221"/>
    <n v="239"/>
    <n v="164"/>
    <n v="233"/>
    <n v="184"/>
    <n v="204"/>
    <n v="151"/>
    <n v="79.3"/>
    <n v="54.702354499999998"/>
    <n v="-3.2765753000000002"/>
    <n v="81.699999999999989"/>
    <n v="66.966966966966964"/>
    <n v="76.2"/>
    <n v="46.204620462046201"/>
    <n v="76.8"/>
    <n v="79.7"/>
    <n v="85"/>
    <n v="83.8"/>
    <x v="0"/>
  </r>
  <r>
    <x v="163"/>
    <x v="163"/>
    <x v="1"/>
    <x v="1"/>
    <n v="15"/>
    <n v="104"/>
    <n v="291"/>
    <n v="304"/>
    <n v="150"/>
    <n v="137"/>
    <n v="127"/>
    <n v="139"/>
    <n v="79.3"/>
    <n v="54.702354499999998"/>
    <n v="-3.2765753000000002"/>
    <n v="86.4"/>
    <n v="84.534534534534529"/>
    <n v="71"/>
    <n v="0"/>
    <n v="85.1"/>
    <n v="87.4"/>
    <n v="86.2"/>
    <n v="83.7"/>
    <x v="0"/>
  </r>
  <r>
    <x v="164"/>
    <x v="164"/>
    <x v="8"/>
    <x v="1"/>
    <n v="11"/>
    <n v="217"/>
    <n v="209"/>
    <n v="286"/>
    <n v="187"/>
    <n v="160"/>
    <n v="128"/>
    <n v="129"/>
    <n v="79.3"/>
    <n v="40.420347900000003"/>
    <n v="-79.116698299999996"/>
    <n v="84.1"/>
    <n v="67.567567567567565"/>
    <n v="79.2"/>
    <n v="5.9405940594059405"/>
    <n v="81.399999999999991"/>
    <n v="87.3"/>
    <n v="87.2"/>
    <n v="83.6"/>
    <x v="0"/>
  </r>
  <r>
    <x v="165"/>
    <x v="165"/>
    <x v="9"/>
    <x v="1"/>
    <n v="6"/>
    <n v="501"/>
    <n v="427"/>
    <n v="141"/>
    <n v="208"/>
    <n v="189"/>
    <n v="175"/>
    <n v="187"/>
    <n v="79.2"/>
    <n v="44.133434999999999"/>
    <n v="-70.822677999999996"/>
    <n v="81.2"/>
    <n v="24.924924924924923"/>
    <n v="57.4"/>
    <n v="53.795379537953792"/>
    <n v="79.3"/>
    <n v="82.6"/>
    <n v="81.399999999999991"/>
    <n v="83.5"/>
    <x v="0"/>
  </r>
  <r>
    <x v="166"/>
    <x v="166"/>
    <x v="0"/>
    <x v="0"/>
    <n v="68"/>
    <n v="121"/>
    <n v="416"/>
    <n v="153"/>
    <n v="170"/>
    <n v="168"/>
    <n v="235"/>
    <n v="200"/>
    <n v="79.2"/>
    <n v="39.783730400000003"/>
    <n v="-100.445882"/>
    <n v="83.3"/>
    <n v="81.981981981981974"/>
    <n v="58.5"/>
    <n v="49.834983498349835"/>
    <n v="83.1"/>
    <n v="76.599999999999994"/>
    <n v="80.100000000000009"/>
    <n v="83.399999999999991"/>
    <x v="0"/>
  </r>
  <r>
    <x v="167"/>
    <x v="167"/>
    <x v="13"/>
    <x v="1"/>
    <n v="8"/>
    <n v="534"/>
    <n v="962"/>
    <n v="223"/>
    <n v="207"/>
    <n v="175"/>
    <n v="170"/>
    <n v="129"/>
    <n v="79.2"/>
    <n v="52.243497900000001"/>
    <n v="5.6343227000000002"/>
    <n v="82.6"/>
    <n v="20"/>
    <n v="3.9"/>
    <n v="26.732673267326735"/>
    <n v="79.400000000000006"/>
    <n v="83.1"/>
    <n v="87.2"/>
    <n v="83.3"/>
    <x v="0"/>
  </r>
  <r>
    <x v="168"/>
    <x v="168"/>
    <x v="1"/>
    <x v="1"/>
    <n v="16"/>
    <n v="164"/>
    <n v="355"/>
    <n v="292"/>
    <n v="129"/>
    <n v="119"/>
    <n v="142"/>
    <n v="187"/>
    <n v="79.2"/>
    <n v="54.702354499999998"/>
    <n v="-3.2765753000000002"/>
    <n v="88.2"/>
    <n v="75.525525525525524"/>
    <n v="64.600000000000009"/>
    <n v="3.9603960396039604"/>
    <n v="87.2"/>
    <n v="85.9"/>
    <n v="81.399999999999991"/>
    <n v="83.2"/>
    <x v="0"/>
  </r>
  <r>
    <x v="169"/>
    <x v="169"/>
    <x v="17"/>
    <x v="2"/>
    <n v="5"/>
    <n v="667"/>
    <n v="210"/>
    <n v="304"/>
    <n v="54"/>
    <n v="94"/>
    <n v="188"/>
    <n v="275"/>
    <n v="79.099999999999994"/>
    <n v="30.047992000000001"/>
    <n v="-94.335743300000004"/>
    <n v="90.7"/>
    <n v="20"/>
    <n v="79.100000000000009"/>
    <n v="0"/>
    <n v="94.699999999999989"/>
    <n v="81.3"/>
    <n v="72.599999999999994"/>
    <n v="83.1"/>
    <x v="0"/>
  </r>
  <r>
    <x v="170"/>
    <x v="170"/>
    <x v="23"/>
    <x v="2"/>
    <n v="1"/>
    <n v="432"/>
    <n v="165"/>
    <n v="304"/>
    <n v="136"/>
    <n v="132"/>
    <n v="183"/>
    <n v="114"/>
    <n v="79.099999999999994"/>
    <n v="22.350626999999999"/>
    <n v="114.1849161"/>
    <n v="86.9"/>
    <n v="35.285285285285283"/>
    <n v="83.6"/>
    <n v="0"/>
    <n v="86.5"/>
    <n v="81.8"/>
    <n v="88.7"/>
    <n v="83"/>
    <x v="0"/>
  </r>
  <r>
    <x v="171"/>
    <x v="171"/>
    <x v="24"/>
    <x v="1"/>
    <n v="1"/>
    <n v="443"/>
    <n v="489"/>
    <n v="138"/>
    <n v="249"/>
    <n v="247"/>
    <n v="159"/>
    <n v="174"/>
    <n v="79.099999999999994"/>
    <n v="47.593969999999999"/>
    <n v="14.124560000000001"/>
    <n v="75.400000000000006"/>
    <n v="33.633633633633636"/>
    <n v="51.2"/>
    <n v="54.78547854785478"/>
    <n v="75.2"/>
    <n v="84.2"/>
    <n v="82.699999999999989"/>
    <n v="82.899999999999991"/>
    <x v="0"/>
  </r>
  <r>
    <x v="172"/>
    <x v="172"/>
    <x v="19"/>
    <x v="2"/>
    <n v="2"/>
    <n v="667"/>
    <n v="1001"/>
    <n v="304"/>
    <n v="93"/>
    <n v="85"/>
    <n v="243"/>
    <n v="121"/>
    <n v="79.099999999999994"/>
    <n v="1.3571070000000001"/>
    <n v="103.8194992"/>
    <n v="91.600000000000009"/>
    <n v="20"/>
    <n v="0"/>
    <n v="0"/>
    <n v="90.8"/>
    <n v="75.8"/>
    <n v="88"/>
    <n v="82.8"/>
    <x v="0"/>
  </r>
  <r>
    <x v="173"/>
    <x v="173"/>
    <x v="2"/>
    <x v="2"/>
    <n v="7"/>
    <n v="415"/>
    <n v="305"/>
    <n v="177"/>
    <n v="137"/>
    <n v="173"/>
    <n v="209"/>
    <n v="304"/>
    <n v="79"/>
    <n v="36.5748441"/>
    <n v="139.23941790000001"/>
    <n v="82.8"/>
    <n v="37.837837837837839"/>
    <n v="69.599999999999994"/>
    <n v="41.914191419141915"/>
    <n v="86.4"/>
    <n v="79.2"/>
    <n v="69.699999999999989"/>
    <n v="82.699999999999989"/>
    <x v="0"/>
  </r>
  <r>
    <x v="174"/>
    <x v="174"/>
    <x v="2"/>
    <x v="2"/>
    <n v="8"/>
    <n v="549"/>
    <n v="12"/>
    <n v="304"/>
    <n v="303"/>
    <n v="324"/>
    <n v="273"/>
    <n v="363"/>
    <n v="79"/>
    <n v="36.5748441"/>
    <n v="139.23941790000001"/>
    <n v="67.7"/>
    <n v="20"/>
    <n v="98.9"/>
    <n v="0"/>
    <n v="69.8"/>
    <n v="72.8"/>
    <n v="63.800000000000004"/>
    <n v="82.6"/>
    <x v="0"/>
  </r>
  <r>
    <x v="175"/>
    <x v="175"/>
    <x v="20"/>
    <x v="1"/>
    <n v="4"/>
    <n v="358"/>
    <n v="258"/>
    <n v="81"/>
    <n v="290"/>
    <n v="264"/>
    <n v="228"/>
    <n v="200"/>
    <n v="79"/>
    <n v="50.6402809"/>
    <n v="4.6667145000000003"/>
    <n v="73.7"/>
    <n v="46.396396396396398"/>
    <n v="74.3"/>
    <n v="73.597359735973598"/>
    <n v="71.099999999999994"/>
    <n v="77.3"/>
    <n v="80.100000000000009"/>
    <n v="82.5"/>
    <x v="0"/>
  </r>
  <r>
    <x v="176"/>
    <x v="176"/>
    <x v="0"/>
    <x v="0"/>
    <n v="69"/>
    <n v="563"/>
    <n v="245"/>
    <n v="134"/>
    <n v="203"/>
    <n v="195"/>
    <n v="214"/>
    <n v="222"/>
    <n v="78.900000000000006"/>
    <n v="39.783730400000003"/>
    <n v="-100.445882"/>
    <n v="80.600000000000009"/>
    <n v="20"/>
    <n v="75.599999999999994"/>
    <n v="56.10561056105611"/>
    <n v="79.800000000000011"/>
    <n v="78.7"/>
    <n v="77.900000000000006"/>
    <n v="82.399999999999991"/>
    <x v="0"/>
  </r>
  <r>
    <x v="177"/>
    <x v="177"/>
    <x v="23"/>
    <x v="2"/>
    <n v="2"/>
    <n v="247"/>
    <n v="1001"/>
    <n v="141"/>
    <n v="180"/>
    <n v="156"/>
    <n v="304"/>
    <n v="174"/>
    <n v="78.900000000000006"/>
    <n v="22.350626999999999"/>
    <n v="114.1849161"/>
    <n v="84.5"/>
    <n v="63.063063063063062"/>
    <n v="0"/>
    <n v="53.795379537953792"/>
    <n v="82.1"/>
    <n v="69.699999999999989"/>
    <n v="82.699999999999989"/>
    <n v="82.3"/>
    <x v="0"/>
  </r>
  <r>
    <x v="178"/>
    <x v="178"/>
    <x v="1"/>
    <x v="1"/>
    <n v="17"/>
    <n v="382"/>
    <n v="436"/>
    <n v="294"/>
    <n v="189"/>
    <n v="155"/>
    <n v="135"/>
    <n v="139"/>
    <n v="78.900000000000006"/>
    <n v="54.702354499999998"/>
    <n v="-3.2765753000000002"/>
    <n v="84.6"/>
    <n v="42.792792792792795"/>
    <n v="56.499999999999993"/>
    <n v="3.3003300330032999"/>
    <n v="81.2"/>
    <n v="86.6"/>
    <n v="86.2"/>
    <n v="82.199999999999989"/>
    <x v="0"/>
  </r>
  <r>
    <x v="179"/>
    <x v="179"/>
    <x v="0"/>
    <x v="0"/>
    <n v="70"/>
    <n v="204"/>
    <n v="337"/>
    <n v="216"/>
    <n v="193"/>
    <n v="190"/>
    <n v="165"/>
    <n v="275"/>
    <n v="78.900000000000006"/>
    <n v="39.783730400000003"/>
    <n v="-100.445882"/>
    <n v="81.100000000000009"/>
    <n v="69.51951951951952"/>
    <n v="66.400000000000006"/>
    <n v="29.042904290429046"/>
    <n v="80.800000000000011"/>
    <n v="83.6"/>
    <n v="72.599999999999994"/>
    <n v="82.1"/>
    <x v="0"/>
  </r>
  <r>
    <x v="180"/>
    <x v="180"/>
    <x v="5"/>
    <x v="1"/>
    <n v="10"/>
    <n v="482"/>
    <n v="916"/>
    <n v="304"/>
    <n v="173"/>
    <n v="134"/>
    <n v="114"/>
    <n v="187"/>
    <n v="78.8"/>
    <n v="46.603354000000003"/>
    <n v="1.8883335000000001"/>
    <n v="86.7"/>
    <n v="27.777777777777779"/>
    <n v="8.5"/>
    <n v="0"/>
    <n v="82.8"/>
    <n v="88.7"/>
    <n v="81.399999999999991"/>
    <n v="82"/>
    <x v="0"/>
  </r>
  <r>
    <x v="181"/>
    <x v="181"/>
    <x v="0"/>
    <x v="0"/>
    <n v="71"/>
    <n v="667"/>
    <n v="1001"/>
    <n v="91"/>
    <n v="505"/>
    <n v="326"/>
    <n v="92"/>
    <n v="200"/>
    <n v="78.8"/>
    <n v="39.783730400000003"/>
    <n v="-100.445882"/>
    <n v="67.5"/>
    <n v="20"/>
    <n v="0"/>
    <n v="70.297029702970292"/>
    <n v="49.6"/>
    <n v="90.9"/>
    <n v="80.100000000000009"/>
    <n v="81.899999999999991"/>
    <x v="0"/>
  </r>
  <r>
    <x v="182"/>
    <x v="182"/>
    <x v="11"/>
    <x v="2"/>
    <n v="2"/>
    <n v="667"/>
    <n v="1001"/>
    <n v="304"/>
    <n v="41"/>
    <n v="92"/>
    <n v="270"/>
    <n v="254"/>
    <n v="78.8"/>
    <n v="36.638392000000003"/>
    <n v="127.69611879999999"/>
    <n v="90.9"/>
    <n v="20"/>
    <n v="0"/>
    <n v="0"/>
    <n v="96"/>
    <n v="73.099999999999994"/>
    <n v="74.7"/>
    <n v="81.8"/>
    <x v="0"/>
  </r>
  <r>
    <x v="183"/>
    <x v="183"/>
    <x v="0"/>
    <x v="0"/>
    <n v="72"/>
    <n v="297"/>
    <n v="253"/>
    <n v="198"/>
    <n v="289"/>
    <n v="226"/>
    <n v="212"/>
    <n v="121"/>
    <n v="78.8"/>
    <n v="39.783730400000003"/>
    <n v="-100.445882"/>
    <n v="77.5"/>
    <n v="55.555555555555557"/>
    <n v="74.8"/>
    <n v="34.983498349834989"/>
    <n v="71.2"/>
    <n v="78.900000000000006"/>
    <n v="88"/>
    <n v="81.699999999999989"/>
    <x v="0"/>
  </r>
  <r>
    <x v="184"/>
    <x v="184"/>
    <x v="12"/>
    <x v="1"/>
    <n v="4"/>
    <n v="458"/>
    <n v="765"/>
    <n v="112"/>
    <n v="213"/>
    <n v="231"/>
    <n v="305"/>
    <n v="200"/>
    <n v="78.7"/>
    <n v="42.638426099999997"/>
    <n v="12.674296999999999"/>
    <n v="77"/>
    <n v="31.381381381381381"/>
    <n v="23.599999999999998"/>
    <n v="63.366336633663366"/>
    <n v="78.8"/>
    <n v="69.599999999999994"/>
    <n v="80.100000000000009"/>
    <n v="81.599999999999994"/>
    <x v="0"/>
  </r>
  <r>
    <x v="185"/>
    <x v="185"/>
    <x v="8"/>
    <x v="1"/>
    <n v="12"/>
    <n v="224"/>
    <n v="782"/>
    <n v="222"/>
    <n v="214"/>
    <n v="172"/>
    <n v="182"/>
    <n v="200"/>
    <n v="78.7"/>
    <n v="40.420347900000003"/>
    <n v="-79.116698299999996"/>
    <n v="82.899999999999991"/>
    <n v="66.516516516516518"/>
    <n v="21.9"/>
    <n v="27.062706270627064"/>
    <n v="78.7"/>
    <n v="81.899999999999991"/>
    <n v="80.100000000000009"/>
    <n v="81.5"/>
    <x v="0"/>
  </r>
  <r>
    <x v="186"/>
    <x v="186"/>
    <x v="1"/>
    <x v="1"/>
    <n v="18"/>
    <n v="241"/>
    <n v="907"/>
    <n v="198"/>
    <n v="276"/>
    <n v="223"/>
    <n v="156"/>
    <n v="200"/>
    <n v="78.7"/>
    <n v="54.702354499999998"/>
    <n v="-3.2765753000000002"/>
    <n v="77.8"/>
    <n v="63.963963963963963"/>
    <n v="9.4"/>
    <n v="34.983498349834989"/>
    <n v="72.5"/>
    <n v="84.5"/>
    <n v="80.100000000000009"/>
    <n v="81.399999999999991"/>
    <x v="0"/>
  </r>
  <r>
    <x v="187"/>
    <x v="187"/>
    <x v="1"/>
    <x v="1"/>
    <n v="19"/>
    <n v="667"/>
    <n v="498"/>
    <n v="261"/>
    <n v="236"/>
    <n v="188"/>
    <n v="140"/>
    <n v="174"/>
    <n v="78.7"/>
    <n v="54.702354499999998"/>
    <n v="-3.2765753000000002"/>
    <n v="81.3"/>
    <n v="20"/>
    <n v="50.3"/>
    <n v="14.19141914191419"/>
    <n v="76.5"/>
    <n v="86.1"/>
    <n v="82.699999999999989"/>
    <n v="81.3"/>
    <x v="0"/>
  </r>
  <r>
    <x v="188"/>
    <x v="188"/>
    <x v="17"/>
    <x v="2"/>
    <n v="6"/>
    <n v="667"/>
    <n v="1001"/>
    <n v="304"/>
    <n v="14"/>
    <n v="37"/>
    <n v="220"/>
    <n v="898"/>
    <n v="78.599999999999994"/>
    <n v="30.047992000000001"/>
    <n v="-94.335743300000004"/>
    <n v="96.399999999999991"/>
    <n v="20"/>
    <n v="0"/>
    <n v="0"/>
    <n v="98.7"/>
    <n v="78.100000000000009"/>
    <n v="10.299999999999999"/>
    <n v="81.2"/>
    <x v="0"/>
  </r>
  <r>
    <x v="189"/>
    <x v="189"/>
    <x v="0"/>
    <x v="0"/>
    <n v="73"/>
    <n v="490"/>
    <n v="190"/>
    <n v="115"/>
    <n v="265"/>
    <n v="244"/>
    <n v="261"/>
    <n v="222"/>
    <n v="78.599999999999994"/>
    <n v="39.783730400000003"/>
    <n v="-100.445882"/>
    <n v="75.7"/>
    <n v="26.576576576576578"/>
    <n v="81.100000000000009"/>
    <n v="62.376237623762378"/>
    <n v="73.599999999999994"/>
    <n v="74"/>
    <n v="77.900000000000006"/>
    <n v="81.100000000000009"/>
    <x v="0"/>
  </r>
  <r>
    <x v="190"/>
    <x v="190"/>
    <x v="0"/>
    <x v="0"/>
    <n v="74"/>
    <n v="667"/>
    <n v="1001"/>
    <n v="304"/>
    <n v="198"/>
    <n v="152"/>
    <n v="126"/>
    <n v="139"/>
    <n v="78.599999999999994"/>
    <n v="39.783730400000003"/>
    <n v="-100.445882"/>
    <n v="84.899999999999991"/>
    <n v="20"/>
    <n v="0"/>
    <n v="0"/>
    <n v="80.300000000000011"/>
    <n v="87.5"/>
    <n v="86.2"/>
    <n v="81"/>
    <x v="0"/>
  </r>
  <r>
    <x v="191"/>
    <x v="191"/>
    <x v="1"/>
    <x v="1"/>
    <n v="20"/>
    <n v="141"/>
    <n v="327"/>
    <n v="89"/>
    <n v="327"/>
    <n v="255"/>
    <n v="236"/>
    <n v="240"/>
    <n v="78.599999999999994"/>
    <n v="54.702354499999998"/>
    <n v="-3.2765753000000002"/>
    <n v="74.599999999999994"/>
    <n v="78.978978978978972"/>
    <n v="67.400000000000006"/>
    <n v="70.957095709570964"/>
    <n v="67.400000000000006"/>
    <n v="76.5"/>
    <n v="76.099999999999994"/>
    <n v="80.900000000000006"/>
    <x v="0"/>
  </r>
  <r>
    <x v="192"/>
    <x v="192"/>
    <x v="0"/>
    <x v="0"/>
    <n v="75"/>
    <n v="573"/>
    <n v="417"/>
    <n v="141"/>
    <n v="210"/>
    <n v="191"/>
    <n v="211"/>
    <n v="254"/>
    <n v="78.5"/>
    <n v="39.783730400000003"/>
    <n v="-100.445882"/>
    <n v="81"/>
    <n v="20"/>
    <n v="58.4"/>
    <n v="53.795379537953792"/>
    <n v="79.100000000000009"/>
    <n v="79"/>
    <n v="74.7"/>
    <n v="80.800000000000011"/>
    <x v="0"/>
  </r>
  <r>
    <x v="193"/>
    <x v="193"/>
    <x v="0"/>
    <x v="0"/>
    <n v="76"/>
    <n v="667"/>
    <n v="1001"/>
    <n v="194"/>
    <n v="298"/>
    <n v="238"/>
    <n v="143"/>
    <n v="187"/>
    <n v="78.5"/>
    <n v="39.783730400000003"/>
    <n v="-100.445882"/>
    <n v="76.3"/>
    <n v="20"/>
    <n v="0"/>
    <n v="36.303630363036305"/>
    <n v="70.3"/>
    <n v="85.8"/>
    <n v="81.399999999999991"/>
    <n v="80.7"/>
    <x v="0"/>
  </r>
  <r>
    <x v="194"/>
    <x v="194"/>
    <x v="0"/>
    <x v="0"/>
    <n v="77"/>
    <n v="336"/>
    <n v="1001"/>
    <n v="266"/>
    <n v="305"/>
    <n v="222"/>
    <n v="97"/>
    <n v="151"/>
    <n v="78.5"/>
    <n v="39.783730400000003"/>
    <n v="-100.445882"/>
    <n v="77.900000000000006"/>
    <n v="49.6996996996997"/>
    <n v="0"/>
    <n v="12.541254125412541"/>
    <n v="69.599999999999994"/>
    <n v="90.4"/>
    <n v="85"/>
    <n v="80.600000000000009"/>
    <x v="0"/>
  </r>
  <r>
    <x v="195"/>
    <x v="195"/>
    <x v="3"/>
    <x v="0"/>
    <n v="7"/>
    <n v="667"/>
    <n v="213"/>
    <n v="304"/>
    <n v="141"/>
    <n v="142"/>
    <n v="153"/>
    <n v="240"/>
    <n v="78.5"/>
    <n v="61.066692199999999"/>
    <n v="-107.99170700000001"/>
    <n v="85.9"/>
    <n v="20"/>
    <n v="78.8"/>
    <n v="0"/>
    <n v="86"/>
    <n v="84.8"/>
    <n v="76.099999999999994"/>
    <n v="80.5"/>
    <x v="0"/>
  </r>
  <r>
    <x v="196"/>
    <x v="196"/>
    <x v="0"/>
    <x v="0"/>
    <n v="78"/>
    <n v="667"/>
    <n v="286"/>
    <n v="304"/>
    <n v="204"/>
    <n v="174"/>
    <n v="137"/>
    <n v="129"/>
    <n v="78.400000000000006"/>
    <n v="39.783730400000003"/>
    <n v="-100.445882"/>
    <n v="82.699999999999989"/>
    <n v="20"/>
    <n v="71.5"/>
    <n v="0"/>
    <n v="79.7"/>
    <n v="86.4"/>
    <n v="87.2"/>
    <n v="80.400000000000006"/>
    <x v="0"/>
  </r>
  <r>
    <x v="197"/>
    <x v="197"/>
    <x v="3"/>
    <x v="0"/>
    <n v="8"/>
    <n v="454"/>
    <n v="105"/>
    <n v="304"/>
    <n v="164"/>
    <n v="164"/>
    <n v="202"/>
    <n v="167"/>
    <n v="78.400000000000006"/>
    <n v="61.066692199999999"/>
    <n v="-107.99170700000001"/>
    <n v="83.7"/>
    <n v="31.981981981981981"/>
    <n v="89.600000000000009"/>
    <n v="0"/>
    <n v="83.7"/>
    <n v="79.900000000000006"/>
    <n v="83.399999999999991"/>
    <n v="80.300000000000011"/>
    <x v="0"/>
  </r>
  <r>
    <x v="198"/>
    <x v="198"/>
    <x v="5"/>
    <x v="1"/>
    <n v="11"/>
    <n v="667"/>
    <n v="1001"/>
    <n v="304"/>
    <n v="185"/>
    <n v="161"/>
    <n v="116"/>
    <n v="174"/>
    <n v="78.400000000000006"/>
    <n v="46.603354000000003"/>
    <n v="1.8883335000000001"/>
    <n v="84"/>
    <n v="20"/>
    <n v="0"/>
    <n v="0"/>
    <n v="81.599999999999994"/>
    <n v="88.5"/>
    <n v="82.699999999999989"/>
    <n v="80.2"/>
    <x v="0"/>
  </r>
  <r>
    <x v="199"/>
    <x v="199"/>
    <x v="17"/>
    <x v="2"/>
    <n v="7"/>
    <n v="479"/>
    <n v="563"/>
    <n v="304"/>
    <n v="78"/>
    <n v="109"/>
    <n v="317"/>
    <n v="163"/>
    <n v="78.400000000000006"/>
    <n v="30.047992000000001"/>
    <n v="-94.335743300000004"/>
    <n v="89.2"/>
    <n v="28.228228228228229"/>
    <n v="43.8"/>
    <n v="0"/>
    <n v="92.300000000000011"/>
    <n v="68.400000000000006"/>
    <n v="83.8"/>
    <n v="80.100000000000009"/>
    <x v="0"/>
  </r>
  <r>
    <x v="200"/>
    <x v="200"/>
    <x v="12"/>
    <x v="1"/>
    <n v="5"/>
    <n v="645"/>
    <n v="709"/>
    <n v="304"/>
    <n v="116"/>
    <n v="127"/>
    <n v="260"/>
    <n v="129"/>
    <n v="78.400000000000006"/>
    <n v="42.638426099999997"/>
    <n v="12.674296999999999"/>
    <n v="87.4"/>
    <n v="20"/>
    <n v="29.2"/>
    <n v="0"/>
    <n v="88.5"/>
    <n v="74.099999999999994"/>
    <n v="87.2"/>
    <n v="80"/>
    <x v="0"/>
  </r>
  <r>
    <x v="201"/>
    <x v="201"/>
    <x v="17"/>
    <x v="2"/>
    <n v="8"/>
    <n v="667"/>
    <n v="527"/>
    <n v="304"/>
    <n v="71"/>
    <n v="113"/>
    <n v="302"/>
    <n v="200"/>
    <n v="78.3"/>
    <n v="30.047992000000001"/>
    <n v="-94.335743300000004"/>
    <n v="88.8"/>
    <n v="20"/>
    <n v="47.4"/>
    <n v="0"/>
    <n v="93"/>
    <n v="69.899999999999991"/>
    <n v="80.100000000000009"/>
    <n v="79.900000000000006"/>
    <x v="0"/>
  </r>
  <r>
    <x v="202"/>
    <x v="202"/>
    <x v="25"/>
    <x v="1"/>
    <n v="1"/>
    <n v="494"/>
    <n v="1001"/>
    <n v="241"/>
    <n v="135"/>
    <n v="230"/>
    <n v="237"/>
    <n v="200"/>
    <n v="78.3"/>
    <n v="49.743904700000002"/>
    <n v="15.338106099999999"/>
    <n v="77.100000000000009"/>
    <n v="25.975975975975974"/>
    <n v="0"/>
    <n v="20.792079207920793"/>
    <n v="86.6"/>
    <n v="76.400000000000006"/>
    <n v="80.100000000000009"/>
    <n v="79.800000000000011"/>
    <x v="0"/>
  </r>
  <r>
    <x v="203"/>
    <x v="203"/>
    <x v="0"/>
    <x v="0"/>
    <n v="79"/>
    <n v="290"/>
    <n v="195"/>
    <n v="304"/>
    <n v="222"/>
    <n v="178"/>
    <n v="167"/>
    <n v="151"/>
    <n v="78.3"/>
    <n v="39.783730400000003"/>
    <n v="-100.445882"/>
    <n v="82.3"/>
    <n v="56.606606606606604"/>
    <n v="80.600000000000009"/>
    <n v="0"/>
    <n v="77.900000000000006"/>
    <n v="83.399999999999991"/>
    <n v="85"/>
    <n v="79.7"/>
    <x v="0"/>
  </r>
  <r>
    <x v="204"/>
    <x v="204"/>
    <x v="3"/>
    <x v="0"/>
    <n v="9"/>
    <n v="366"/>
    <n v="431"/>
    <n v="304"/>
    <n v="162"/>
    <n v="157"/>
    <n v="164"/>
    <n v="200"/>
    <n v="78.3"/>
    <n v="61.066692199999999"/>
    <n v="-107.99170700000001"/>
    <n v="84.399999999999991"/>
    <n v="45.19519519519519"/>
    <n v="56.999999999999993"/>
    <n v="0"/>
    <n v="83.899999999999991"/>
    <n v="83.7"/>
    <n v="80.100000000000009"/>
    <n v="79.600000000000009"/>
    <x v="0"/>
  </r>
  <r>
    <x v="205"/>
    <x v="205"/>
    <x v="20"/>
    <x v="1"/>
    <n v="5"/>
    <n v="159"/>
    <n v="1001"/>
    <n v="91"/>
    <n v="337"/>
    <n v="334"/>
    <n v="242"/>
    <n v="174"/>
    <n v="78.2"/>
    <n v="50.6402809"/>
    <n v="4.6667145000000003"/>
    <n v="66.7"/>
    <n v="76.276276276276278"/>
    <n v="0"/>
    <n v="70.297029702970292"/>
    <n v="66.400000000000006"/>
    <n v="75.900000000000006"/>
    <n v="82.699999999999989"/>
    <n v="79.5"/>
    <x v="0"/>
  </r>
  <r>
    <x v="206"/>
    <x v="206"/>
    <x v="8"/>
    <x v="1"/>
    <n v="13"/>
    <n v="667"/>
    <n v="1001"/>
    <n v="304"/>
    <n v="172"/>
    <n v="178"/>
    <n v="176"/>
    <n v="129"/>
    <n v="78.2"/>
    <n v="40.420347900000003"/>
    <n v="-79.116698299999996"/>
    <n v="82.3"/>
    <n v="20"/>
    <n v="0"/>
    <n v="0"/>
    <n v="82.899999999999991"/>
    <n v="82.5"/>
    <n v="87.2"/>
    <n v="79.400000000000006"/>
    <x v="0"/>
  </r>
  <r>
    <x v="207"/>
    <x v="207"/>
    <x v="12"/>
    <x v="1"/>
    <n v="6"/>
    <n v="597"/>
    <n v="1001"/>
    <n v="202"/>
    <n v="199"/>
    <n v="210"/>
    <n v="263"/>
    <n v="200"/>
    <n v="78.2"/>
    <n v="42.638426099999997"/>
    <n v="12.674296999999999"/>
    <n v="79.100000000000009"/>
    <n v="20"/>
    <n v="0"/>
    <n v="33.663366336633665"/>
    <n v="80.2"/>
    <n v="73.8"/>
    <n v="80.100000000000009"/>
    <n v="79.3"/>
    <x v="0"/>
  </r>
  <r>
    <x v="208"/>
    <x v="208"/>
    <x v="17"/>
    <x v="2"/>
    <n v="9"/>
    <n v="667"/>
    <n v="347"/>
    <n v="304"/>
    <n v="102"/>
    <n v="112"/>
    <n v="248"/>
    <n v="254"/>
    <n v="78.2"/>
    <n v="30.047992000000001"/>
    <n v="-94.335743300000004"/>
    <n v="88.9"/>
    <n v="20"/>
    <n v="65.400000000000006"/>
    <n v="0"/>
    <n v="89.9"/>
    <n v="75.3"/>
    <n v="74.7"/>
    <n v="79.2"/>
    <x v="0"/>
  </r>
  <r>
    <x v="209"/>
    <x v="209"/>
    <x v="0"/>
    <x v="0"/>
    <n v="80"/>
    <n v="667"/>
    <n v="1001"/>
    <n v="304"/>
    <n v="253"/>
    <n v="192"/>
    <n v="150"/>
    <n v="101"/>
    <n v="78.099999999999994"/>
    <n v="39.783730400000003"/>
    <n v="-100.445882"/>
    <n v="80.900000000000006"/>
    <n v="20"/>
    <n v="0"/>
    <n v="0"/>
    <n v="74.8"/>
    <n v="85.1"/>
    <n v="90"/>
    <n v="79.100000000000009"/>
    <x v="0"/>
  </r>
  <r>
    <x v="210"/>
    <x v="210"/>
    <x v="1"/>
    <x v="1"/>
    <n v="21"/>
    <n v="219"/>
    <n v="387"/>
    <n v="73"/>
    <n v="482"/>
    <n v="365"/>
    <n v="269"/>
    <n v="163"/>
    <n v="78.099999999999994"/>
    <n v="54.702354499999998"/>
    <n v="-3.2765753000000002"/>
    <n v="63.6"/>
    <n v="67.267267267267272"/>
    <n v="61.4"/>
    <n v="76.237623762376245"/>
    <n v="51.9"/>
    <n v="73.2"/>
    <n v="83.8"/>
    <n v="79"/>
    <x v="0"/>
  </r>
  <r>
    <x v="211"/>
    <x v="211"/>
    <x v="8"/>
    <x v="1"/>
    <n v="14"/>
    <n v="655"/>
    <n v="298"/>
    <n v="244"/>
    <n v="181"/>
    <n v="186"/>
    <n v="367"/>
    <n v="129"/>
    <n v="78.099999999999994"/>
    <n v="40.420347900000003"/>
    <n v="-79.116698299999996"/>
    <n v="81.5"/>
    <n v="20"/>
    <n v="70.3"/>
    <n v="19.801980198019802"/>
    <n v="82"/>
    <n v="63.4"/>
    <n v="87.2"/>
    <n v="78.900000000000006"/>
    <x v="0"/>
  </r>
  <r>
    <x v="212"/>
    <x v="212"/>
    <x v="8"/>
    <x v="1"/>
    <n v="15"/>
    <n v="667"/>
    <n v="287"/>
    <n v="285"/>
    <n v="221"/>
    <n v="206"/>
    <n v="147"/>
    <n v="222"/>
    <n v="78.099999999999994"/>
    <n v="40.420347900000003"/>
    <n v="-79.116698299999996"/>
    <n v="79.5"/>
    <n v="20"/>
    <n v="71.399999999999991"/>
    <n v="6.2706270627062706"/>
    <n v="78"/>
    <n v="85.399999999999991"/>
    <n v="77.900000000000006"/>
    <n v="78.8"/>
    <x v="0"/>
  </r>
  <r>
    <x v="213"/>
    <x v="213"/>
    <x v="8"/>
    <x v="1"/>
    <n v="16"/>
    <n v="244"/>
    <n v="853"/>
    <n v="213"/>
    <n v="268"/>
    <n v="220"/>
    <n v="186"/>
    <n v="240"/>
    <n v="78.099999999999994"/>
    <n v="40.420347900000003"/>
    <n v="-79.116698299999996"/>
    <n v="78.100000000000009"/>
    <n v="63.513513513513509"/>
    <n v="14.799999999999999"/>
    <n v="30.033003300330037"/>
    <n v="73.3"/>
    <n v="81.5"/>
    <n v="76.099999999999994"/>
    <n v="78.7"/>
    <x v="0"/>
  </r>
  <r>
    <x v="214"/>
    <x v="214"/>
    <x v="6"/>
    <x v="1"/>
    <n v="3"/>
    <n v="640"/>
    <n v="830"/>
    <n v="287"/>
    <n v="216"/>
    <n v="203"/>
    <n v="196"/>
    <n v="93"/>
    <n v="78"/>
    <n v="55.670248999999998"/>
    <n v="10.3333283"/>
    <n v="79.800000000000011"/>
    <n v="20"/>
    <n v="17.100000000000001"/>
    <n v="5.6105610561056105"/>
    <n v="78.5"/>
    <n v="80.5"/>
    <n v="90.8"/>
    <n v="78.600000000000009"/>
    <x v="0"/>
  </r>
  <r>
    <x v="215"/>
    <x v="215"/>
    <x v="8"/>
    <x v="1"/>
    <n v="17"/>
    <n v="346"/>
    <n v="928"/>
    <n v="304"/>
    <n v="166"/>
    <n v="166"/>
    <n v="189"/>
    <n v="151"/>
    <n v="78"/>
    <n v="40.420347900000003"/>
    <n v="-79.116698299999996"/>
    <n v="83.5"/>
    <n v="48.198198198198199"/>
    <n v="7.3"/>
    <n v="0"/>
    <n v="83.5"/>
    <n v="81.2"/>
    <n v="85"/>
    <n v="78.5"/>
    <x v="0"/>
  </r>
  <r>
    <x v="216"/>
    <x v="216"/>
    <x v="0"/>
    <x v="0"/>
    <n v="81"/>
    <n v="431"/>
    <n v="1001"/>
    <n v="304"/>
    <n v="169"/>
    <n v="149"/>
    <n v="205"/>
    <n v="151"/>
    <n v="78"/>
    <n v="39.783730400000003"/>
    <n v="-100.445882"/>
    <n v="85.2"/>
    <n v="35.435435435435437"/>
    <n v="0"/>
    <n v="0"/>
    <n v="83.2"/>
    <n v="79.600000000000009"/>
    <n v="85"/>
    <n v="78.400000000000006"/>
    <x v="0"/>
  </r>
  <r>
    <x v="217"/>
    <x v="217"/>
    <x v="11"/>
    <x v="2"/>
    <n v="3"/>
    <n v="667"/>
    <n v="237"/>
    <n v="304"/>
    <n v="119"/>
    <n v="170"/>
    <n v="295"/>
    <n v="139"/>
    <n v="78"/>
    <n v="36.638392000000003"/>
    <n v="127.69611879999999"/>
    <n v="83.1"/>
    <n v="20"/>
    <n v="76.400000000000006"/>
    <n v="0"/>
    <n v="88.2"/>
    <n v="70.599999999999994"/>
    <n v="86.2"/>
    <n v="78.3"/>
    <x v="0"/>
  </r>
  <r>
    <x v="218"/>
    <x v="218"/>
    <x v="0"/>
    <x v="0"/>
    <n v="82"/>
    <n v="548"/>
    <n v="345"/>
    <n v="304"/>
    <n v="190"/>
    <n v="201"/>
    <n v="198"/>
    <n v="108"/>
    <n v="77.900000000000006"/>
    <n v="39.783730400000003"/>
    <n v="-100.445882"/>
    <n v="80"/>
    <n v="20"/>
    <n v="65.600000000000009"/>
    <n v="0"/>
    <n v="81.100000000000009"/>
    <n v="80.300000000000011"/>
    <n v="89.3"/>
    <n v="78.2"/>
    <x v="0"/>
  </r>
  <r>
    <x v="219"/>
    <x v="219"/>
    <x v="26"/>
    <x v="1"/>
    <n v="1"/>
    <n v="622"/>
    <n v="1001"/>
    <n v="291"/>
    <n v="109"/>
    <n v="154"/>
    <n v="291"/>
    <n v="167"/>
    <n v="77.900000000000006"/>
    <n v="39.662164799999999"/>
    <n v="-8.1353518999999999"/>
    <n v="84.7"/>
    <n v="20"/>
    <n v="0"/>
    <n v="4.2904290429042904"/>
    <n v="89.2"/>
    <n v="71"/>
    <n v="83.399999999999991"/>
    <n v="78.100000000000009"/>
    <x v="0"/>
  </r>
  <r>
    <x v="220"/>
    <x v="220"/>
    <x v="5"/>
    <x v="1"/>
    <n v="12"/>
    <n v="667"/>
    <n v="1001"/>
    <n v="304"/>
    <n v="171"/>
    <n v="150"/>
    <n v="158"/>
    <n v="254"/>
    <n v="77.900000000000006"/>
    <n v="46.603354000000003"/>
    <n v="1.8883335000000001"/>
    <n v="85.1"/>
    <n v="20"/>
    <n v="0"/>
    <n v="0"/>
    <n v="83"/>
    <n v="84.3"/>
    <n v="74.7"/>
    <n v="78"/>
    <x v="0"/>
  </r>
  <r>
    <x v="221"/>
    <x v="221"/>
    <x v="11"/>
    <x v="2"/>
    <n v="4"/>
    <n v="667"/>
    <n v="116"/>
    <n v="304"/>
    <n v="76"/>
    <n v="122"/>
    <n v="308"/>
    <n v="363"/>
    <n v="77.900000000000006"/>
    <n v="36.638392000000003"/>
    <n v="127.69611879999999"/>
    <n v="87.9"/>
    <n v="20"/>
    <n v="88.5"/>
    <n v="0"/>
    <n v="92.5"/>
    <n v="69.3"/>
    <n v="63.800000000000004"/>
    <n v="77.900000000000006"/>
    <x v="0"/>
  </r>
  <r>
    <x v="222"/>
    <x v="222"/>
    <x v="27"/>
    <x v="5"/>
    <n v="1"/>
    <n v="216"/>
    <n v="294"/>
    <n v="187"/>
    <n v="293"/>
    <n v="299"/>
    <n v="190"/>
    <n v="254"/>
    <n v="77.900000000000006"/>
    <n v="-28.8166236"/>
    <n v="24.991638999999999"/>
    <n v="70.199999999999989"/>
    <n v="67.717717717717719"/>
    <n v="70.7"/>
    <n v="38.613861386138616"/>
    <n v="70.8"/>
    <n v="81.100000000000009"/>
    <n v="74.7"/>
    <n v="77.8"/>
    <x v="0"/>
  </r>
  <r>
    <x v="223"/>
    <x v="223"/>
    <x v="0"/>
    <x v="0"/>
    <n v="83"/>
    <n v="324"/>
    <n v="270"/>
    <n v="304"/>
    <n v="243"/>
    <n v="218"/>
    <n v="180"/>
    <n v="121"/>
    <n v="77.8"/>
    <n v="39.783730400000003"/>
    <n v="-100.445882"/>
    <n v="78.3"/>
    <n v="51.501501501501501"/>
    <n v="73.099999999999994"/>
    <n v="0"/>
    <n v="75.8"/>
    <n v="82.1"/>
    <n v="88"/>
    <n v="77.7"/>
    <x v="0"/>
  </r>
  <r>
    <x v="224"/>
    <x v="224"/>
    <x v="28"/>
    <x v="1"/>
    <n v="1"/>
    <n v="492"/>
    <n v="310"/>
    <n v="127"/>
    <n v="315"/>
    <n v="291"/>
    <n v="276"/>
    <n v="200"/>
    <n v="77.8"/>
    <n v="52.865195999999997"/>
    <n v="-7.9794599000000002"/>
    <n v="71"/>
    <n v="26.276276276276278"/>
    <n v="69.099999999999994"/>
    <n v="58.415841584158414"/>
    <n v="68.600000000000009"/>
    <n v="72.5"/>
    <n v="80.100000000000009"/>
    <n v="77.600000000000009"/>
    <x v="0"/>
  </r>
  <r>
    <x v="225"/>
    <x v="225"/>
    <x v="2"/>
    <x v="2"/>
    <n v="9"/>
    <n v="508"/>
    <n v="106"/>
    <n v="304"/>
    <n v="124"/>
    <n v="176"/>
    <n v="238"/>
    <n v="363"/>
    <n v="77.8"/>
    <n v="36.5748441"/>
    <n v="139.23941790000001"/>
    <n v="82.5"/>
    <n v="23.873873873873876"/>
    <n v="89.5"/>
    <n v="0"/>
    <n v="87.7"/>
    <n v="76.3"/>
    <n v="63.800000000000004"/>
    <n v="77.5"/>
    <x v="0"/>
  </r>
  <r>
    <x v="226"/>
    <x v="226"/>
    <x v="26"/>
    <x v="1"/>
    <n v="2"/>
    <n v="195"/>
    <n v="655"/>
    <n v="191"/>
    <n v="179"/>
    <n v="245"/>
    <n v="323"/>
    <n v="304"/>
    <n v="77.8"/>
    <n v="39.662164799999999"/>
    <n v="-8.1353518999999999"/>
    <n v="75.599999999999994"/>
    <n v="70.870870870870874"/>
    <n v="34.599999999999994"/>
    <n v="37.293729372937293"/>
    <n v="82.199999999999989"/>
    <n v="67.800000000000011"/>
    <n v="69.699999999999989"/>
    <n v="77.400000000000006"/>
    <x v="0"/>
  </r>
  <r>
    <x v="227"/>
    <x v="227"/>
    <x v="28"/>
    <x v="1"/>
    <n v="2"/>
    <n v="524"/>
    <n v="96"/>
    <n v="283"/>
    <n v="335"/>
    <n v="300"/>
    <n v="222"/>
    <n v="129"/>
    <n v="77.7"/>
    <n v="52.865195999999997"/>
    <n v="-7.9794599000000002"/>
    <n v="70.099999999999994"/>
    <n v="21.471471471471471"/>
    <n v="90.5"/>
    <n v="6.9306930693069315"/>
    <n v="66.600000000000009"/>
    <n v="77.900000000000006"/>
    <n v="87.2"/>
    <n v="77.3"/>
    <x v="0"/>
  </r>
  <r>
    <x v="228"/>
    <x v="228"/>
    <x v="10"/>
    <x v="3"/>
    <n v="8"/>
    <n v="444"/>
    <n v="845"/>
    <n v="304"/>
    <n v="197"/>
    <n v="199"/>
    <n v="194"/>
    <n v="187"/>
    <n v="77.7"/>
    <n v="-24.776108600000001"/>
    <n v="134.755"/>
    <n v="80.2"/>
    <n v="33.483483483483482"/>
    <n v="15.6"/>
    <n v="0"/>
    <n v="80.400000000000006"/>
    <n v="80.7"/>
    <n v="81.399999999999991"/>
    <n v="77.2"/>
    <x v="0"/>
  </r>
  <r>
    <x v="229"/>
    <x v="229"/>
    <x v="27"/>
    <x v="5"/>
    <n v="2"/>
    <n v="133"/>
    <n v="80"/>
    <n v="216"/>
    <n v="367"/>
    <n v="377"/>
    <n v="187"/>
    <n v="304"/>
    <n v="77.7"/>
    <n v="-28.8166236"/>
    <n v="24.991638999999999"/>
    <n v="62.4"/>
    <n v="80.180180180180187"/>
    <n v="92.100000000000009"/>
    <n v="29.042904290429046"/>
    <n v="63.4"/>
    <n v="81.399999999999991"/>
    <n v="69.699999999999989"/>
    <n v="77.100000000000009"/>
    <x v="0"/>
  </r>
  <r>
    <x v="230"/>
    <x v="230"/>
    <x v="3"/>
    <x v="0"/>
    <n v="10"/>
    <n v="301"/>
    <n v="207"/>
    <n v="194"/>
    <n v="281"/>
    <n v="272"/>
    <n v="288"/>
    <n v="275"/>
    <n v="77.7"/>
    <n v="61.066692199999999"/>
    <n v="-107.99170700000001"/>
    <n v="72.899999999999991"/>
    <n v="54.954954954954957"/>
    <n v="79.400000000000006"/>
    <n v="36.303630363036305"/>
    <n v="72"/>
    <n v="71.3"/>
    <n v="72.599999999999994"/>
    <n v="77"/>
    <x v="0"/>
  </r>
  <r>
    <x v="231"/>
    <x v="231"/>
    <x v="8"/>
    <x v="1"/>
    <n v="18"/>
    <n v="652"/>
    <n v="334"/>
    <n v="244"/>
    <n v="211"/>
    <n v="209"/>
    <n v="326"/>
    <n v="275"/>
    <n v="77.7"/>
    <n v="40.420347900000003"/>
    <n v="-79.116698299999996"/>
    <n v="79.2"/>
    <n v="20"/>
    <n v="66.7"/>
    <n v="19.801980198019802"/>
    <n v="79"/>
    <n v="67.5"/>
    <n v="72.599999999999994"/>
    <n v="76.900000000000006"/>
    <x v="0"/>
  </r>
  <r>
    <x v="232"/>
    <x v="232"/>
    <x v="8"/>
    <x v="1"/>
    <n v="19"/>
    <n v="407"/>
    <n v="911"/>
    <n v="282"/>
    <n v="269"/>
    <n v="253"/>
    <n v="172"/>
    <n v="222"/>
    <n v="77.599999999999994"/>
    <n v="40.420347900000003"/>
    <n v="-79.116698299999996"/>
    <n v="74.8"/>
    <n v="39.039039039039039"/>
    <n v="9"/>
    <n v="7.2607260726072615"/>
    <n v="73.2"/>
    <n v="82.899999999999991"/>
    <n v="77.900000000000006"/>
    <n v="76.8"/>
    <x v="0"/>
  </r>
  <r>
    <x v="233"/>
    <x v="233"/>
    <x v="8"/>
    <x v="1"/>
    <n v="20"/>
    <n v="556"/>
    <n v="1001"/>
    <n v="279"/>
    <n v="239"/>
    <n v="213"/>
    <n v="193"/>
    <n v="254"/>
    <n v="77.599999999999994"/>
    <n v="40.420347900000003"/>
    <n v="-79.116698299999996"/>
    <n v="78.8"/>
    <n v="20"/>
    <n v="0"/>
    <n v="8.2508250825082499"/>
    <n v="76.2"/>
    <n v="80.800000000000011"/>
    <n v="74.7"/>
    <n v="76.7"/>
    <x v="0"/>
  </r>
  <r>
    <x v="234"/>
    <x v="234"/>
    <x v="0"/>
    <x v="0"/>
    <n v="84"/>
    <n v="667"/>
    <n v="943"/>
    <n v="304"/>
    <n v="250"/>
    <n v="204"/>
    <n v="177"/>
    <n v="222"/>
    <n v="77.599999999999994"/>
    <n v="39.783730400000003"/>
    <n v="-100.445882"/>
    <n v="79.7"/>
    <n v="20"/>
    <n v="5.8000000000000007"/>
    <n v="0"/>
    <n v="75.099999999999994"/>
    <n v="82.399999999999991"/>
    <n v="77.900000000000006"/>
    <n v="76.599999999999994"/>
    <x v="0"/>
  </r>
  <r>
    <x v="235"/>
    <x v="235"/>
    <x v="29"/>
    <x v="3"/>
    <n v="1"/>
    <n v="481"/>
    <n v="468"/>
    <n v="304"/>
    <n v="235"/>
    <n v="236"/>
    <n v="250"/>
    <n v="121"/>
    <n v="77.599999999999994"/>
    <n v="-41.500083099999998"/>
    <n v="172.83440770000001"/>
    <n v="76.5"/>
    <n v="27.927927927927925"/>
    <n v="53.300000000000004"/>
    <n v="0"/>
    <n v="76.599999999999994"/>
    <n v="75.099999999999994"/>
    <n v="88"/>
    <n v="76.5"/>
    <x v="0"/>
  </r>
  <r>
    <x v="236"/>
    <x v="236"/>
    <x v="11"/>
    <x v="2"/>
    <n v="5"/>
    <n v="667"/>
    <n v="108"/>
    <n v="304"/>
    <n v="115"/>
    <n v="159"/>
    <n v="384"/>
    <n v="363"/>
    <n v="77.599999999999994"/>
    <n v="36.638392000000003"/>
    <n v="127.69611879999999"/>
    <n v="84.2"/>
    <n v="20"/>
    <n v="89.3"/>
    <n v="0"/>
    <n v="88.6"/>
    <n v="61.7"/>
    <n v="63.800000000000004"/>
    <n v="76.400000000000006"/>
    <x v="0"/>
  </r>
  <r>
    <x v="237"/>
    <x v="237"/>
    <x v="2"/>
    <x v="2"/>
    <n v="10"/>
    <n v="398"/>
    <n v="1001"/>
    <n v="130"/>
    <n v="259"/>
    <n v="277"/>
    <n v="266"/>
    <n v="405"/>
    <n v="77.5"/>
    <n v="36.5748441"/>
    <n v="139.23941790000001"/>
    <n v="72.399999999999991"/>
    <n v="40.390390390390394"/>
    <n v="0"/>
    <n v="57.42574257425742"/>
    <n v="74.2"/>
    <n v="73.5"/>
    <n v="59.599999999999994"/>
    <n v="76.3"/>
    <x v="0"/>
  </r>
  <r>
    <x v="238"/>
    <x v="238"/>
    <x v="0"/>
    <x v="0"/>
    <n v="85"/>
    <n v="445"/>
    <n v="73"/>
    <n v="304"/>
    <n v="366"/>
    <n v="285"/>
    <n v="231"/>
    <n v="167"/>
    <n v="77.5"/>
    <n v="39.783730400000003"/>
    <n v="-100.445882"/>
    <n v="71.599999999999994"/>
    <n v="33.333333333333329"/>
    <n v="92.800000000000011"/>
    <n v="0"/>
    <n v="63.5"/>
    <n v="77"/>
    <n v="83.399999999999991"/>
    <n v="76.2"/>
    <x v="0"/>
  </r>
  <r>
    <x v="239"/>
    <x v="239"/>
    <x v="8"/>
    <x v="1"/>
    <n v="21"/>
    <n v="667"/>
    <n v="825"/>
    <n v="174"/>
    <n v="329"/>
    <n v="301"/>
    <n v="199"/>
    <n v="363"/>
    <n v="77.5"/>
    <n v="40.420347900000003"/>
    <n v="-79.116698299999996"/>
    <n v="70"/>
    <n v="20"/>
    <n v="17.599999999999998"/>
    <n v="42.904290429042902"/>
    <n v="67.2"/>
    <n v="80.2"/>
    <n v="63.800000000000004"/>
    <n v="76.099999999999994"/>
    <x v="0"/>
  </r>
  <r>
    <x v="240"/>
    <x v="240"/>
    <x v="10"/>
    <x v="3"/>
    <n v="9"/>
    <n v="667"/>
    <n v="1001"/>
    <n v="304"/>
    <n v="159"/>
    <n v="183"/>
    <n v="201"/>
    <n v="327"/>
    <n v="77.5"/>
    <n v="-24.776108600000001"/>
    <n v="134.755"/>
    <n v="81.8"/>
    <n v="20"/>
    <n v="0"/>
    <n v="0"/>
    <n v="84.2"/>
    <n v="80"/>
    <n v="67.400000000000006"/>
    <n v="76"/>
    <x v="0"/>
  </r>
  <r>
    <x v="241"/>
    <x v="241"/>
    <x v="5"/>
    <x v="1"/>
    <n v="13"/>
    <n v="541"/>
    <n v="1001"/>
    <n v="304"/>
    <n v="174"/>
    <n v="195"/>
    <n v="246"/>
    <n v="240"/>
    <n v="77.5"/>
    <n v="46.603354000000003"/>
    <n v="1.8883335000000001"/>
    <n v="80.600000000000009"/>
    <n v="20"/>
    <n v="0"/>
    <n v="0"/>
    <n v="82.699999999999989"/>
    <n v="75.5"/>
    <n v="76.099999999999994"/>
    <n v="75.900000000000006"/>
    <x v="0"/>
  </r>
  <r>
    <x v="242"/>
    <x v="242"/>
    <x v="1"/>
    <x v="1"/>
    <n v="22"/>
    <n v="587"/>
    <n v="649"/>
    <n v="219"/>
    <n v="348"/>
    <n v="293"/>
    <n v="210"/>
    <n v="254"/>
    <n v="77.400000000000006"/>
    <n v="54.702354499999998"/>
    <n v="-3.2765753000000002"/>
    <n v="70.8"/>
    <n v="20"/>
    <n v="35.199999999999996"/>
    <n v="28.052805280528055"/>
    <n v="65.3"/>
    <n v="79.100000000000009"/>
    <n v="74.7"/>
    <n v="75.8"/>
    <x v="0"/>
  </r>
  <r>
    <x v="243"/>
    <x v="243"/>
    <x v="0"/>
    <x v="0"/>
    <n v="86"/>
    <n v="307"/>
    <n v="1001"/>
    <n v="254"/>
    <n v="282"/>
    <n v="256"/>
    <n v="216"/>
    <n v="304"/>
    <n v="77.400000000000006"/>
    <n v="39.783730400000003"/>
    <n v="-100.445882"/>
    <n v="74.5"/>
    <n v="54.054054054054056"/>
    <n v="0"/>
    <n v="16.5016501650165"/>
    <n v="71.899999999999991"/>
    <n v="78.5"/>
    <n v="69.699999999999989"/>
    <n v="75.7"/>
    <x v="0"/>
  </r>
  <r>
    <x v="244"/>
    <x v="244"/>
    <x v="0"/>
    <x v="0"/>
    <n v="87"/>
    <n v="477"/>
    <n v="1001"/>
    <n v="304"/>
    <n v="328"/>
    <n v="240"/>
    <n v="149"/>
    <n v="200"/>
    <n v="77.400000000000006"/>
    <n v="39.783730400000003"/>
    <n v="-100.445882"/>
    <n v="76.099999999999994"/>
    <n v="28.528528528528529"/>
    <n v="0"/>
    <n v="0"/>
    <n v="67.300000000000011"/>
    <n v="85.2"/>
    <n v="80.100000000000009"/>
    <n v="75.599999999999994"/>
    <x v="0"/>
  </r>
  <r>
    <x v="245"/>
    <x v="245"/>
    <x v="0"/>
    <x v="0"/>
    <n v="88"/>
    <n v="667"/>
    <n v="1001"/>
    <n v="189"/>
    <n v="330"/>
    <n v="278"/>
    <n v="251"/>
    <n v="304"/>
    <n v="77.400000000000006"/>
    <n v="39.783730400000003"/>
    <n v="-100.445882"/>
    <n v="72.3"/>
    <n v="20"/>
    <n v="0"/>
    <n v="37.953795379537951"/>
    <n v="67.100000000000009"/>
    <n v="75"/>
    <n v="69.699999999999989"/>
    <n v="75.5"/>
    <x v="0"/>
  </r>
  <r>
    <x v="246"/>
    <x v="246"/>
    <x v="12"/>
    <x v="1"/>
    <n v="7"/>
    <n v="616"/>
    <n v="949"/>
    <n v="304"/>
    <n v="149"/>
    <n v="177"/>
    <n v="338"/>
    <n v="200"/>
    <n v="77.400000000000006"/>
    <n v="42.638426099999997"/>
    <n v="12.674296999999999"/>
    <n v="82.399999999999991"/>
    <n v="20"/>
    <n v="5.2"/>
    <n v="0"/>
    <n v="85.2"/>
    <n v="66.3"/>
    <n v="80.100000000000009"/>
    <n v="75.400000000000006"/>
    <x v="0"/>
  </r>
  <r>
    <x v="247"/>
    <x v="247"/>
    <x v="0"/>
    <x v="0"/>
    <n v="89"/>
    <n v="475"/>
    <n v="645"/>
    <n v="304"/>
    <n v="275"/>
    <n v="235"/>
    <n v="232"/>
    <n v="139"/>
    <n v="77.3"/>
    <n v="39.783730400000003"/>
    <n v="-100.445882"/>
    <n v="76.599999999999994"/>
    <n v="28.828828828828829"/>
    <n v="35.6"/>
    <n v="0"/>
    <n v="72.599999999999994"/>
    <n v="76.900000000000006"/>
    <n v="86.2"/>
    <n v="75.3"/>
    <x v="0"/>
  </r>
  <r>
    <x v="248"/>
    <x v="248"/>
    <x v="13"/>
    <x v="1"/>
    <n v="9"/>
    <n v="667"/>
    <n v="1001"/>
    <n v="304"/>
    <n v="223"/>
    <n v="169"/>
    <n v="293"/>
    <n v="187"/>
    <n v="77.3"/>
    <n v="52.243497900000001"/>
    <n v="5.6343227000000002"/>
    <n v="83.2"/>
    <n v="20"/>
    <n v="0"/>
    <n v="0"/>
    <n v="77.8"/>
    <n v="70.8"/>
    <n v="81.399999999999991"/>
    <n v="75.2"/>
    <x v="0"/>
  </r>
  <r>
    <x v="249"/>
    <x v="249"/>
    <x v="0"/>
    <x v="0"/>
    <n v="90"/>
    <n v="20"/>
    <n v="251"/>
    <n v="66"/>
    <n v="948"/>
    <n v="636"/>
    <n v="217"/>
    <n v="405"/>
    <n v="77.3"/>
    <n v="39.783730400000003"/>
    <n v="-100.445882"/>
    <n v="36.5"/>
    <n v="97.147147147147152"/>
    <n v="75"/>
    <n v="78.547854785478549"/>
    <n v="5.3"/>
    <n v="78.400000000000006"/>
    <n v="59.599999999999994"/>
    <n v="75.099999999999994"/>
    <x v="0"/>
  </r>
  <r>
    <x v="250"/>
    <x v="250"/>
    <x v="0"/>
    <x v="0"/>
    <n v="91"/>
    <n v="328"/>
    <n v="519"/>
    <n v="304"/>
    <n v="294"/>
    <n v="267"/>
    <n v="173"/>
    <n v="187"/>
    <n v="77.3"/>
    <n v="39.783730400000003"/>
    <n v="-100.445882"/>
    <n v="73.400000000000006"/>
    <n v="50.900900900900901"/>
    <n v="48.199999999999996"/>
    <n v="0"/>
    <n v="70.7"/>
    <n v="82.8"/>
    <n v="81.399999999999991"/>
    <n v="75"/>
    <x v="1"/>
  </r>
  <r>
    <x v="251"/>
    <x v="251"/>
    <x v="14"/>
    <x v="1"/>
    <n v="2"/>
    <n v="667"/>
    <n v="1001"/>
    <n v="304"/>
    <n v="264"/>
    <n v="241"/>
    <n v="181"/>
    <n v="222"/>
    <n v="77.3"/>
    <n v="64.573153700000006"/>
    <s v="11.52803643954819"/>
    <n v="76"/>
    <n v="20"/>
    <n v="0"/>
    <n v="0"/>
    <n v="73.7"/>
    <n v="82"/>
    <n v="77.900000000000006"/>
    <n v="74.900000000000006"/>
    <x v="1"/>
  </r>
  <r>
    <x v="252"/>
    <x v="252"/>
    <x v="0"/>
    <x v="0"/>
    <n v="92"/>
    <n v="667"/>
    <n v="263"/>
    <n v="304"/>
    <n v="266"/>
    <n v="234"/>
    <n v="267"/>
    <n v="163"/>
    <n v="77.2"/>
    <n v="39.783730400000003"/>
    <n v="-100.445882"/>
    <n v="76.7"/>
    <n v="20"/>
    <n v="73.8"/>
    <n v="0"/>
    <n v="73.5"/>
    <n v="73.400000000000006"/>
    <n v="83.8"/>
    <n v="74.8"/>
    <x v="1"/>
  </r>
  <r>
    <x v="253"/>
    <x v="253"/>
    <x v="0"/>
    <x v="0"/>
    <n v="93"/>
    <n v="585"/>
    <n v="288"/>
    <n v="304"/>
    <n v="231"/>
    <n v="224"/>
    <n v="233"/>
    <n v="240"/>
    <n v="77.2"/>
    <n v="39.783730400000003"/>
    <n v="-100.445882"/>
    <n v="77.7"/>
    <n v="20"/>
    <n v="71.3"/>
    <n v="0"/>
    <n v="77"/>
    <n v="76.8"/>
    <n v="76.099999999999994"/>
    <n v="74.7"/>
    <x v="1"/>
  </r>
  <r>
    <x v="254"/>
    <x v="254"/>
    <x v="9"/>
    <x v="1"/>
    <n v="7"/>
    <n v="667"/>
    <n v="1001"/>
    <n v="238"/>
    <n v="336"/>
    <n v="281"/>
    <n v="207"/>
    <n v="275"/>
    <n v="77.2"/>
    <n v="44.133434999999999"/>
    <n v="-70.822677999999996"/>
    <n v="72"/>
    <n v="20"/>
    <n v="0"/>
    <n v="21.782178217821784"/>
    <n v="66.5"/>
    <n v="79.400000000000006"/>
    <n v="72.599999999999994"/>
    <n v="74.599999999999994"/>
    <x v="1"/>
  </r>
  <r>
    <x v="255"/>
    <x v="255"/>
    <x v="1"/>
    <x v="1"/>
    <n v="23"/>
    <n v="667"/>
    <n v="1001"/>
    <n v="304"/>
    <n v="392"/>
    <n v="257"/>
    <n v="151"/>
    <n v="174"/>
    <n v="77.2"/>
    <n v="54.702354499999998"/>
    <n v="-3.2765753000000002"/>
    <n v="74.400000000000006"/>
    <n v="20"/>
    <n v="0"/>
    <n v="0"/>
    <n v="60.9"/>
    <n v="85"/>
    <n v="82.699999999999989"/>
    <n v="74.5"/>
    <x v="1"/>
  </r>
  <r>
    <x v="256"/>
    <x v="256"/>
    <x v="0"/>
    <x v="0"/>
    <n v="94"/>
    <n v="667"/>
    <n v="1001"/>
    <n v="304"/>
    <n v="304"/>
    <n v="251"/>
    <n v="174"/>
    <n v="200"/>
    <n v="77.2"/>
    <n v="39.783730400000003"/>
    <n v="-100.445882"/>
    <n v="75"/>
    <n v="20"/>
    <n v="0"/>
    <n v="0"/>
    <n v="69.699999999999989"/>
    <n v="82.699999999999989"/>
    <n v="80.100000000000009"/>
    <n v="74.400000000000006"/>
    <x v="1"/>
  </r>
  <r>
    <x v="257"/>
    <x v="257"/>
    <x v="30"/>
    <x v="0"/>
    <n v="1"/>
    <n v="491"/>
    <n v="1001"/>
    <n v="304"/>
    <n v="105"/>
    <n v="219"/>
    <n v="249"/>
    <n v="405"/>
    <n v="77.2"/>
    <n v="19.432629599999999"/>
    <n v="-99.1331785"/>
    <n v="78.2"/>
    <n v="26.426426426426424"/>
    <n v="0"/>
    <n v="0"/>
    <n v="89.600000000000009"/>
    <n v="75.2"/>
    <n v="59.599999999999994"/>
    <n v="74.3"/>
    <x v="1"/>
  </r>
  <r>
    <x v="258"/>
    <x v="258"/>
    <x v="0"/>
    <x v="0"/>
    <n v="95"/>
    <n v="611"/>
    <n v="535"/>
    <n v="304"/>
    <n v="227"/>
    <n v="216"/>
    <n v="275"/>
    <n v="200"/>
    <n v="77.099999999999994"/>
    <n v="39.783730400000003"/>
    <n v="-100.445882"/>
    <n v="78.5"/>
    <n v="20"/>
    <n v="46.6"/>
    <n v="0"/>
    <n v="77.400000000000006"/>
    <n v="72.599999999999994"/>
    <n v="80.100000000000009"/>
    <n v="74.2"/>
    <x v="1"/>
  </r>
  <r>
    <x v="259"/>
    <x v="259"/>
    <x v="31"/>
    <x v="1"/>
    <n v="1"/>
    <n v="150"/>
    <n v="1001"/>
    <n v="96"/>
    <n v="380"/>
    <n v="415"/>
    <n v="360"/>
    <n v="275"/>
    <n v="77.099999999999994"/>
    <n v="52.215933"/>
    <n v="19.134422000000001"/>
    <n v="58.599999999999994"/>
    <n v="77.627627627627632"/>
    <n v="0"/>
    <n v="68.646864686468646"/>
    <n v="62.1"/>
    <n v="64.099999999999994"/>
    <n v="72.599999999999994"/>
    <n v="74.099999999999994"/>
    <x v="1"/>
  </r>
  <r>
    <x v="260"/>
    <x v="260"/>
    <x v="3"/>
    <x v="0"/>
    <n v="11"/>
    <n v="588"/>
    <n v="378"/>
    <n v="141"/>
    <n v="320"/>
    <n v="287"/>
    <n v="316"/>
    <n v="363"/>
    <n v="77.099999999999994"/>
    <n v="61.066692199999999"/>
    <n v="-107.99170700000001"/>
    <n v="71.399999999999991"/>
    <n v="20"/>
    <n v="62.3"/>
    <n v="53.795379537953792"/>
    <n v="68.100000000000009"/>
    <n v="68.5"/>
    <n v="63.800000000000004"/>
    <n v="74"/>
    <x v="1"/>
  </r>
  <r>
    <x v="261"/>
    <x v="261"/>
    <x v="0"/>
    <x v="0"/>
    <n v="96"/>
    <n v="667"/>
    <n v="724"/>
    <n v="304"/>
    <n v="256"/>
    <n v="248"/>
    <n v="256"/>
    <n v="174"/>
    <n v="77.099999999999994"/>
    <n v="39.783730400000003"/>
    <n v="-100.445882"/>
    <n v="75.3"/>
    <n v="20"/>
    <n v="27.700000000000003"/>
    <n v="0"/>
    <n v="74.5"/>
    <n v="74.5"/>
    <n v="82.699999999999989"/>
    <n v="73.900000000000006"/>
    <x v="1"/>
  </r>
  <r>
    <x v="262"/>
    <x v="262"/>
    <x v="14"/>
    <x v="1"/>
    <n v="3"/>
    <n v="523"/>
    <n v="397"/>
    <n v="88"/>
    <n v="339"/>
    <n v="349"/>
    <n v="463"/>
    <n v="327"/>
    <n v="77.099999999999994"/>
    <n v="64.573153700000006"/>
    <s v="11.52803643954819"/>
    <n v="65.2"/>
    <n v="21.621621621621621"/>
    <n v="60.4"/>
    <n v="71.287128712871279"/>
    <n v="66.2"/>
    <n v="53.800000000000004"/>
    <n v="67.400000000000006"/>
    <n v="73.8"/>
    <x v="1"/>
  </r>
  <r>
    <x v="263"/>
    <x v="263"/>
    <x v="16"/>
    <x v="1"/>
    <n v="3"/>
    <n v="193"/>
    <n v="131"/>
    <n v="300"/>
    <n v="178"/>
    <n v="214"/>
    <n v="321"/>
    <n v="363"/>
    <n v="77"/>
    <n v="39.326068499999998"/>
    <n v="-4.8379791000000001"/>
    <n v="78.7"/>
    <n v="71.171171171171167"/>
    <n v="87"/>
    <n v="1.3201320132013201"/>
    <n v="82.3"/>
    <n v="68"/>
    <n v="63.800000000000004"/>
    <n v="73.7"/>
    <x v="1"/>
  </r>
  <r>
    <x v="264"/>
    <x v="264"/>
    <x v="17"/>
    <x v="2"/>
    <n v="10"/>
    <n v="667"/>
    <n v="201"/>
    <n v="304"/>
    <n v="112"/>
    <n v="180"/>
    <n v="451"/>
    <n v="327"/>
    <n v="77"/>
    <n v="30.047992000000001"/>
    <n v="-94.335743300000004"/>
    <n v="82.1"/>
    <n v="20"/>
    <n v="80"/>
    <n v="0"/>
    <n v="88.9"/>
    <n v="55.000000000000007"/>
    <n v="67.400000000000006"/>
    <n v="73.599999999999994"/>
    <x v="1"/>
  </r>
  <r>
    <x v="265"/>
    <x v="265"/>
    <x v="1"/>
    <x v="1"/>
    <n v="24"/>
    <n v="667"/>
    <n v="1001"/>
    <n v="304"/>
    <n v="345"/>
    <n v="280"/>
    <n v="131"/>
    <n v="275"/>
    <n v="77"/>
    <n v="54.702354499999998"/>
    <n v="-3.2765753000000002"/>
    <n v="72.099999999999994"/>
    <n v="20"/>
    <n v="0"/>
    <n v="0"/>
    <n v="65.600000000000009"/>
    <n v="87"/>
    <n v="72.599999999999994"/>
    <n v="73.5"/>
    <x v="1"/>
  </r>
  <r>
    <x v="266"/>
    <x v="266"/>
    <x v="24"/>
    <x v="1"/>
    <n v="2"/>
    <n v="667"/>
    <n v="1001"/>
    <n v="304"/>
    <n v="301"/>
    <n v="252"/>
    <n v="200"/>
    <n v="200"/>
    <n v="77"/>
    <n v="47.593969999999999"/>
    <n v="14.124560000000001"/>
    <n v="74.900000000000006"/>
    <n v="20"/>
    <n v="0"/>
    <n v="0"/>
    <n v="70"/>
    <n v="80.100000000000009"/>
    <n v="80.100000000000009"/>
    <n v="73.400000000000006"/>
    <x v="1"/>
  </r>
  <r>
    <x v="267"/>
    <x v="267"/>
    <x v="3"/>
    <x v="0"/>
    <n v="12"/>
    <n v="667"/>
    <n v="222"/>
    <n v="304"/>
    <n v="196"/>
    <n v="194"/>
    <n v="353"/>
    <n v="275"/>
    <n v="77"/>
    <n v="61.066692199999999"/>
    <n v="-107.99170700000001"/>
    <n v="80.7"/>
    <n v="20"/>
    <n v="77.900000000000006"/>
    <n v="0"/>
    <n v="80.5"/>
    <n v="64.8"/>
    <n v="72.599999999999994"/>
    <n v="73.3"/>
    <x v="1"/>
  </r>
  <r>
    <x v="268"/>
    <x v="268"/>
    <x v="3"/>
    <x v="0"/>
    <n v="13"/>
    <n v="564"/>
    <n v="499"/>
    <n v="304"/>
    <n v="241"/>
    <n v="225"/>
    <n v="252"/>
    <n v="275"/>
    <n v="76.900000000000006"/>
    <n v="61.066692199999999"/>
    <n v="-107.99170700000001"/>
    <n v="77.600000000000009"/>
    <n v="20"/>
    <n v="50.2"/>
    <n v="0"/>
    <n v="76"/>
    <n v="74.900000000000006"/>
    <n v="72.599999999999994"/>
    <n v="73.2"/>
    <x v="1"/>
  </r>
  <r>
    <x v="269"/>
    <x v="269"/>
    <x v="17"/>
    <x v="2"/>
    <n v="11"/>
    <n v="667"/>
    <n v="800"/>
    <n v="304"/>
    <n v="84"/>
    <n v="153"/>
    <n v="571"/>
    <n v="327"/>
    <n v="76.900000000000006"/>
    <n v="30.047992000000001"/>
    <n v="-94.335743300000004"/>
    <n v="84.8"/>
    <n v="20"/>
    <n v="20.100000000000001"/>
    <n v="0"/>
    <n v="91.7"/>
    <n v="43"/>
    <n v="67.400000000000006"/>
    <n v="73.099999999999994"/>
    <x v="1"/>
  </r>
  <r>
    <x v="270"/>
    <x v="270"/>
    <x v="16"/>
    <x v="1"/>
    <n v="4"/>
    <n v="667"/>
    <n v="1001"/>
    <n v="304"/>
    <n v="215"/>
    <n v="237"/>
    <n v="349"/>
    <n v="174"/>
    <n v="76.900000000000006"/>
    <n v="39.326068499999998"/>
    <n v="-4.8379791000000001"/>
    <n v="76.400000000000006"/>
    <n v="20"/>
    <n v="0"/>
    <n v="0"/>
    <n v="78.600000000000009"/>
    <n v="65.2"/>
    <n v="82.699999999999989"/>
    <n v="73"/>
    <x v="1"/>
  </r>
  <r>
    <x v="271"/>
    <x v="271"/>
    <x v="1"/>
    <x v="1"/>
    <n v="25"/>
    <n v="227"/>
    <n v="1001"/>
    <n v="227"/>
    <n v="471"/>
    <n v="353"/>
    <n v="224"/>
    <n v="187"/>
    <n v="76.900000000000006"/>
    <n v="54.702354499999998"/>
    <n v="-3.2765753000000002"/>
    <n v="64.8"/>
    <n v="66.066066066066071"/>
    <n v="0"/>
    <n v="25.412541254125415"/>
    <n v="53"/>
    <n v="77.7"/>
    <n v="81.399999999999991"/>
    <n v="72.899999999999991"/>
    <x v="1"/>
  </r>
  <r>
    <x v="272"/>
    <x v="272"/>
    <x v="0"/>
    <x v="0"/>
    <n v="97"/>
    <n v="233"/>
    <n v="747"/>
    <n v="304"/>
    <n v="263"/>
    <n v="221"/>
    <n v="292"/>
    <n v="222"/>
    <n v="76.900000000000006"/>
    <n v="39.783730400000003"/>
    <n v="-100.445882"/>
    <n v="78"/>
    <n v="65.165165165165163"/>
    <n v="25.4"/>
    <n v="0"/>
    <n v="73.8"/>
    <n v="70.899999999999991"/>
    <n v="77.900000000000006"/>
    <n v="72.8"/>
    <x v="1"/>
  </r>
  <r>
    <x v="273"/>
    <x v="273"/>
    <x v="1"/>
    <x v="1"/>
    <n v="26"/>
    <n v="44"/>
    <n v="85"/>
    <n v="90"/>
    <n v="655"/>
    <n v="506"/>
    <n v="627"/>
    <n v="240"/>
    <n v="76.900000000000006"/>
    <n v="54.702354499999998"/>
    <n v="-3.2765753000000002"/>
    <n v="49.5"/>
    <n v="93.543543543543535"/>
    <n v="91.600000000000009"/>
    <n v="70.627062706270621"/>
    <n v="34.599999999999994"/>
    <n v="37.4"/>
    <n v="76.099999999999994"/>
    <n v="72.7"/>
    <x v="1"/>
  </r>
  <r>
    <x v="274"/>
    <x v="274"/>
    <x v="0"/>
    <x v="0"/>
    <n v="98"/>
    <n v="544"/>
    <n v="322"/>
    <n v="304"/>
    <n v="206"/>
    <n v="211"/>
    <n v="259"/>
    <n v="363"/>
    <n v="76.8"/>
    <n v="39.783730400000003"/>
    <n v="-100.445882"/>
    <n v="79"/>
    <n v="20"/>
    <n v="67.900000000000006"/>
    <n v="0"/>
    <n v="79.5"/>
    <n v="74.2"/>
    <n v="63.800000000000004"/>
    <n v="72.599999999999994"/>
    <x v="1"/>
  </r>
  <r>
    <x v="275"/>
    <x v="275"/>
    <x v="17"/>
    <x v="2"/>
    <n v="12"/>
    <n v="667"/>
    <n v="244"/>
    <n v="304"/>
    <n v="77"/>
    <n v="124"/>
    <n v="537"/>
    <n v="541"/>
    <n v="76.8"/>
    <n v="30.047992000000001"/>
    <n v="-94.335743300000004"/>
    <n v="87.7"/>
    <n v="20"/>
    <n v="75.7"/>
    <n v="0"/>
    <n v="92.4"/>
    <n v="46.400000000000006"/>
    <n v="46"/>
    <n v="72.5"/>
    <x v="1"/>
  </r>
  <r>
    <x v="276"/>
    <x v="276"/>
    <x v="0"/>
    <x v="0"/>
    <n v="99"/>
    <n v="667"/>
    <n v="748"/>
    <n v="174"/>
    <n v="321"/>
    <n v="312"/>
    <n v="289"/>
    <n v="460"/>
    <n v="76.8"/>
    <n v="39.783730400000003"/>
    <n v="-100.445882"/>
    <n v="68.899999999999991"/>
    <n v="20"/>
    <n v="25.3"/>
    <n v="42.904290429042902"/>
    <n v="68"/>
    <n v="71.2"/>
    <n v="54.1"/>
    <n v="72.399999999999991"/>
    <x v="1"/>
  </r>
  <r>
    <x v="277"/>
    <x v="277"/>
    <x v="3"/>
    <x v="0"/>
    <n v="14"/>
    <n v="218"/>
    <n v="290"/>
    <n v="304"/>
    <n v="308"/>
    <n v="305"/>
    <n v="225"/>
    <n v="200"/>
    <n v="76.8"/>
    <n v="61.066692199999999"/>
    <n v="-107.99170700000001"/>
    <n v="69.599999999999994"/>
    <n v="67.417417417417411"/>
    <n v="71.099999999999994"/>
    <n v="0"/>
    <n v="69.3"/>
    <n v="77.600000000000009"/>
    <n v="80.100000000000009"/>
    <n v="72.3"/>
    <x v="1"/>
  </r>
  <r>
    <x v="278"/>
    <x v="278"/>
    <x v="1"/>
    <x v="1"/>
    <n v="27"/>
    <n v="667"/>
    <n v="1001"/>
    <n v="304"/>
    <n v="362"/>
    <n v="284"/>
    <n v="208"/>
    <n v="174"/>
    <n v="76.8"/>
    <n v="54.702354499999998"/>
    <n v="-3.2765753000000002"/>
    <n v="71.7"/>
    <n v="20"/>
    <n v="0"/>
    <n v="0"/>
    <n v="63.9"/>
    <n v="79.3"/>
    <n v="82.699999999999989"/>
    <n v="72.2"/>
    <x v="1"/>
  </r>
  <r>
    <x v="279"/>
    <x v="279"/>
    <x v="16"/>
    <x v="1"/>
    <n v="5"/>
    <n v="667"/>
    <n v="932"/>
    <n v="304"/>
    <n v="257"/>
    <n v="246"/>
    <n v="285"/>
    <n v="240"/>
    <n v="76.7"/>
    <n v="39.326068499999998"/>
    <n v="-4.8379791000000001"/>
    <n v="75.5"/>
    <n v="20"/>
    <n v="6.9"/>
    <n v="0"/>
    <n v="74.400000000000006"/>
    <n v="71.599999999999994"/>
    <n v="76.099999999999994"/>
    <n v="72.099999999999994"/>
    <x v="1"/>
  </r>
  <r>
    <x v="280"/>
    <x v="280"/>
    <x v="1"/>
    <x v="1"/>
    <n v="28"/>
    <n v="506"/>
    <n v="684"/>
    <n v="304"/>
    <n v="331"/>
    <n v="270"/>
    <n v="168"/>
    <n v="327"/>
    <n v="76.7"/>
    <n v="54.702354499999998"/>
    <n v="-3.2765753000000002"/>
    <n v="73.099999999999994"/>
    <n v="24.174174174174173"/>
    <n v="31.7"/>
    <n v="0"/>
    <n v="67"/>
    <n v="83.3"/>
    <n v="67.400000000000006"/>
    <n v="72"/>
    <x v="1"/>
  </r>
  <r>
    <x v="281"/>
    <x v="281"/>
    <x v="0"/>
    <x v="0"/>
    <n v="100"/>
    <n v="667"/>
    <n v="503"/>
    <n v="257"/>
    <n v="334"/>
    <n v="288"/>
    <n v="436"/>
    <n v="174"/>
    <n v="76.7"/>
    <n v="39.783730400000003"/>
    <n v="-100.445882"/>
    <n v="71.3"/>
    <n v="20"/>
    <n v="49.8"/>
    <n v="15.511551155115511"/>
    <n v="66.7"/>
    <n v="56.499999999999993"/>
    <n v="82.699999999999989"/>
    <n v="71.899999999999991"/>
    <x v="1"/>
  </r>
  <r>
    <x v="282"/>
    <x v="282"/>
    <x v="12"/>
    <x v="1"/>
    <n v="8"/>
    <n v="667"/>
    <n v="1001"/>
    <n v="304"/>
    <n v="273"/>
    <n v="282"/>
    <n v="303"/>
    <n v="174"/>
    <n v="76.7"/>
    <n v="42.638426099999997"/>
    <n v="12.674296999999999"/>
    <n v="71.899999999999991"/>
    <n v="20"/>
    <n v="0"/>
    <n v="0"/>
    <n v="72.8"/>
    <n v="69.8"/>
    <n v="82.699999999999989"/>
    <n v="71.8"/>
    <x v="1"/>
  </r>
  <r>
    <x v="283"/>
    <x v="283"/>
    <x v="13"/>
    <x v="1"/>
    <n v="10"/>
    <n v="566"/>
    <n v="406"/>
    <n v="304"/>
    <n v="224"/>
    <n v="228"/>
    <n v="281"/>
    <n v="363"/>
    <n v="76.7"/>
    <n v="52.243497900000001"/>
    <n v="5.6343227000000002"/>
    <n v="77.3"/>
    <n v="20"/>
    <n v="59.5"/>
    <n v="0"/>
    <n v="77.7"/>
    <n v="72"/>
    <n v="63.800000000000004"/>
    <n v="71.7"/>
    <x v="1"/>
  </r>
  <r>
    <x v="284"/>
    <x v="284"/>
    <x v="12"/>
    <x v="1"/>
    <n v="9"/>
    <n v="538"/>
    <n v="1001"/>
    <n v="304"/>
    <n v="228"/>
    <n v="261"/>
    <n v="337"/>
    <n v="222"/>
    <n v="76.7"/>
    <n v="42.638426099999997"/>
    <n v="12.674296999999999"/>
    <n v="74"/>
    <n v="20"/>
    <n v="0"/>
    <n v="0"/>
    <n v="77.3"/>
    <n v="66.400000000000006"/>
    <n v="77.900000000000006"/>
    <n v="71.599999999999994"/>
    <x v="1"/>
  </r>
  <r>
    <x v="285"/>
    <x v="285"/>
    <x v="2"/>
    <x v="2"/>
    <n v="11"/>
    <n v="160"/>
    <n v="445"/>
    <n v="141"/>
    <n v="369"/>
    <n v="418"/>
    <n v="318"/>
    <n v="327"/>
    <n v="76.599999999999994"/>
    <n v="36.5748441"/>
    <n v="139.23941790000001"/>
    <n v="58.3"/>
    <n v="76.126126126126124"/>
    <n v="55.600000000000009"/>
    <n v="53.795379537953792"/>
    <n v="63.2"/>
    <n v="68.300000000000011"/>
    <n v="67.400000000000006"/>
    <n v="71.5"/>
    <x v="1"/>
  </r>
  <r>
    <x v="286"/>
    <x v="286"/>
    <x v="8"/>
    <x v="1"/>
    <n v="22"/>
    <n v="599"/>
    <n v="1001"/>
    <n v="295"/>
    <n v="284"/>
    <n v="279"/>
    <n v="229"/>
    <n v="275"/>
    <n v="76.599999999999994"/>
    <n v="40.420347900000003"/>
    <n v="-79.116698299999996"/>
    <n v="72.2"/>
    <n v="20"/>
    <n v="0"/>
    <n v="2.9702970297029703"/>
    <n v="71.7"/>
    <n v="77.2"/>
    <n v="72.599999999999994"/>
    <n v="71.399999999999991"/>
    <x v="1"/>
  </r>
  <r>
    <x v="287"/>
    <x v="287"/>
    <x v="0"/>
    <x v="0"/>
    <n v="101"/>
    <n v="396"/>
    <n v="688"/>
    <n v="177"/>
    <n v="371"/>
    <n v="304"/>
    <n v="341"/>
    <n v="405"/>
    <n v="76.599999999999994"/>
    <n v="39.783730400000003"/>
    <n v="-100.445882"/>
    <n v="69.699999999999989"/>
    <n v="40.690690690690687"/>
    <n v="31.3"/>
    <n v="41.914191419141915"/>
    <n v="63"/>
    <n v="66"/>
    <n v="59.599999999999994"/>
    <n v="71.3"/>
    <x v="1"/>
  </r>
  <r>
    <x v="288"/>
    <x v="288"/>
    <x v="0"/>
    <x v="0"/>
    <n v="102"/>
    <n v="277"/>
    <n v="59"/>
    <n v="304"/>
    <n v="427"/>
    <n v="331"/>
    <n v="319"/>
    <n v="275"/>
    <n v="76.599999999999994"/>
    <n v="39.783730400000003"/>
    <n v="-100.445882"/>
    <n v="67"/>
    <n v="58.558558558558559"/>
    <n v="94.199999999999989"/>
    <n v="0"/>
    <n v="57.4"/>
    <n v="68.2"/>
    <n v="72.599999999999994"/>
    <n v="71.2"/>
    <x v="1"/>
  </r>
  <r>
    <x v="289"/>
    <x v="289"/>
    <x v="8"/>
    <x v="1"/>
    <n v="23"/>
    <n v="667"/>
    <n v="1001"/>
    <n v="304"/>
    <n v="299"/>
    <n v="297"/>
    <n v="215"/>
    <n v="254"/>
    <n v="76.599999999999994"/>
    <n v="40.420347900000003"/>
    <n v="-79.116698299999996"/>
    <n v="70.399999999999991"/>
    <n v="20"/>
    <n v="0"/>
    <n v="0"/>
    <n v="70.199999999999989"/>
    <n v="78.600000000000009"/>
    <n v="74.7"/>
    <n v="71.099999999999994"/>
    <x v="1"/>
  </r>
  <r>
    <x v="290"/>
    <x v="290"/>
    <x v="8"/>
    <x v="1"/>
    <n v="24"/>
    <n v="667"/>
    <n v="370"/>
    <n v="304"/>
    <n v="245"/>
    <n v="259"/>
    <n v="283"/>
    <n v="327"/>
    <n v="76.599999999999994"/>
    <n v="40.420347900000003"/>
    <n v="-79.116698299999996"/>
    <n v="74.2"/>
    <n v="20"/>
    <n v="63.1"/>
    <n v="0"/>
    <n v="75.599999999999994"/>
    <n v="71.8"/>
    <n v="67.400000000000006"/>
    <n v="71"/>
    <x v="1"/>
  </r>
  <r>
    <x v="291"/>
    <x v="291"/>
    <x v="20"/>
    <x v="1"/>
    <n v="6"/>
    <n v="667"/>
    <n v="714"/>
    <n v="304"/>
    <n v="287"/>
    <n v="262"/>
    <n v="329"/>
    <n v="200"/>
    <n v="76.5"/>
    <n v="50.6402809"/>
    <n v="4.6667145000000003"/>
    <n v="73.900000000000006"/>
    <n v="20"/>
    <n v="28.7"/>
    <n v="0"/>
    <n v="71.399999999999991"/>
    <n v="67.2"/>
    <n v="80.100000000000009"/>
    <n v="70.899999999999991"/>
    <x v="1"/>
  </r>
  <r>
    <x v="292"/>
    <x v="292"/>
    <x v="32"/>
    <x v="4"/>
    <n v="1"/>
    <n v="305"/>
    <n v="1001"/>
    <n v="231"/>
    <n v="237"/>
    <n v="306"/>
    <n v="350"/>
    <n v="460"/>
    <n v="76.5"/>
    <n v="-34.996496299999997"/>
    <n v="-64.967281700000001"/>
    <n v="69.5"/>
    <n v="54.354354354354349"/>
    <n v="0"/>
    <n v="24.092409240924091"/>
    <n v="76.400000000000006"/>
    <n v="65.100000000000009"/>
    <n v="54.1"/>
    <n v="70.8"/>
    <x v="1"/>
  </r>
  <r>
    <x v="293"/>
    <x v="293"/>
    <x v="8"/>
    <x v="1"/>
    <n v="25"/>
    <n v="409"/>
    <n v="1001"/>
    <n v="304"/>
    <n v="347"/>
    <n v="317"/>
    <n v="219"/>
    <n v="222"/>
    <n v="76.5"/>
    <n v="40.420347900000003"/>
    <n v="-79.116698299999996"/>
    <n v="68.400000000000006"/>
    <n v="38.738738738738739"/>
    <n v="0"/>
    <n v="0"/>
    <n v="65.400000000000006"/>
    <n v="78.2"/>
    <n v="77.900000000000006"/>
    <n v="70.7"/>
    <x v="1"/>
  </r>
  <r>
    <x v="294"/>
    <x v="294"/>
    <x v="11"/>
    <x v="2"/>
    <n v="6"/>
    <n v="667"/>
    <n v="156"/>
    <n v="304"/>
    <n v="209"/>
    <n v="187"/>
    <n v="306"/>
    <n v="673"/>
    <n v="76.5"/>
    <n v="36.638392000000003"/>
    <n v="127.69611879999999"/>
    <n v="81.399999999999991"/>
    <n v="20"/>
    <n v="84.5"/>
    <n v="0"/>
    <n v="79.2"/>
    <n v="69.5"/>
    <n v="32.800000000000004"/>
    <n v="70.599999999999994"/>
    <x v="1"/>
  </r>
  <r>
    <x v="295"/>
    <x v="295"/>
    <x v="17"/>
    <x v="2"/>
    <n v="13"/>
    <n v="667"/>
    <n v="1001"/>
    <n v="304"/>
    <n v="75"/>
    <n v="181"/>
    <n v="370"/>
    <n v="898"/>
    <n v="76.5"/>
    <n v="30.047992000000001"/>
    <n v="-94.335743300000004"/>
    <n v="82"/>
    <n v="20"/>
    <n v="0"/>
    <n v="0"/>
    <n v="92.600000000000009"/>
    <n v="63.1"/>
    <n v="10.299999999999999"/>
    <n v="70.5"/>
    <x v="1"/>
  </r>
  <r>
    <x v="296"/>
    <x v="296"/>
    <x v="21"/>
    <x v="2"/>
    <n v="2"/>
    <n v="667"/>
    <n v="102"/>
    <n v="304"/>
    <n v="168"/>
    <n v="202"/>
    <n v="484"/>
    <n v="541"/>
    <n v="76.5"/>
    <n v="23.598322700000001"/>
    <s v="120.83537694479215"/>
    <n v="79.900000000000006"/>
    <n v="20"/>
    <n v="89.9"/>
    <n v="0"/>
    <n v="83.3"/>
    <n v="51.7"/>
    <n v="46"/>
    <n v="70.399999999999991"/>
    <x v="1"/>
  </r>
  <r>
    <x v="297"/>
    <x v="297"/>
    <x v="15"/>
    <x v="4"/>
    <n v="2"/>
    <n v="316"/>
    <n v="401"/>
    <n v="304"/>
    <n v="192"/>
    <n v="316"/>
    <n v="328"/>
    <n v="304"/>
    <n v="76.400000000000006"/>
    <n v="-10.3333333"/>
    <n v="-53.2"/>
    <n v="68.5"/>
    <n v="52.702702702702695"/>
    <n v="60"/>
    <n v="0"/>
    <n v="80.900000000000006"/>
    <n v="67.300000000000011"/>
    <n v="69.699999999999989"/>
    <n v="70.3"/>
    <x v="1"/>
  </r>
  <r>
    <x v="298"/>
    <x v="298"/>
    <x v="0"/>
    <x v="0"/>
    <n v="103"/>
    <n v="667"/>
    <n v="114"/>
    <n v="304"/>
    <n v="358"/>
    <n v="311"/>
    <n v="290"/>
    <n v="275"/>
    <n v="76.400000000000006"/>
    <n v="39.783730400000003"/>
    <n v="-100.445882"/>
    <n v="69"/>
    <n v="20"/>
    <n v="88.7"/>
    <n v="0"/>
    <n v="64.3"/>
    <n v="71.099999999999994"/>
    <n v="72.599999999999994"/>
    <n v="70.199999999999989"/>
    <x v="1"/>
  </r>
  <r>
    <x v="299"/>
    <x v="299"/>
    <x v="17"/>
    <x v="2"/>
    <n v="14"/>
    <n v="667"/>
    <n v="470"/>
    <n v="304"/>
    <n v="104"/>
    <n v="163"/>
    <n v="794"/>
    <n v="405"/>
    <n v="76.400000000000006"/>
    <n v="30.047992000000001"/>
    <n v="-94.335743300000004"/>
    <n v="83.8"/>
    <n v="20"/>
    <n v="53.1"/>
    <n v="0"/>
    <n v="89.7"/>
    <n v="20.7"/>
    <n v="59.599999999999994"/>
    <n v="70.099999999999994"/>
    <x v="1"/>
  </r>
  <r>
    <x v="300"/>
    <x v="300"/>
    <x v="24"/>
    <x v="1"/>
    <n v="3"/>
    <n v="414"/>
    <n v="787"/>
    <n v="136"/>
    <n v="528"/>
    <n v="450"/>
    <n v="241"/>
    <n v="327"/>
    <n v="76.400000000000006"/>
    <n v="47.593969999999999"/>
    <n v="14.124560000000001"/>
    <n v="55.1"/>
    <n v="37.987987987987985"/>
    <n v="21.4"/>
    <n v="55.445544554455452"/>
    <n v="47.3"/>
    <n v="76"/>
    <n v="67.400000000000006"/>
    <n v="70"/>
    <x v="1"/>
  </r>
  <r>
    <x v="301"/>
    <x v="301"/>
    <x v="17"/>
    <x v="2"/>
    <n v="15"/>
    <n v="667"/>
    <n v="1001"/>
    <n v="304"/>
    <n v="248"/>
    <n v="310"/>
    <n v="239"/>
    <n v="363"/>
    <n v="76.400000000000006"/>
    <n v="30.047992000000001"/>
    <n v="-94.335743300000004"/>
    <n v="69.099999999999994"/>
    <n v="20"/>
    <n v="0"/>
    <n v="0"/>
    <n v="75.3"/>
    <n v="76.2"/>
    <n v="63.800000000000004"/>
    <n v="69.899999999999991"/>
    <x v="1"/>
  </r>
  <r>
    <x v="302"/>
    <x v="302"/>
    <x v="2"/>
    <x v="2"/>
    <n v="12"/>
    <n v="562"/>
    <n v="23"/>
    <n v="304"/>
    <n v="470"/>
    <n v="471"/>
    <n v="445"/>
    <n v="541"/>
    <n v="76.400000000000006"/>
    <n v="36.5748441"/>
    <n v="139.23941790000001"/>
    <n v="53"/>
    <n v="20"/>
    <n v="97.8"/>
    <n v="0"/>
    <n v="53.1"/>
    <n v="55.600000000000009"/>
    <n v="46"/>
    <n v="69.8"/>
    <x v="1"/>
  </r>
  <r>
    <x v="303"/>
    <x v="303"/>
    <x v="0"/>
    <x v="0"/>
    <n v="104"/>
    <n v="412"/>
    <n v="493"/>
    <n v="185"/>
    <n v="521"/>
    <n v="401"/>
    <n v="383"/>
    <n v="222"/>
    <n v="76.3"/>
    <n v="39.783730400000003"/>
    <n v="-100.445882"/>
    <n v="60"/>
    <n v="38.288288288288285"/>
    <n v="50.8"/>
    <n v="39.273927392739274"/>
    <n v="48"/>
    <n v="61.8"/>
    <n v="77.900000000000006"/>
    <n v="69.699999999999989"/>
    <x v="1"/>
  </r>
  <r>
    <x v="304"/>
    <x v="304"/>
    <x v="33"/>
    <x v="1"/>
    <n v="1"/>
    <n v="667"/>
    <n v="634"/>
    <n v="304"/>
    <n v="201"/>
    <n v="268"/>
    <n v="416"/>
    <n v="275"/>
    <n v="76.3"/>
    <n v="43.209783799999997"/>
    <n v="-77.693060200000005"/>
    <n v="73.3"/>
    <n v="20"/>
    <n v="36.700000000000003"/>
    <n v="0"/>
    <n v="80"/>
    <n v="58.5"/>
    <n v="72.599999999999994"/>
    <n v="69.599999999999994"/>
    <x v="1"/>
  </r>
  <r>
    <x v="305"/>
    <x v="305"/>
    <x v="0"/>
    <x v="0"/>
    <n v="105"/>
    <n v="667"/>
    <n v="1001"/>
    <n v="100"/>
    <n v="574"/>
    <n v="447"/>
    <n v="245"/>
    <n v="541"/>
    <n v="76.3"/>
    <n v="39.783730400000003"/>
    <n v="-100.445882"/>
    <n v="55.400000000000006"/>
    <n v="20"/>
    <n v="0"/>
    <n v="67.32673267326733"/>
    <n v="42.699999999999996"/>
    <n v="75.599999999999994"/>
    <n v="46"/>
    <n v="69.5"/>
    <x v="1"/>
  </r>
  <r>
    <x v="306"/>
    <x v="306"/>
    <x v="5"/>
    <x v="1"/>
    <n v="14"/>
    <n v="470"/>
    <n v="376"/>
    <n v="271"/>
    <n v="311"/>
    <n v="328"/>
    <n v="314"/>
    <n v="363"/>
    <n v="76.3"/>
    <n v="46.603354000000003"/>
    <n v="1.8883335000000001"/>
    <n v="67.300000000000011"/>
    <n v="29.57957957957958"/>
    <n v="62.5"/>
    <n v="10.891089108910892"/>
    <n v="69"/>
    <n v="68.7"/>
    <n v="63.800000000000004"/>
    <n v="69.399999999999991"/>
    <x v="1"/>
  </r>
  <r>
    <x v="307"/>
    <x v="307"/>
    <x v="0"/>
    <x v="0"/>
    <n v="106"/>
    <n v="413"/>
    <n v="169"/>
    <n v="304"/>
    <n v="352"/>
    <n v="295"/>
    <n v="234"/>
    <n v="405"/>
    <n v="76.3"/>
    <n v="39.783730400000003"/>
    <n v="-100.445882"/>
    <n v="70.599999999999994"/>
    <n v="38.138138138138139"/>
    <n v="83.2"/>
    <n v="0"/>
    <n v="64.900000000000006"/>
    <n v="76.7"/>
    <n v="59.599999999999994"/>
    <n v="69.3"/>
    <x v="1"/>
  </r>
  <r>
    <x v="308"/>
    <x v="308"/>
    <x v="29"/>
    <x v="3"/>
    <n v="2"/>
    <n v="667"/>
    <n v="864"/>
    <n v="304"/>
    <n v="323"/>
    <n v="308"/>
    <n v="282"/>
    <n v="254"/>
    <n v="76.3"/>
    <n v="-41.500083099999998"/>
    <n v="172.83440770000001"/>
    <n v="69.3"/>
    <n v="20"/>
    <n v="13.700000000000001"/>
    <n v="0"/>
    <n v="67.800000000000011"/>
    <n v="71.899999999999991"/>
    <n v="74.7"/>
    <n v="69.199999999999989"/>
    <x v="1"/>
  </r>
  <r>
    <x v="309"/>
    <x v="309"/>
    <x v="5"/>
    <x v="1"/>
    <n v="15"/>
    <n v="667"/>
    <n v="1001"/>
    <n v="304"/>
    <n v="442"/>
    <n v="344"/>
    <n v="191"/>
    <n v="240"/>
    <n v="76.2"/>
    <n v="46.603354000000003"/>
    <n v="1.8883335000000001"/>
    <n v="65.7"/>
    <n v="20"/>
    <n v="0"/>
    <n v="0"/>
    <n v="55.900000000000006"/>
    <n v="81"/>
    <n v="76.099999999999994"/>
    <n v="69.099999999999994"/>
    <x v="1"/>
  </r>
  <r>
    <x v="310"/>
    <x v="310"/>
    <x v="3"/>
    <x v="0"/>
    <n v="15"/>
    <n v="667"/>
    <n v="1001"/>
    <n v="304"/>
    <n v="370"/>
    <n v="302"/>
    <n v="262"/>
    <n v="254"/>
    <n v="76.2"/>
    <n v="61.066692199999999"/>
    <n v="-107.99170700000001"/>
    <n v="69.899999999999991"/>
    <n v="20"/>
    <n v="0"/>
    <n v="0"/>
    <n v="63.1"/>
    <n v="73.900000000000006"/>
    <n v="74.7"/>
    <n v="69"/>
    <x v="1"/>
  </r>
  <r>
    <x v="311"/>
    <x v="311"/>
    <x v="17"/>
    <x v="2"/>
    <n v="16"/>
    <n v="335"/>
    <n v="248"/>
    <n v="304"/>
    <n v="156"/>
    <n v="250"/>
    <n v="396"/>
    <n v="541"/>
    <n v="76.2"/>
    <n v="30.047992000000001"/>
    <n v="-94.335743300000004"/>
    <n v="75.099999999999994"/>
    <n v="49.849849849849846"/>
    <n v="75.3"/>
    <n v="0"/>
    <n v="84.5"/>
    <n v="60.5"/>
    <n v="46"/>
    <n v="68.899999999999991"/>
    <x v="1"/>
  </r>
  <r>
    <x v="312"/>
    <x v="312"/>
    <x v="0"/>
    <x v="0"/>
    <n v="107"/>
    <n v="360"/>
    <n v="386"/>
    <n v="304"/>
    <n v="325"/>
    <n v="298"/>
    <n v="309"/>
    <n v="275"/>
    <n v="76.2"/>
    <n v="39.783730400000003"/>
    <n v="-100.445882"/>
    <n v="70.3"/>
    <n v="46.096096096096097"/>
    <n v="61.5"/>
    <n v="0"/>
    <n v="67.600000000000009"/>
    <n v="69.199999999999989"/>
    <n v="72.599999999999994"/>
    <n v="68.8"/>
    <x v="1"/>
  </r>
  <r>
    <x v="313"/>
    <x v="313"/>
    <x v="12"/>
    <x v="1"/>
    <n v="10"/>
    <n v="667"/>
    <n v="1001"/>
    <n v="164"/>
    <n v="426"/>
    <n v="412"/>
    <n v="307"/>
    <n v="460"/>
    <n v="76.2"/>
    <n v="42.638426099999997"/>
    <n v="12.674296999999999"/>
    <n v="58.9"/>
    <n v="20"/>
    <n v="0"/>
    <n v="46.204620462046201"/>
    <n v="57.499999999999993"/>
    <n v="69.399999999999991"/>
    <n v="54.1"/>
    <n v="68.7"/>
    <x v="1"/>
  </r>
  <r>
    <x v="314"/>
    <x v="314"/>
    <x v="1"/>
    <x v="1"/>
    <n v="29"/>
    <n v="371"/>
    <n v="752"/>
    <n v="304"/>
    <n v="356"/>
    <n v="309"/>
    <n v="294"/>
    <n v="254"/>
    <n v="76.2"/>
    <n v="54.702354499999998"/>
    <n v="-3.2765753000000002"/>
    <n v="69.199999999999989"/>
    <n v="44.444444444444443"/>
    <n v="24.9"/>
    <n v="0"/>
    <n v="64.5"/>
    <n v="70.7"/>
    <n v="74.7"/>
    <n v="68.600000000000009"/>
    <x v="1"/>
  </r>
  <r>
    <x v="315"/>
    <x v="315"/>
    <x v="0"/>
    <x v="0"/>
    <n v="108"/>
    <n v="667"/>
    <n v="1001"/>
    <n v="304"/>
    <n v="489"/>
    <n v="358"/>
    <n v="240"/>
    <n v="167"/>
    <n v="76.099999999999994"/>
    <n v="39.783730400000003"/>
    <n v="-100.445882"/>
    <n v="64.3"/>
    <n v="20"/>
    <n v="0"/>
    <n v="0"/>
    <n v="51.2"/>
    <n v="76.099999999999994"/>
    <n v="83.399999999999991"/>
    <n v="68.5"/>
    <x v="1"/>
  </r>
  <r>
    <x v="316"/>
    <x v="316"/>
    <x v="8"/>
    <x v="1"/>
    <n v="26"/>
    <n v="667"/>
    <n v="1001"/>
    <n v="299"/>
    <n v="278"/>
    <n v="266"/>
    <n v="264"/>
    <n v="460"/>
    <n v="76.099999999999994"/>
    <n v="40.420347900000003"/>
    <n v="-79.116698299999996"/>
    <n v="73.5"/>
    <n v="20"/>
    <n v="0"/>
    <n v="1.6501650165016499"/>
    <n v="72.3"/>
    <n v="73.7"/>
    <n v="54.1"/>
    <n v="68.400000000000006"/>
    <x v="1"/>
  </r>
  <r>
    <x v="317"/>
    <x v="317"/>
    <x v="16"/>
    <x v="1"/>
    <n v="6"/>
    <n v="667"/>
    <n v="1001"/>
    <n v="304"/>
    <n v="251"/>
    <n v="294"/>
    <n v="497"/>
    <n v="200"/>
    <n v="76.099999999999994"/>
    <n v="39.326068499999998"/>
    <n v="-4.8379791000000001"/>
    <n v="70.7"/>
    <n v="20"/>
    <n v="0"/>
    <n v="0"/>
    <n v="75"/>
    <n v="50.4"/>
    <n v="80.100000000000009"/>
    <n v="68.300000000000011"/>
    <x v="1"/>
  </r>
  <r>
    <x v="318"/>
    <x v="318"/>
    <x v="17"/>
    <x v="2"/>
    <n v="17"/>
    <n v="667"/>
    <n v="228"/>
    <n v="304"/>
    <n v="200"/>
    <n v="242"/>
    <n v="661"/>
    <n v="304"/>
    <n v="76.099999999999994"/>
    <n v="30.047992000000001"/>
    <n v="-94.335743300000004"/>
    <n v="75.900000000000006"/>
    <n v="20"/>
    <n v="77.3"/>
    <n v="0"/>
    <n v="80.100000000000009"/>
    <n v="34"/>
    <n v="69.699999999999989"/>
    <n v="68.2"/>
    <x v="1"/>
  </r>
  <r>
    <x v="319"/>
    <x v="319"/>
    <x v="1"/>
    <x v="1"/>
    <n v="30"/>
    <n v="318"/>
    <n v="1001"/>
    <n v="304"/>
    <n v="536"/>
    <n v="391"/>
    <n v="192"/>
    <n v="174"/>
    <n v="76.099999999999994"/>
    <n v="54.702354499999998"/>
    <n v="-3.2765753000000002"/>
    <n v="61"/>
    <n v="52.402402402402402"/>
    <n v="0"/>
    <n v="0"/>
    <n v="46.5"/>
    <n v="80.900000000000006"/>
    <n v="82.699999999999989"/>
    <n v="68.100000000000009"/>
    <x v="1"/>
  </r>
  <r>
    <x v="320"/>
    <x v="320"/>
    <x v="20"/>
    <x v="1"/>
    <n v="7"/>
    <n v="213"/>
    <n v="1001"/>
    <n v="304"/>
    <n v="350"/>
    <n v="320"/>
    <n v="271"/>
    <n v="304"/>
    <n v="76.099999999999994"/>
    <n v="50.6402809"/>
    <n v="4.6667145000000003"/>
    <n v="68.100000000000009"/>
    <n v="68.168168168168165"/>
    <n v="0"/>
    <n v="0"/>
    <n v="65.100000000000009"/>
    <n v="73"/>
    <n v="69.699999999999989"/>
    <n v="68"/>
    <x v="1"/>
  </r>
  <r>
    <x v="321"/>
    <x v="321"/>
    <x v="0"/>
    <x v="0"/>
    <n v="109"/>
    <n v="667"/>
    <n v="1001"/>
    <n v="85"/>
    <n v="560"/>
    <n v="487"/>
    <n v="357"/>
    <n v="460"/>
    <n v="76"/>
    <n v="39.783730400000003"/>
    <n v="-100.445882"/>
    <n v="51.4"/>
    <n v="20"/>
    <n v="0"/>
    <n v="72.277227722772281"/>
    <n v="44.1"/>
    <n v="64.400000000000006"/>
    <n v="54.1"/>
    <n v="67.900000000000006"/>
    <x v="1"/>
  </r>
  <r>
    <x v="322"/>
    <x v="322"/>
    <x v="34"/>
    <x v="2"/>
    <n v="1"/>
    <n v="667"/>
    <n v="1001"/>
    <n v="304"/>
    <n v="255"/>
    <n v="357"/>
    <n v="274"/>
    <n v="363"/>
    <n v="76"/>
    <n v="25.624261799999999"/>
    <n v="42.352832800000002"/>
    <n v="64.400000000000006"/>
    <n v="20"/>
    <n v="0"/>
    <n v="0"/>
    <n v="74.599999999999994"/>
    <n v="72.7"/>
    <n v="63.800000000000004"/>
    <n v="67.800000000000011"/>
    <x v="1"/>
  </r>
  <r>
    <x v="323"/>
    <x v="323"/>
    <x v="10"/>
    <x v="3"/>
    <n v="10"/>
    <n v="667"/>
    <n v="667"/>
    <n v="277"/>
    <n v="393"/>
    <n v="339"/>
    <n v="299"/>
    <n v="327"/>
    <n v="76"/>
    <n v="-24.776108600000001"/>
    <n v="134.755"/>
    <n v="66.2"/>
    <n v="20"/>
    <n v="33.4"/>
    <n v="8.9108910891089099"/>
    <n v="60.8"/>
    <n v="70.199999999999989"/>
    <n v="67.400000000000006"/>
    <n v="67.7"/>
    <x v="1"/>
  </r>
  <r>
    <x v="324"/>
    <x v="324"/>
    <x v="35"/>
    <x v="4"/>
    <n v="1"/>
    <n v="252"/>
    <n v="221"/>
    <n v="235"/>
    <n v="385"/>
    <n v="428"/>
    <n v="330"/>
    <n v="405"/>
    <n v="76"/>
    <n v="-31.761336499999999"/>
    <n v="-71.318769700000004"/>
    <n v="57.3"/>
    <n v="62.312312312312315"/>
    <n v="78"/>
    <n v="22.772277227722775"/>
    <n v="61.6"/>
    <n v="67.100000000000009"/>
    <n v="59.599999999999994"/>
    <n v="67.600000000000009"/>
    <x v="1"/>
  </r>
  <r>
    <x v="325"/>
    <x v="325"/>
    <x v="3"/>
    <x v="0"/>
    <n v="16"/>
    <n v="667"/>
    <n v="1001"/>
    <n v="304"/>
    <n v="360"/>
    <n v="352"/>
    <n v="325"/>
    <n v="200"/>
    <n v="76"/>
    <n v="61.066692199999999"/>
    <n v="-107.99170700000001"/>
    <n v="64.900000000000006"/>
    <n v="20"/>
    <n v="0"/>
    <n v="0"/>
    <n v="64.099999999999994"/>
    <n v="67.600000000000009"/>
    <n v="80.100000000000009"/>
    <n v="67.5"/>
    <x v="1"/>
  </r>
  <r>
    <x v="326"/>
    <x v="326"/>
    <x v="8"/>
    <x v="1"/>
    <n v="27"/>
    <n v="667"/>
    <n v="727"/>
    <n v="304"/>
    <n v="386"/>
    <n v="341"/>
    <n v="258"/>
    <n v="275"/>
    <n v="76"/>
    <n v="40.420347900000003"/>
    <n v="-79.116698299999996"/>
    <n v="66"/>
    <n v="20"/>
    <n v="27.400000000000002"/>
    <n v="0"/>
    <n v="61.5"/>
    <n v="74.3"/>
    <n v="72.599999999999994"/>
    <n v="67.400000000000006"/>
    <x v="1"/>
  </r>
  <r>
    <x v="327"/>
    <x v="327"/>
    <x v="17"/>
    <x v="2"/>
    <n v="18"/>
    <n v="667"/>
    <n v="262"/>
    <n v="304"/>
    <n v="129"/>
    <n v="262"/>
    <n v="617"/>
    <n v="460"/>
    <n v="76"/>
    <n v="30.047992000000001"/>
    <n v="-94.335743300000004"/>
    <n v="73.900000000000006"/>
    <n v="20"/>
    <n v="73.900000000000006"/>
    <n v="0"/>
    <n v="87.2"/>
    <n v="38.4"/>
    <n v="54.1"/>
    <n v="67.300000000000011"/>
    <x v="1"/>
  </r>
  <r>
    <x v="328"/>
    <x v="328"/>
    <x v="5"/>
    <x v="1"/>
    <n v="16"/>
    <n v="200"/>
    <n v="1001"/>
    <n v="261"/>
    <n v="388"/>
    <n v="354"/>
    <n v="572"/>
    <n v="200"/>
    <n v="75.900000000000006"/>
    <n v="46.603354000000003"/>
    <n v="1.8883335000000001"/>
    <n v="64.7"/>
    <n v="70.12012012012012"/>
    <n v="0"/>
    <n v="14.19141914191419"/>
    <n v="61.3"/>
    <n v="42.9"/>
    <n v="80.100000000000009"/>
    <n v="67.2"/>
    <x v="1"/>
  </r>
  <r>
    <x v="329"/>
    <x v="329"/>
    <x v="0"/>
    <x v="0"/>
    <n v="110"/>
    <n v="274"/>
    <n v="1001"/>
    <n v="304"/>
    <n v="461"/>
    <n v="368"/>
    <n v="331"/>
    <n v="151"/>
    <n v="75.900000000000006"/>
    <n v="39.783730400000003"/>
    <n v="-100.445882"/>
    <n v="63.3"/>
    <n v="59.009009009009006"/>
    <n v="0"/>
    <n v="0"/>
    <n v="54"/>
    <n v="67"/>
    <n v="85"/>
    <n v="67.100000000000009"/>
    <x v="1"/>
  </r>
  <r>
    <x v="330"/>
    <x v="330"/>
    <x v="5"/>
    <x v="1"/>
    <n v="17"/>
    <n v="315"/>
    <n v="7"/>
    <n v="214"/>
    <n v="1001"/>
    <n v="1001"/>
    <n v="824"/>
    <n v="1001"/>
    <n v="75.900000000000006"/>
    <n v="46.603354000000003"/>
    <n v="1.8883335000000001"/>
    <n v="0"/>
    <n v="52.852852852852848"/>
    <n v="99.4"/>
    <n v="29.702970297029701"/>
    <n v="0"/>
    <n v="17.7"/>
    <n v="0"/>
    <n v="67"/>
    <x v="1"/>
  </r>
  <r>
    <x v="331"/>
    <x v="331"/>
    <x v="1"/>
    <x v="1"/>
    <n v="31"/>
    <n v="279"/>
    <n v="811"/>
    <n v="304"/>
    <n v="437"/>
    <n v="318"/>
    <n v="197"/>
    <n v="405"/>
    <n v="75.900000000000006"/>
    <n v="54.702354499999998"/>
    <n v="-3.2765753000000002"/>
    <n v="68.300000000000011"/>
    <n v="58.258258258258252"/>
    <n v="19"/>
    <n v="0"/>
    <n v="56.399999999999991"/>
    <n v="80.400000000000006"/>
    <n v="59.599999999999994"/>
    <n v="66.900000000000006"/>
    <x v="1"/>
  </r>
  <r>
    <x v="332"/>
    <x v="332"/>
    <x v="0"/>
    <x v="0"/>
    <n v="111"/>
    <n v="667"/>
    <n v="1001"/>
    <n v="304"/>
    <n v="421"/>
    <n v="333"/>
    <n v="320"/>
    <n v="222"/>
    <n v="75.900000000000006"/>
    <n v="39.783730400000003"/>
    <n v="-100.445882"/>
    <n v="66.8"/>
    <n v="20"/>
    <n v="0"/>
    <n v="0"/>
    <n v="57.999999999999993"/>
    <n v="68.100000000000009"/>
    <n v="77.900000000000006"/>
    <n v="66.8"/>
    <x v="1"/>
  </r>
  <r>
    <x v="333"/>
    <x v="333"/>
    <x v="17"/>
    <x v="2"/>
    <n v="19"/>
    <n v="463"/>
    <n v="551"/>
    <n v="304"/>
    <n v="100"/>
    <n v="185"/>
    <n v="462"/>
    <n v="1001"/>
    <n v="75.900000000000006"/>
    <n v="30.047992000000001"/>
    <n v="-94.335743300000004"/>
    <n v="81.599999999999994"/>
    <n v="30.630630630630627"/>
    <n v="45"/>
    <n v="0"/>
    <n v="90.100000000000009"/>
    <n v="53.900000000000006"/>
    <n v="0"/>
    <n v="66.7"/>
    <x v="1"/>
  </r>
  <r>
    <x v="334"/>
    <x v="334"/>
    <x v="17"/>
    <x v="2"/>
    <n v="20"/>
    <n v="667"/>
    <n v="383"/>
    <n v="304"/>
    <n v="143"/>
    <n v="207"/>
    <n v="458"/>
    <n v="898"/>
    <n v="75.8"/>
    <n v="30.047992000000001"/>
    <n v="-94.335743300000004"/>
    <n v="79.400000000000006"/>
    <n v="20"/>
    <n v="61.8"/>
    <n v="0"/>
    <n v="85.8"/>
    <n v="54.300000000000004"/>
    <n v="10.299999999999999"/>
    <n v="66.600000000000009"/>
    <x v="1"/>
  </r>
  <r>
    <x v="335"/>
    <x v="335"/>
    <x v="11"/>
    <x v="2"/>
    <n v="7"/>
    <n v="667"/>
    <n v="241"/>
    <n v="304"/>
    <n v="194"/>
    <n v="276"/>
    <n v="479"/>
    <n v="460"/>
    <n v="75.8"/>
    <n v="36.638392000000003"/>
    <n v="127.69611879999999"/>
    <n v="72.5"/>
    <n v="20"/>
    <n v="76"/>
    <n v="0"/>
    <n v="80.7"/>
    <n v="52.2"/>
    <n v="54.1"/>
    <n v="66.5"/>
    <x v="1"/>
  </r>
  <r>
    <x v="336"/>
    <x v="336"/>
    <x v="17"/>
    <x v="2"/>
    <n v="21"/>
    <n v="628"/>
    <n v="354"/>
    <n v="304"/>
    <n v="252"/>
    <n v="254"/>
    <n v="468"/>
    <n v="405"/>
    <n v="75.8"/>
    <n v="30.047992000000001"/>
    <n v="-94.335743300000004"/>
    <n v="74.7"/>
    <n v="20"/>
    <n v="64.7"/>
    <n v="0"/>
    <n v="74.900000000000006"/>
    <n v="53.300000000000004"/>
    <n v="59.599999999999994"/>
    <n v="66.400000000000006"/>
    <x v="1"/>
  </r>
  <r>
    <x v="337"/>
    <x v="337"/>
    <x v="6"/>
    <x v="1"/>
    <n v="4"/>
    <n v="667"/>
    <n v="1001"/>
    <n v="304"/>
    <n v="376"/>
    <n v="329"/>
    <n v="280"/>
    <n v="327"/>
    <n v="75.8"/>
    <n v="55.670248999999998"/>
    <n v="10.3333283"/>
    <n v="67.2"/>
    <n v="20"/>
    <n v="0"/>
    <n v="0"/>
    <n v="62.5"/>
    <n v="72.099999999999994"/>
    <n v="67.400000000000006"/>
    <n v="66.3"/>
    <x v="1"/>
  </r>
  <r>
    <x v="338"/>
    <x v="338"/>
    <x v="18"/>
    <x v="1"/>
    <n v="2"/>
    <n v="667"/>
    <n v="1001"/>
    <n v="304"/>
    <n v="355"/>
    <n v="322"/>
    <n v="277"/>
    <n v="363"/>
    <n v="75.8"/>
    <n v="63.246777700000003"/>
    <n v="25.920916399999999"/>
    <n v="67.900000000000006"/>
    <n v="20"/>
    <n v="0"/>
    <n v="0"/>
    <n v="64.600000000000009"/>
    <n v="72.399999999999991"/>
    <n v="63.800000000000004"/>
    <n v="66.2"/>
    <x v="1"/>
  </r>
  <r>
    <x v="339"/>
    <x v="339"/>
    <x v="23"/>
    <x v="2"/>
    <n v="3"/>
    <n v="667"/>
    <n v="496"/>
    <n v="304"/>
    <n v="354"/>
    <n v="265"/>
    <n v="465"/>
    <n v="254"/>
    <n v="75.8"/>
    <n v="22.350626999999999"/>
    <n v="114.1849161"/>
    <n v="73.599999999999994"/>
    <n v="20"/>
    <n v="50.5"/>
    <n v="0"/>
    <n v="64.7"/>
    <n v="53.6"/>
    <n v="74.7"/>
    <n v="66.100000000000009"/>
    <x v="1"/>
  </r>
  <r>
    <x v="340"/>
    <x v="340"/>
    <x v="0"/>
    <x v="0"/>
    <n v="112"/>
    <n v="537"/>
    <n v="754"/>
    <n v="304"/>
    <n v="382"/>
    <n v="321"/>
    <n v="296"/>
    <n v="327"/>
    <n v="75.8"/>
    <n v="39.783730400000003"/>
    <n v="-100.445882"/>
    <n v="68"/>
    <n v="20"/>
    <n v="24.7"/>
    <n v="0"/>
    <n v="61.9"/>
    <n v="70.5"/>
    <n v="67.400000000000006"/>
    <n v="66"/>
    <x v="1"/>
  </r>
  <r>
    <x v="341"/>
    <x v="341"/>
    <x v="23"/>
    <x v="2"/>
    <n v="4"/>
    <n v="667"/>
    <n v="301"/>
    <n v="304"/>
    <n v="238"/>
    <n v="243"/>
    <n v="877"/>
    <n v="304"/>
    <n v="75.7"/>
    <n v="22.350626999999999"/>
    <n v="114.1849161"/>
    <n v="75.8"/>
    <n v="20"/>
    <n v="70"/>
    <n v="0"/>
    <n v="76.3"/>
    <n v="12.4"/>
    <n v="69.699999999999989"/>
    <n v="65.900000000000006"/>
    <x v="1"/>
  </r>
  <r>
    <x v="342"/>
    <x v="342"/>
    <x v="36"/>
    <x v="1"/>
    <n v="1"/>
    <n v="542"/>
    <n v="1001"/>
    <n v="304"/>
    <n v="157"/>
    <n v="370"/>
    <n v="491"/>
    <n v="327"/>
    <n v="75.7"/>
    <s v="44.024322850000004"/>
    <s v="21.07657433209902"/>
    <n v="63.1"/>
    <n v="20"/>
    <n v="0"/>
    <n v="0"/>
    <n v="84.399999999999991"/>
    <n v="51"/>
    <n v="67.400000000000006"/>
    <n v="65.8"/>
    <x v="1"/>
  </r>
  <r>
    <x v="343"/>
    <x v="343"/>
    <x v="0"/>
    <x v="0"/>
    <n v="113"/>
    <n v="581"/>
    <n v="144"/>
    <n v="304"/>
    <n v="473"/>
    <n v="360"/>
    <n v="247"/>
    <n v="363"/>
    <n v="75.7"/>
    <n v="39.783730400000003"/>
    <n v="-100.445882"/>
    <n v="64.099999999999994"/>
    <n v="20"/>
    <n v="85.7"/>
    <n v="0"/>
    <n v="52.800000000000004"/>
    <n v="75.400000000000006"/>
    <n v="63.800000000000004"/>
    <n v="65.7"/>
    <x v="1"/>
  </r>
  <r>
    <x v="344"/>
    <x v="344"/>
    <x v="8"/>
    <x v="1"/>
    <n v="28"/>
    <n v="185"/>
    <n v="358"/>
    <n v="238"/>
    <n v="479"/>
    <n v="441"/>
    <n v="391"/>
    <n v="304"/>
    <n v="75.7"/>
    <n v="40.420347900000003"/>
    <n v="-79.116698299999996"/>
    <n v="56.000000000000007"/>
    <n v="72.372372372372368"/>
    <n v="64.3"/>
    <n v="21.782178217821784"/>
    <n v="52.2"/>
    <n v="61"/>
    <n v="69.699999999999989"/>
    <n v="65.600000000000009"/>
    <x v="1"/>
  </r>
  <r>
    <x v="345"/>
    <x v="345"/>
    <x v="17"/>
    <x v="2"/>
    <n v="22"/>
    <n v="667"/>
    <n v="257"/>
    <n v="304"/>
    <n v="176"/>
    <n v="269"/>
    <n v="745"/>
    <n v="405"/>
    <n v="75.7"/>
    <n v="30.047992000000001"/>
    <n v="-94.335743300000004"/>
    <n v="73.2"/>
    <n v="20"/>
    <n v="74.400000000000006"/>
    <n v="0"/>
    <n v="82.5"/>
    <n v="25.6"/>
    <n v="59.599999999999994"/>
    <n v="65.5"/>
    <x v="1"/>
  </r>
  <r>
    <x v="346"/>
    <x v="346"/>
    <x v="17"/>
    <x v="2"/>
    <n v="23"/>
    <n v="667"/>
    <n v="172"/>
    <n v="304"/>
    <n v="182"/>
    <n v="249"/>
    <n v="677"/>
    <n v="541"/>
    <n v="75.7"/>
    <n v="30.047992000000001"/>
    <n v="-94.335743300000004"/>
    <n v="75.2"/>
    <n v="20"/>
    <n v="82.899999999999991"/>
    <n v="0"/>
    <n v="81.899999999999991"/>
    <n v="32.4"/>
    <n v="46"/>
    <n v="65.400000000000006"/>
    <x v="1"/>
  </r>
  <r>
    <x v="347"/>
    <x v="347"/>
    <x v="11"/>
    <x v="2"/>
    <n v="8"/>
    <n v="667"/>
    <n v="1001"/>
    <n v="304"/>
    <n v="363"/>
    <n v="315"/>
    <n v="352"/>
    <n v="304"/>
    <n v="75.7"/>
    <n v="36.638392000000003"/>
    <n v="127.69611879999999"/>
    <n v="68.600000000000009"/>
    <n v="20"/>
    <n v="0"/>
    <n v="0"/>
    <n v="63.800000000000004"/>
    <n v="64.900000000000006"/>
    <n v="69.699999999999989"/>
    <n v="65.3"/>
    <x v="1"/>
  </r>
  <r>
    <x v="348"/>
    <x v="348"/>
    <x v="12"/>
    <x v="1"/>
    <n v="11"/>
    <n v="667"/>
    <n v="1001"/>
    <n v="304"/>
    <n v="306"/>
    <n v="327"/>
    <n v="385"/>
    <n v="304"/>
    <n v="75.599999999999994"/>
    <n v="42.638426099999997"/>
    <n v="12.674296999999999"/>
    <n v="67.400000000000006"/>
    <n v="20"/>
    <n v="0"/>
    <n v="0"/>
    <n v="69.5"/>
    <n v="61.6"/>
    <n v="69.699999999999989"/>
    <n v="65.2"/>
    <x v="1"/>
  </r>
  <r>
    <x v="349"/>
    <x v="349"/>
    <x v="8"/>
    <x v="1"/>
    <n v="29"/>
    <n v="667"/>
    <n v="1001"/>
    <n v="304"/>
    <n v="373"/>
    <n v="332"/>
    <n v="226"/>
    <n v="460"/>
    <n v="75.599999999999994"/>
    <n v="40.420347900000003"/>
    <n v="-79.116698299999996"/>
    <n v="66.900000000000006"/>
    <n v="20"/>
    <n v="0"/>
    <n v="0"/>
    <n v="62.8"/>
    <n v="77.5"/>
    <n v="54.1"/>
    <n v="65.100000000000009"/>
    <x v="1"/>
  </r>
  <r>
    <x v="350"/>
    <x v="350"/>
    <x v="10"/>
    <x v="3"/>
    <n v="11"/>
    <n v="667"/>
    <n v="1001"/>
    <n v="304"/>
    <n v="361"/>
    <n v="375"/>
    <n v="351"/>
    <n v="240"/>
    <n v="75.599999999999994"/>
    <n v="-24.776108600000001"/>
    <n v="134.755"/>
    <n v="62.6"/>
    <n v="20"/>
    <n v="0"/>
    <n v="0"/>
    <n v="64"/>
    <n v="65"/>
    <n v="76.099999999999994"/>
    <n v="65"/>
    <x v="1"/>
  </r>
  <r>
    <x v="351"/>
    <x v="351"/>
    <x v="0"/>
    <x v="0"/>
    <n v="114"/>
    <n v="130"/>
    <n v="920"/>
    <n v="204"/>
    <n v="600"/>
    <n v="473"/>
    <n v="411"/>
    <n v="254"/>
    <n v="75.599999999999994"/>
    <n v="39.783730400000003"/>
    <n v="-100.445882"/>
    <n v="52.800000000000004"/>
    <n v="80.630630630630634"/>
    <n v="8.1"/>
    <n v="33.003300330032999"/>
    <n v="40.1"/>
    <n v="59"/>
    <n v="74.7"/>
    <n v="64.900000000000006"/>
    <x v="1"/>
  </r>
  <r>
    <x v="352"/>
    <x v="352"/>
    <x v="8"/>
    <x v="1"/>
    <n v="30"/>
    <n v="667"/>
    <n v="1001"/>
    <n v="304"/>
    <n v="387"/>
    <n v="356"/>
    <n v="390"/>
    <n v="222"/>
    <n v="75.599999999999994"/>
    <n v="40.420347900000003"/>
    <n v="-79.116698299999996"/>
    <n v="64.5"/>
    <n v="20"/>
    <n v="0"/>
    <n v="0"/>
    <n v="61.4"/>
    <n v="61.1"/>
    <n v="77.900000000000006"/>
    <n v="64.8"/>
    <x v="1"/>
  </r>
  <r>
    <x v="353"/>
    <x v="353"/>
    <x v="0"/>
    <x v="0"/>
    <n v="115"/>
    <n v="667"/>
    <n v="292"/>
    <n v="304"/>
    <n v="444"/>
    <n v="378"/>
    <n v="386"/>
    <n v="187"/>
    <n v="75.599999999999994"/>
    <n v="39.783730400000003"/>
    <n v="-100.445882"/>
    <n v="62.3"/>
    <n v="20"/>
    <n v="70.899999999999991"/>
    <n v="0"/>
    <n v="55.7"/>
    <n v="61.5"/>
    <n v="81.399999999999991"/>
    <n v="64.7"/>
    <x v="1"/>
  </r>
  <r>
    <x v="354"/>
    <x v="354"/>
    <x v="18"/>
    <x v="1"/>
    <n v="3"/>
    <n v="667"/>
    <n v="238"/>
    <n v="304"/>
    <n v="340"/>
    <n v="319"/>
    <n v="398"/>
    <n v="363"/>
    <n v="75.599999999999994"/>
    <n v="63.246777700000003"/>
    <n v="25.920916399999999"/>
    <n v="68.2"/>
    <n v="20"/>
    <n v="76.3"/>
    <n v="0"/>
    <n v="66.100000000000009"/>
    <n v="60.3"/>
    <n v="63.800000000000004"/>
    <n v="64.600000000000009"/>
    <x v="1"/>
  </r>
  <r>
    <x v="355"/>
    <x v="355"/>
    <x v="16"/>
    <x v="1"/>
    <n v="7"/>
    <n v="667"/>
    <n v="1001"/>
    <n v="304"/>
    <n v="559"/>
    <n v="402"/>
    <n v="155"/>
    <n v="405"/>
    <n v="75.5"/>
    <n v="39.326068499999998"/>
    <n v="-4.8379791000000001"/>
    <n v="59.9"/>
    <n v="20"/>
    <n v="0"/>
    <n v="0"/>
    <n v="44.2"/>
    <n v="84.6"/>
    <n v="59.599999999999994"/>
    <n v="64.5"/>
    <x v="1"/>
  </r>
  <r>
    <x v="356"/>
    <x v="356"/>
    <x v="9"/>
    <x v="1"/>
    <n v="8"/>
    <n v="667"/>
    <n v="549"/>
    <n v="304"/>
    <n v="343"/>
    <n v="330"/>
    <n v="388"/>
    <n v="327"/>
    <n v="75.5"/>
    <n v="44.133434999999999"/>
    <n v="-70.822677999999996"/>
    <n v="67.100000000000009"/>
    <n v="20"/>
    <n v="45.2"/>
    <n v="0"/>
    <n v="65.8"/>
    <n v="61.3"/>
    <n v="67.400000000000006"/>
    <n v="64.400000000000006"/>
    <x v="1"/>
  </r>
  <r>
    <x v="357"/>
    <x v="357"/>
    <x v="23"/>
    <x v="2"/>
    <n v="5"/>
    <n v="667"/>
    <n v="1001"/>
    <n v="304"/>
    <n v="262"/>
    <n v="239"/>
    <n v="798"/>
    <n v="327"/>
    <n v="75.5"/>
    <n v="22.350626999999999"/>
    <n v="114.1849161"/>
    <n v="76.2"/>
    <n v="20"/>
    <n v="0"/>
    <n v="0"/>
    <n v="73.900000000000006"/>
    <n v="20.3"/>
    <n v="67.400000000000006"/>
    <n v="64.3"/>
    <x v="1"/>
  </r>
  <r>
    <x v="358"/>
    <x v="358"/>
    <x v="16"/>
    <x v="1"/>
    <n v="8"/>
    <n v="667"/>
    <n v="1001"/>
    <n v="304"/>
    <n v="288"/>
    <n v="296"/>
    <n v="343"/>
    <n v="541"/>
    <n v="75.5"/>
    <n v="39.326068499999998"/>
    <n v="-4.8379791000000001"/>
    <n v="70.5"/>
    <n v="20"/>
    <n v="0"/>
    <n v="0"/>
    <n v="71.3"/>
    <n v="65.8"/>
    <n v="46"/>
    <n v="64.2"/>
    <x v="1"/>
  </r>
  <r>
    <x v="359"/>
    <x v="359"/>
    <x v="15"/>
    <x v="4"/>
    <n v="3"/>
    <n v="667"/>
    <n v="1001"/>
    <n v="304"/>
    <n v="163"/>
    <n v="307"/>
    <n v="528"/>
    <n v="541"/>
    <n v="75.5"/>
    <n v="-10.3333333"/>
    <n v="-53.2"/>
    <n v="69.399999999999991"/>
    <n v="20"/>
    <n v="0"/>
    <n v="0"/>
    <n v="83.8"/>
    <n v="47.3"/>
    <n v="46"/>
    <n v="64.099999999999994"/>
    <x v="1"/>
  </r>
  <r>
    <x v="360"/>
    <x v="360"/>
    <x v="17"/>
    <x v="2"/>
    <n v="24"/>
    <n v="667"/>
    <n v="1001"/>
    <n v="304"/>
    <n v="226"/>
    <n v="271"/>
    <n v="704"/>
    <n v="405"/>
    <n v="75.5"/>
    <n v="30.047992000000001"/>
    <n v="-94.335743300000004"/>
    <n v="73"/>
    <n v="20"/>
    <n v="0"/>
    <n v="0"/>
    <n v="77.5"/>
    <n v="29.7"/>
    <n v="59.599999999999994"/>
    <n v="64"/>
    <x v="1"/>
  </r>
  <r>
    <x v="361"/>
    <x v="361"/>
    <x v="0"/>
    <x v="0"/>
    <n v="116"/>
    <n v="288"/>
    <n v="451"/>
    <n v="304"/>
    <n v="448"/>
    <n v="409"/>
    <n v="336"/>
    <n v="254"/>
    <n v="75.5"/>
    <n v="39.783730400000003"/>
    <n v="-100.445882"/>
    <n v="59.199999999999996"/>
    <n v="56.906906906906904"/>
    <n v="55.000000000000007"/>
    <n v="0"/>
    <n v="55.300000000000004"/>
    <n v="66.5"/>
    <n v="74.7"/>
    <n v="63.9"/>
    <x v="1"/>
  </r>
  <r>
    <x v="362"/>
    <x v="362"/>
    <x v="3"/>
    <x v="0"/>
    <n v="17"/>
    <n v="667"/>
    <n v="1001"/>
    <n v="304"/>
    <n v="428"/>
    <n v="351"/>
    <n v="365"/>
    <n v="275"/>
    <n v="75.400000000000006"/>
    <n v="61.066692199999999"/>
    <n v="-107.99170700000001"/>
    <n v="65"/>
    <n v="20"/>
    <n v="0"/>
    <n v="0"/>
    <n v="57.3"/>
    <n v="63.6"/>
    <n v="72.599999999999994"/>
    <n v="63.800000000000004"/>
    <x v="1"/>
  </r>
  <r>
    <x v="363"/>
    <x v="363"/>
    <x v="12"/>
    <x v="1"/>
    <n v="12"/>
    <n v="263"/>
    <n v="458"/>
    <n v="272"/>
    <n v="344"/>
    <n v="345"/>
    <n v="628"/>
    <n v="363"/>
    <n v="75.400000000000006"/>
    <n v="42.638426099999997"/>
    <n v="12.674296999999999"/>
    <n v="65.600000000000009"/>
    <n v="60.66066066066066"/>
    <n v="54.300000000000004"/>
    <n v="10.561056105610561"/>
    <n v="65.7"/>
    <n v="37.299999999999997"/>
    <n v="63.800000000000004"/>
    <n v="63.7"/>
    <x v="1"/>
  </r>
  <r>
    <x v="364"/>
    <x v="364"/>
    <x v="18"/>
    <x v="1"/>
    <n v="4"/>
    <n v="503"/>
    <n v="665"/>
    <n v="304"/>
    <n v="446"/>
    <n v="407"/>
    <n v="310"/>
    <n v="275"/>
    <n v="75.400000000000006"/>
    <n v="63.246777700000003"/>
    <n v="25.920916399999999"/>
    <n v="59.4"/>
    <n v="24.624624624624623"/>
    <n v="33.6"/>
    <n v="0"/>
    <n v="55.500000000000007"/>
    <n v="69.099999999999994"/>
    <n v="72.599999999999994"/>
    <n v="63.6"/>
    <x v="1"/>
  </r>
  <r>
    <x v="365"/>
    <x v="365"/>
    <x v="12"/>
    <x v="1"/>
    <n v="13"/>
    <n v="560"/>
    <n v="675"/>
    <n v="300"/>
    <n v="375"/>
    <n v="361"/>
    <n v="434"/>
    <n v="275"/>
    <n v="75.400000000000006"/>
    <n v="42.638426099999997"/>
    <n v="12.674296999999999"/>
    <n v="64"/>
    <n v="20"/>
    <n v="32.6"/>
    <n v="1.3201320132013201"/>
    <n v="62.6"/>
    <n v="56.699999999999996"/>
    <n v="72.599999999999994"/>
    <n v="63.5"/>
    <x v="1"/>
  </r>
  <r>
    <x v="366"/>
    <x v="366"/>
    <x v="17"/>
    <x v="2"/>
    <n v="25"/>
    <n v="385"/>
    <n v="1001"/>
    <n v="304"/>
    <n v="175"/>
    <n v="286"/>
    <n v="654"/>
    <n v="541"/>
    <n v="75.400000000000006"/>
    <n v="30.047992000000001"/>
    <n v="-94.335743300000004"/>
    <n v="71.5"/>
    <n v="42.342342342342342"/>
    <n v="0"/>
    <n v="0"/>
    <n v="82.6"/>
    <n v="34.699999999999996"/>
    <n v="46"/>
    <n v="63.4"/>
    <x v="1"/>
  </r>
  <r>
    <x v="367"/>
    <x v="367"/>
    <x v="9"/>
    <x v="1"/>
    <n v="9"/>
    <n v="196"/>
    <n v="1001"/>
    <n v="304"/>
    <n v="430"/>
    <n v="379"/>
    <n v="297"/>
    <n v="363"/>
    <n v="75.400000000000006"/>
    <n v="44.133434999999999"/>
    <n v="-70.822677999999996"/>
    <n v="62.2"/>
    <n v="70.72072072072072"/>
    <n v="0"/>
    <n v="0"/>
    <n v="57.099999999999994"/>
    <n v="70.399999999999991"/>
    <n v="63.800000000000004"/>
    <n v="63.3"/>
    <x v="1"/>
  </r>
  <r>
    <x v="368"/>
    <x v="368"/>
    <x v="17"/>
    <x v="2"/>
    <n v="26"/>
    <n v="667"/>
    <n v="177"/>
    <n v="304"/>
    <n v="246"/>
    <n v="260"/>
    <n v="471"/>
    <n v="898"/>
    <n v="75.400000000000006"/>
    <n v="30.047992000000001"/>
    <n v="-94.335743300000004"/>
    <n v="74.099999999999994"/>
    <n v="20"/>
    <n v="82.399999999999991"/>
    <n v="0"/>
    <n v="75.5"/>
    <n v="53"/>
    <n v="10.299999999999999"/>
    <n v="63.2"/>
    <x v="1"/>
  </r>
  <r>
    <x v="369"/>
    <x v="369"/>
    <x v="37"/>
    <x v="1"/>
    <n v="1"/>
    <n v="667"/>
    <n v="1001"/>
    <n v="304"/>
    <n v="260"/>
    <n v="374"/>
    <n v="415"/>
    <n v="405"/>
    <n v="75.3"/>
    <n v="46.119944400000001"/>
    <n v="14.815333300000001"/>
    <n v="62.7"/>
    <n v="20"/>
    <n v="0"/>
    <n v="0"/>
    <n v="74.099999999999994"/>
    <n v="58.599999999999994"/>
    <n v="59.599999999999994"/>
    <n v="63.1"/>
    <x v="1"/>
  </r>
  <r>
    <x v="370"/>
    <x v="370"/>
    <x v="38"/>
    <x v="2"/>
    <n v="1"/>
    <n v="667"/>
    <n v="1001"/>
    <n v="304"/>
    <n v="66"/>
    <n v="406"/>
    <n v="1001"/>
    <n v="460"/>
    <n v="75.3"/>
    <n v="2.9368696000000001"/>
    <n v="115.4443356"/>
    <n v="59.5"/>
    <n v="20"/>
    <n v="0"/>
    <n v="0"/>
    <n v="93.5"/>
    <n v="0"/>
    <n v="54.1"/>
    <n v="63"/>
    <x v="1"/>
  </r>
  <r>
    <x v="371"/>
    <x v="371"/>
    <x v="15"/>
    <x v="4"/>
    <n v="4"/>
    <n v="667"/>
    <n v="1001"/>
    <n v="304"/>
    <n v="128"/>
    <n v="347"/>
    <n v="639"/>
    <n v="541"/>
    <n v="75.3"/>
    <n v="-10.3333333"/>
    <n v="-53.2"/>
    <n v="65.400000000000006"/>
    <n v="20"/>
    <n v="0"/>
    <n v="0"/>
    <n v="87.3"/>
    <n v="36.199999999999996"/>
    <n v="46"/>
    <n v="62.9"/>
    <x v="1"/>
  </r>
  <r>
    <x v="372"/>
    <x v="372"/>
    <x v="0"/>
    <x v="0"/>
    <n v="117"/>
    <n v="667"/>
    <n v="508"/>
    <n v="120"/>
    <n v="762"/>
    <n v="612"/>
    <n v="340"/>
    <n v="405"/>
    <n v="75.3"/>
    <n v="39.783730400000003"/>
    <n v="-100.445882"/>
    <n v="38.9"/>
    <n v="20"/>
    <n v="49.3"/>
    <n v="60.726072607260726"/>
    <n v="23.9"/>
    <n v="66.100000000000009"/>
    <n v="59.599999999999994"/>
    <n v="62.8"/>
    <x v="1"/>
  </r>
  <r>
    <x v="373"/>
    <x v="373"/>
    <x v="0"/>
    <x v="0"/>
    <n v="118"/>
    <n v="667"/>
    <n v="1001"/>
    <n v="304"/>
    <n v="499"/>
    <n v="387"/>
    <n v="268"/>
    <n v="327"/>
    <n v="75.3"/>
    <n v="39.783730400000003"/>
    <n v="-100.445882"/>
    <n v="61.4"/>
    <n v="20"/>
    <n v="0"/>
    <n v="0"/>
    <n v="50.2"/>
    <n v="73.3"/>
    <n v="67.400000000000006"/>
    <n v="62.7"/>
    <x v="1"/>
  </r>
  <r>
    <x v="374"/>
    <x v="374"/>
    <x v="33"/>
    <x v="1"/>
    <n v="2"/>
    <n v="667"/>
    <n v="1001"/>
    <n v="304"/>
    <n v="285"/>
    <n v="384"/>
    <n v="670"/>
    <n v="240"/>
    <n v="75.3"/>
    <n v="43.209783799999997"/>
    <n v="-77.693060200000005"/>
    <n v="61.7"/>
    <n v="20"/>
    <n v="0"/>
    <n v="0"/>
    <n v="71.599999999999994"/>
    <n v="33.1"/>
    <n v="76.099999999999994"/>
    <n v="62.6"/>
    <x v="1"/>
  </r>
  <r>
    <x v="375"/>
    <x v="375"/>
    <x v="0"/>
    <x v="0"/>
    <n v="119"/>
    <n v="372"/>
    <n v="459"/>
    <n v="304"/>
    <n v="524"/>
    <n v="389"/>
    <n v="301"/>
    <n v="304"/>
    <n v="75.3"/>
    <n v="39.783730400000003"/>
    <n v="-100.445882"/>
    <n v="61.199999999999996"/>
    <n v="44.294294294294296"/>
    <n v="54.2"/>
    <n v="0"/>
    <n v="47.699999999999996"/>
    <n v="70"/>
    <n v="69.699999999999989"/>
    <n v="62.5"/>
    <x v="1"/>
  </r>
  <r>
    <x v="376"/>
    <x v="376"/>
    <x v="2"/>
    <x v="2"/>
    <n v="13"/>
    <n v="667"/>
    <n v="1001"/>
    <n v="304"/>
    <n v="312"/>
    <n v="366"/>
    <n v="311"/>
    <n v="541"/>
    <n v="75.2"/>
    <n v="36.5748441"/>
    <n v="139.23941790000001"/>
    <n v="63.5"/>
    <n v="20"/>
    <n v="0"/>
    <n v="0"/>
    <n v="68.899999999999991"/>
    <n v="69"/>
    <n v="46"/>
    <n v="62.4"/>
    <x v="1"/>
  </r>
  <r>
    <x v="377"/>
    <x v="377"/>
    <x v="21"/>
    <x v="2"/>
    <n v="3"/>
    <n v="321"/>
    <n v="1001"/>
    <n v="304"/>
    <n v="316"/>
    <n v="273"/>
    <n v="489"/>
    <n v="460"/>
    <n v="75.2"/>
    <n v="23.598322700000001"/>
    <s v="120.83537694479215"/>
    <n v="72.8"/>
    <n v="51.951951951951948"/>
    <n v="0"/>
    <n v="0"/>
    <n v="68.5"/>
    <n v="51.2"/>
    <n v="54.1"/>
    <n v="62.3"/>
    <x v="1"/>
  </r>
  <r>
    <x v="378"/>
    <x v="378"/>
    <x v="13"/>
    <x v="1"/>
    <n v="11"/>
    <n v="667"/>
    <n v="759"/>
    <n v="259"/>
    <n v="377"/>
    <n v="335"/>
    <n v="526"/>
    <n v="541"/>
    <n v="75.2"/>
    <n v="52.243497900000001"/>
    <n v="5.6343227000000002"/>
    <n v="66.600000000000009"/>
    <n v="20"/>
    <n v="24.2"/>
    <n v="14.85148514851485"/>
    <n v="62.4"/>
    <n v="47.5"/>
    <n v="46"/>
    <n v="62.2"/>
    <x v="1"/>
  </r>
  <r>
    <x v="379"/>
    <x v="379"/>
    <x v="8"/>
    <x v="1"/>
    <n v="31"/>
    <n v="574"/>
    <n v="1001"/>
    <n v="303"/>
    <n v="439"/>
    <n v="364"/>
    <n v="265"/>
    <n v="460"/>
    <n v="75.2"/>
    <n v="40.420347900000003"/>
    <n v="-79.116698299999996"/>
    <n v="63.7"/>
    <n v="20"/>
    <n v="0"/>
    <n v="0.33003300330033003"/>
    <n v="56.2"/>
    <n v="73.599999999999994"/>
    <n v="54.1"/>
    <n v="62.1"/>
    <x v="1"/>
  </r>
  <r>
    <x v="380"/>
    <x v="380"/>
    <x v="31"/>
    <x v="1"/>
    <n v="2"/>
    <n v="667"/>
    <n v="1001"/>
    <n v="304"/>
    <n v="279"/>
    <n v="381"/>
    <n v="380"/>
    <n v="460"/>
    <n v="75.2"/>
    <n v="52.215933"/>
    <n v="19.134422000000001"/>
    <n v="62"/>
    <n v="20"/>
    <n v="0"/>
    <n v="0"/>
    <n v="72.2"/>
    <n v="62.1"/>
    <n v="54.1"/>
    <n v="62"/>
    <x v="1"/>
  </r>
  <r>
    <x v="381"/>
    <x v="381"/>
    <x v="11"/>
    <x v="2"/>
    <n v="9"/>
    <n v="667"/>
    <n v="695"/>
    <n v="304"/>
    <n v="204"/>
    <n v="343"/>
    <n v="519"/>
    <n v="541"/>
    <n v="75.2"/>
    <n v="36.638392000000003"/>
    <n v="127.69611879999999"/>
    <n v="65.8"/>
    <n v="20"/>
    <n v="30.599999999999998"/>
    <n v="0"/>
    <n v="79.7"/>
    <n v="48.199999999999996"/>
    <n v="46"/>
    <n v="61.9"/>
    <x v="1"/>
  </r>
  <r>
    <x v="382"/>
    <x v="382"/>
    <x v="17"/>
    <x v="2"/>
    <n v="27"/>
    <n v="110"/>
    <n v="1001"/>
    <n v="304"/>
    <n v="277"/>
    <n v="313"/>
    <n v="510"/>
    <n v="541"/>
    <n v="75.2"/>
    <n v="30.047992000000001"/>
    <n v="-94.335743300000004"/>
    <n v="68.8"/>
    <n v="83.633633633633636"/>
    <n v="0"/>
    <n v="0"/>
    <n v="72.399999999999991"/>
    <n v="49.1"/>
    <n v="46"/>
    <n v="61.8"/>
    <x v="1"/>
  </r>
  <r>
    <x v="383"/>
    <x v="383"/>
    <x v="35"/>
    <x v="4"/>
    <n v="2"/>
    <n v="411"/>
    <n v="466"/>
    <n v="274"/>
    <n v="319"/>
    <n v="410"/>
    <n v="324"/>
    <n v="898"/>
    <n v="75.099999999999994"/>
    <n v="-31.761336499999999"/>
    <n v="-71.318769700000004"/>
    <n v="59.099999999999994"/>
    <n v="38.438438438438439"/>
    <n v="53.5"/>
    <n v="9.9009900990099009"/>
    <n v="68.2"/>
    <n v="67.7"/>
    <n v="10.299999999999999"/>
    <n v="61.7"/>
    <x v="1"/>
  </r>
  <r>
    <x v="384"/>
    <x v="384"/>
    <x v="11"/>
    <x v="2"/>
    <n v="10"/>
    <n v="489"/>
    <n v="1001"/>
    <n v="304"/>
    <n v="240"/>
    <n v="342"/>
    <n v="561"/>
    <n v="460"/>
    <n v="75.099999999999994"/>
    <n v="36.638392000000003"/>
    <n v="127.69611879999999"/>
    <n v="65.900000000000006"/>
    <n v="26.726726726726728"/>
    <n v="0"/>
    <n v="0"/>
    <n v="76.099999999999994"/>
    <n v="44"/>
    <n v="54.1"/>
    <n v="61.6"/>
    <x v="1"/>
  </r>
  <r>
    <x v="385"/>
    <x v="385"/>
    <x v="1"/>
    <x v="1"/>
    <n v="32"/>
    <n v="667"/>
    <n v="565"/>
    <n v="304"/>
    <n v="456"/>
    <n v="388"/>
    <n v="424"/>
    <n v="254"/>
    <n v="75.099999999999994"/>
    <n v="54.702354499999998"/>
    <n v="-3.2765753000000002"/>
    <n v="61.3"/>
    <n v="20"/>
    <n v="43.6"/>
    <n v="0"/>
    <n v="54.500000000000007"/>
    <n v="57.699999999999996"/>
    <n v="74.7"/>
    <n v="61.5"/>
    <x v="1"/>
  </r>
  <r>
    <x v="386"/>
    <x v="386"/>
    <x v="10"/>
    <x v="3"/>
    <n v="12"/>
    <n v="667"/>
    <n v="922"/>
    <n v="304"/>
    <n v="397"/>
    <n v="385"/>
    <n v="481"/>
    <n v="254"/>
    <n v="75.099999999999994"/>
    <n v="-24.776108600000001"/>
    <n v="134.755"/>
    <n v="61.6"/>
    <n v="20"/>
    <n v="7.9"/>
    <n v="0"/>
    <n v="60.4"/>
    <n v="52"/>
    <n v="74.7"/>
    <n v="61.4"/>
    <x v="1"/>
  </r>
  <r>
    <x v="387"/>
    <x v="387"/>
    <x v="3"/>
    <x v="0"/>
    <n v="18"/>
    <n v="667"/>
    <n v="243"/>
    <n v="304"/>
    <n v="468"/>
    <n v="408"/>
    <n v="419"/>
    <n v="275"/>
    <n v="75.099999999999994"/>
    <n v="61.066692199999999"/>
    <n v="-107.99170700000001"/>
    <n v="59.3"/>
    <n v="20"/>
    <n v="75.8"/>
    <n v="0"/>
    <n v="53.300000000000004"/>
    <n v="58.199999999999996"/>
    <n v="72.599999999999994"/>
    <n v="61.3"/>
    <x v="1"/>
  </r>
  <r>
    <x v="388"/>
    <x v="388"/>
    <x v="2"/>
    <x v="2"/>
    <n v="14"/>
    <n v="667"/>
    <n v="491"/>
    <n v="304"/>
    <n v="381"/>
    <n v="430"/>
    <n v="378"/>
    <n v="363"/>
    <n v="75.099999999999994"/>
    <n v="36.5748441"/>
    <n v="139.23941790000001"/>
    <n v="57.099999999999994"/>
    <n v="20"/>
    <n v="51"/>
    <n v="0"/>
    <n v="62"/>
    <n v="62.3"/>
    <n v="63.800000000000004"/>
    <n v="61.199999999999996"/>
    <x v="1"/>
  </r>
  <r>
    <x v="389"/>
    <x v="389"/>
    <x v="10"/>
    <x v="3"/>
    <n v="13"/>
    <n v="667"/>
    <n v="1001"/>
    <n v="304"/>
    <n v="537"/>
    <n v="453"/>
    <n v="253"/>
    <n v="327"/>
    <n v="75.099999999999994"/>
    <n v="-24.776108600000001"/>
    <n v="134.755"/>
    <n v="54.800000000000004"/>
    <n v="20"/>
    <n v="0"/>
    <n v="0"/>
    <n v="46.400000000000006"/>
    <n v="74.8"/>
    <n v="67.400000000000006"/>
    <n v="61.1"/>
    <x v="1"/>
  </r>
  <r>
    <x v="390"/>
    <x v="390"/>
    <x v="1"/>
    <x v="1"/>
    <n v="33"/>
    <n v="667"/>
    <n v="612"/>
    <n v="304"/>
    <n v="475"/>
    <n v="392"/>
    <n v="356"/>
    <n v="327"/>
    <n v="75.099999999999994"/>
    <n v="54.702354499999998"/>
    <n v="-3.2765753000000002"/>
    <n v="60.9"/>
    <n v="20"/>
    <n v="38.9"/>
    <n v="0"/>
    <n v="52.6"/>
    <n v="64.5"/>
    <n v="67.400000000000006"/>
    <n v="61"/>
    <x v="1"/>
  </r>
  <r>
    <x v="391"/>
    <x v="391"/>
    <x v="12"/>
    <x v="1"/>
    <n v="14"/>
    <n v="667"/>
    <n v="918"/>
    <n v="304"/>
    <n v="535"/>
    <n v="457"/>
    <n v="315"/>
    <n v="254"/>
    <n v="75"/>
    <n v="42.638426099999997"/>
    <n v="12.674296999999999"/>
    <n v="54.400000000000006"/>
    <n v="20"/>
    <n v="8.3000000000000007"/>
    <n v="0"/>
    <n v="46.6"/>
    <n v="68.600000000000009"/>
    <n v="74.7"/>
    <n v="60.9"/>
    <x v="1"/>
  </r>
  <r>
    <x v="392"/>
    <x v="392"/>
    <x v="0"/>
    <x v="0"/>
    <n v="120"/>
    <n v="667"/>
    <n v="360"/>
    <n v="304"/>
    <n v="460"/>
    <n v="422"/>
    <n v="417"/>
    <n v="275"/>
    <n v="75"/>
    <n v="39.783730400000003"/>
    <n v="-100.445882"/>
    <n v="57.9"/>
    <n v="20"/>
    <n v="64.099999999999994"/>
    <n v="0"/>
    <n v="54.1"/>
    <n v="58.4"/>
    <n v="72.599999999999994"/>
    <n v="60.8"/>
    <x v="1"/>
  </r>
  <r>
    <x v="393"/>
    <x v="393"/>
    <x v="7"/>
    <x v="2"/>
    <n v="5"/>
    <n v="667"/>
    <n v="1001"/>
    <n v="304"/>
    <n v="313"/>
    <n v="303"/>
    <n v="399"/>
    <n v="673"/>
    <n v="75"/>
    <n v="39.3181528"/>
    <n v="-79.810901400000006"/>
    <n v="69.8"/>
    <n v="20"/>
    <n v="0"/>
    <n v="0"/>
    <n v="68.8"/>
    <n v="60.199999999999996"/>
    <n v="32.800000000000004"/>
    <n v="60.699999999999996"/>
    <x v="1"/>
  </r>
  <r>
    <x v="394"/>
    <x v="394"/>
    <x v="13"/>
    <x v="1"/>
    <n v="12"/>
    <n v="667"/>
    <n v="927"/>
    <n v="304"/>
    <n v="422"/>
    <n v="363"/>
    <n v="520"/>
    <n v="275"/>
    <n v="75"/>
    <n v="52.243497900000001"/>
    <n v="5.6343227000000002"/>
    <n v="63.800000000000004"/>
    <n v="20"/>
    <n v="7.3999999999999995"/>
    <n v="0"/>
    <n v="57.9"/>
    <n v="48.1"/>
    <n v="72.599999999999994"/>
    <n v="60.6"/>
    <x v="1"/>
  </r>
  <r>
    <x v="395"/>
    <x v="395"/>
    <x v="17"/>
    <x v="2"/>
    <n v="28"/>
    <n v="667"/>
    <n v="1001"/>
    <n v="304"/>
    <n v="297"/>
    <n v="340"/>
    <n v="373"/>
    <n v="673"/>
    <n v="75"/>
    <n v="30.047992000000001"/>
    <n v="-94.335743300000004"/>
    <n v="66.100000000000009"/>
    <n v="20"/>
    <n v="0"/>
    <n v="0"/>
    <n v="70.399999999999991"/>
    <n v="62.8"/>
    <n v="32.800000000000004"/>
    <n v="60.5"/>
    <x v="1"/>
  </r>
  <r>
    <x v="396"/>
    <x v="396"/>
    <x v="10"/>
    <x v="3"/>
    <n v="14"/>
    <n v="667"/>
    <n v="562"/>
    <n v="304"/>
    <n v="410"/>
    <n v="381"/>
    <n v="403"/>
    <n v="363"/>
    <n v="75"/>
    <n v="-24.776108600000001"/>
    <n v="134.755"/>
    <n v="62"/>
    <n v="20"/>
    <n v="43.9"/>
    <n v="0"/>
    <n v="59.099999999999994"/>
    <n v="59.8"/>
    <n v="63.800000000000004"/>
    <n v="60.4"/>
    <x v="1"/>
  </r>
  <r>
    <x v="397"/>
    <x v="397"/>
    <x v="15"/>
    <x v="4"/>
    <n v="5"/>
    <n v="667"/>
    <n v="1001"/>
    <n v="304"/>
    <n v="230"/>
    <n v="419"/>
    <n v="507"/>
    <n v="460"/>
    <n v="75"/>
    <n v="-10.3333333"/>
    <n v="-53.2"/>
    <n v="58.199999999999996"/>
    <n v="20"/>
    <n v="0"/>
    <n v="0"/>
    <n v="77.100000000000009"/>
    <n v="49.4"/>
    <n v="54.1"/>
    <n v="60.3"/>
    <x v="1"/>
  </r>
  <r>
    <x v="398"/>
    <x v="398"/>
    <x v="10"/>
    <x v="3"/>
    <n v="15"/>
    <n v="667"/>
    <n v="1001"/>
    <n v="304"/>
    <n v="459"/>
    <n v="398"/>
    <n v="284"/>
    <n v="460"/>
    <n v="75"/>
    <n v="-24.776108600000001"/>
    <n v="134.755"/>
    <n v="60.3"/>
    <n v="20"/>
    <n v="0"/>
    <n v="0"/>
    <n v="54.2"/>
    <n v="71.7"/>
    <n v="54.1"/>
    <n v="60.199999999999996"/>
    <x v="1"/>
  </r>
  <r>
    <x v="399"/>
    <x v="399"/>
    <x v="10"/>
    <x v="3"/>
    <n v="16"/>
    <n v="667"/>
    <n v="1001"/>
    <n v="304"/>
    <n v="324"/>
    <n v="338"/>
    <n v="300"/>
    <n v="898"/>
    <n v="74.900000000000006"/>
    <n v="-24.776108600000001"/>
    <n v="134.755"/>
    <n v="66.3"/>
    <n v="20"/>
    <n v="0"/>
    <n v="0"/>
    <n v="67.7"/>
    <n v="70.099999999999994"/>
    <n v="10.299999999999999"/>
    <n v="60.099999999999994"/>
    <x v="1"/>
  </r>
  <r>
    <x v="400"/>
    <x v="400"/>
    <x v="24"/>
    <x v="1"/>
    <n v="4"/>
    <n v="662"/>
    <n v="737"/>
    <n v="304"/>
    <n v="425"/>
    <n v="413"/>
    <n v="395"/>
    <n v="327"/>
    <n v="74.900000000000006"/>
    <n v="47.593969999999999"/>
    <n v="14.124560000000001"/>
    <n v="58.8"/>
    <n v="20"/>
    <n v="26.400000000000002"/>
    <n v="0"/>
    <n v="57.599999999999994"/>
    <n v="60.6"/>
    <n v="67.400000000000006"/>
    <n v="60"/>
    <x v="1"/>
  </r>
  <r>
    <x v="401"/>
    <x v="401"/>
    <x v="27"/>
    <x v="5"/>
    <n v="3"/>
    <n v="509"/>
    <n v="277"/>
    <n v="304"/>
    <n v="400"/>
    <n v="526"/>
    <n v="347"/>
    <n v="327"/>
    <n v="74.900000000000006"/>
    <n v="-28.8166236"/>
    <n v="24.991638999999999"/>
    <n v="47.5"/>
    <n v="23.723723723723726"/>
    <n v="72.399999999999991"/>
    <n v="0"/>
    <n v="60.099999999999994"/>
    <n v="65.400000000000006"/>
    <n v="67.400000000000006"/>
    <n v="59.9"/>
    <x v="1"/>
  </r>
  <r>
    <x v="402"/>
    <x v="402"/>
    <x v="26"/>
    <x v="1"/>
    <n v="3"/>
    <n v="659"/>
    <n v="1001"/>
    <n v="304"/>
    <n v="332"/>
    <n v="395"/>
    <n v="433"/>
    <n v="405"/>
    <n v="74.900000000000006"/>
    <n v="39.662164799999999"/>
    <n v="-8.1353518999999999"/>
    <n v="60.6"/>
    <n v="20"/>
    <n v="0"/>
    <n v="0"/>
    <n v="66.900000000000006"/>
    <n v="56.8"/>
    <n v="59.599999999999994"/>
    <n v="59.8"/>
    <x v="1"/>
  </r>
  <r>
    <x v="403"/>
    <x v="403"/>
    <x v="12"/>
    <x v="1"/>
    <n v="15"/>
    <n v="667"/>
    <n v="1001"/>
    <n v="304"/>
    <n v="409"/>
    <n v="369"/>
    <n v="375"/>
    <n v="405"/>
    <n v="74.900000000000006"/>
    <n v="42.638426099999997"/>
    <n v="12.674296999999999"/>
    <n v="63.2"/>
    <n v="20"/>
    <n v="0"/>
    <n v="0"/>
    <n v="59.199999999999996"/>
    <n v="62.6"/>
    <n v="59.599999999999994"/>
    <n v="59.699999999999996"/>
    <x v="1"/>
  </r>
  <r>
    <x v="404"/>
    <x v="404"/>
    <x v="0"/>
    <x v="0"/>
    <n v="121"/>
    <n v="462"/>
    <n v="877"/>
    <n v="304"/>
    <n v="454"/>
    <n v="404"/>
    <n v="437"/>
    <n v="275"/>
    <n v="74.900000000000006"/>
    <n v="39.783730400000003"/>
    <n v="-100.445882"/>
    <n v="59.699999999999996"/>
    <n v="30.780780780780781"/>
    <n v="12.4"/>
    <n v="0"/>
    <n v="54.7"/>
    <n v="56.399999999999991"/>
    <n v="72.599999999999994"/>
    <n v="59.599999999999994"/>
    <x v="1"/>
  </r>
  <r>
    <x v="405"/>
    <x v="405"/>
    <x v="15"/>
    <x v="4"/>
    <n v="6"/>
    <n v="667"/>
    <n v="668"/>
    <n v="304"/>
    <n v="261"/>
    <n v="416"/>
    <n v="478"/>
    <n v="460"/>
    <n v="74.900000000000006"/>
    <n v="-10.3333333"/>
    <n v="-53.2"/>
    <n v="58.5"/>
    <n v="20"/>
    <n v="33.300000000000004"/>
    <n v="0"/>
    <n v="74"/>
    <n v="52.300000000000004"/>
    <n v="54.1"/>
    <n v="59.5"/>
    <x v="1"/>
  </r>
  <r>
    <x v="406"/>
    <x v="406"/>
    <x v="1"/>
    <x v="1"/>
    <n v="34"/>
    <n v="466"/>
    <n v="104"/>
    <n v="304"/>
    <n v="496"/>
    <n v="394"/>
    <n v="422"/>
    <n v="460"/>
    <n v="74.8"/>
    <n v="54.702354499999998"/>
    <n v="-3.2765753000000002"/>
    <n v="60.699999999999996"/>
    <n v="30.180180180180184"/>
    <n v="89.7"/>
    <n v="0"/>
    <n v="50.5"/>
    <n v="57.9"/>
    <n v="54.1"/>
    <n v="59.4"/>
    <x v="1"/>
  </r>
  <r>
    <x v="407"/>
    <x v="407"/>
    <x v="11"/>
    <x v="2"/>
    <n v="11"/>
    <n v="667"/>
    <n v="793"/>
    <n v="304"/>
    <n v="280"/>
    <n v="373"/>
    <n v="682"/>
    <n v="363"/>
    <n v="74.8"/>
    <n v="36.638392000000003"/>
    <n v="127.69611879999999"/>
    <n v="62.8"/>
    <n v="20"/>
    <n v="20.8"/>
    <n v="0"/>
    <n v="72.099999999999994"/>
    <n v="31.900000000000002"/>
    <n v="63.800000000000004"/>
    <n v="59.3"/>
    <x v="1"/>
  </r>
  <r>
    <x v="408"/>
    <x v="408"/>
    <x v="5"/>
    <x v="1"/>
    <n v="18"/>
    <n v="667"/>
    <n v="1001"/>
    <n v="304"/>
    <n v="404"/>
    <n v="350"/>
    <n v="376"/>
    <n v="460"/>
    <n v="74.8"/>
    <n v="46.603354000000003"/>
    <n v="1.8883335000000001"/>
    <n v="65.100000000000009"/>
    <n v="20"/>
    <n v="0"/>
    <n v="0"/>
    <n v="59.699999999999996"/>
    <n v="62.5"/>
    <n v="54.1"/>
    <n v="59.199999999999996"/>
    <x v="1"/>
  </r>
  <r>
    <x v="409"/>
    <x v="409"/>
    <x v="8"/>
    <x v="1"/>
    <n v="32"/>
    <n v="184"/>
    <n v="479"/>
    <n v="304"/>
    <n v="398"/>
    <n v="372"/>
    <n v="492"/>
    <n v="363"/>
    <n v="74.8"/>
    <n v="40.420347900000003"/>
    <n v="-79.116698299999996"/>
    <n v="62.9"/>
    <n v="72.522522522522522"/>
    <n v="52.2"/>
    <n v="0"/>
    <n v="60.3"/>
    <n v="50.9"/>
    <n v="63.800000000000004"/>
    <n v="59.099999999999994"/>
    <x v="1"/>
  </r>
  <r>
    <x v="410"/>
    <x v="410"/>
    <x v="3"/>
    <x v="0"/>
    <n v="19"/>
    <n v="618"/>
    <n v="647"/>
    <n v="304"/>
    <n v="338"/>
    <n v="348"/>
    <n v="483"/>
    <n v="460"/>
    <n v="74.8"/>
    <n v="61.066692199999999"/>
    <n v="-107.99170700000001"/>
    <n v="65.3"/>
    <n v="20"/>
    <n v="35.4"/>
    <n v="0"/>
    <n v="66.3"/>
    <n v="51.800000000000004"/>
    <n v="54.1"/>
    <n v="59"/>
    <x v="1"/>
  </r>
  <r>
    <x v="411"/>
    <x v="411"/>
    <x v="8"/>
    <x v="1"/>
    <n v="33"/>
    <n v="653"/>
    <n v="1001"/>
    <n v="269"/>
    <n v="477"/>
    <n v="458"/>
    <n v="358"/>
    <n v="541"/>
    <n v="74.8"/>
    <n v="40.420347900000003"/>
    <n v="-79.116698299999996"/>
    <n v="54.300000000000004"/>
    <n v="20"/>
    <n v="0"/>
    <n v="11.55115511551155"/>
    <n v="52.400000000000006"/>
    <n v="64.3"/>
    <n v="46"/>
    <n v="58.9"/>
    <x v="1"/>
  </r>
  <r>
    <x v="412"/>
    <x v="412"/>
    <x v="39"/>
    <x v="1"/>
    <n v="1"/>
    <n v="125"/>
    <n v="1001"/>
    <n v="141"/>
    <n v="629"/>
    <n v="619"/>
    <n v="490"/>
    <n v="405"/>
    <n v="74.8"/>
    <n v="41.976762899999997"/>
    <n v="-72.778984199999996"/>
    <n v="38.200000000000003"/>
    <n v="81.381381381381374"/>
    <n v="0"/>
    <n v="53.795379537953792"/>
    <n v="37.200000000000003"/>
    <n v="51.1"/>
    <n v="59.599999999999994"/>
    <n v="58.8"/>
    <x v="1"/>
  </r>
  <r>
    <x v="413"/>
    <x v="413"/>
    <x v="16"/>
    <x v="1"/>
    <n v="9"/>
    <n v="667"/>
    <n v="1001"/>
    <n v="304"/>
    <n v="307"/>
    <n v="325"/>
    <n v="547"/>
    <n v="541"/>
    <n v="74.8"/>
    <n v="39.326068499999998"/>
    <n v="-4.8379791000000001"/>
    <n v="67.600000000000009"/>
    <n v="20"/>
    <n v="0"/>
    <n v="0"/>
    <n v="69.399999999999991"/>
    <n v="45.4"/>
    <n v="46"/>
    <n v="58.699999999999996"/>
    <x v="1"/>
  </r>
  <r>
    <x v="414"/>
    <x v="414"/>
    <x v="16"/>
    <x v="1"/>
    <n v="10"/>
    <n v="158"/>
    <n v="600"/>
    <n v="304"/>
    <n v="349"/>
    <n v="359"/>
    <n v="620"/>
    <n v="405"/>
    <n v="74.7"/>
    <n v="39.326068499999998"/>
    <n v="-4.8379791000000001"/>
    <n v="64.2"/>
    <n v="76.426426426426431"/>
    <n v="40.1"/>
    <n v="0"/>
    <n v="65.2"/>
    <n v="38.1"/>
    <n v="59.599999999999994"/>
    <n v="58.599999999999994"/>
    <x v="1"/>
  </r>
  <r>
    <x v="415"/>
    <x v="415"/>
    <x v="12"/>
    <x v="1"/>
    <n v="16"/>
    <n v="667"/>
    <n v="1001"/>
    <n v="304"/>
    <n v="431"/>
    <n v="440"/>
    <n v="426"/>
    <n v="327"/>
    <n v="74.7"/>
    <n v="42.638426099999997"/>
    <n v="12.674296999999999"/>
    <n v="56.100000000000009"/>
    <n v="20"/>
    <n v="0"/>
    <n v="0"/>
    <n v="56.999999999999993"/>
    <n v="57.499999999999993"/>
    <n v="67.400000000000006"/>
    <n v="58.5"/>
    <x v="1"/>
  </r>
  <r>
    <x v="416"/>
    <x v="416"/>
    <x v="8"/>
    <x v="1"/>
    <n v="34"/>
    <n v="667"/>
    <n v="1001"/>
    <n v="141"/>
    <n v="726"/>
    <n v="518"/>
    <n v="342"/>
    <n v="673"/>
    <n v="74.7"/>
    <n v="40.420347900000003"/>
    <n v="-79.116698299999996"/>
    <n v="48.3"/>
    <n v="20"/>
    <n v="0"/>
    <n v="53.795379537953792"/>
    <n v="27.500000000000004"/>
    <n v="65.900000000000006"/>
    <n v="32.800000000000004"/>
    <n v="58.4"/>
    <x v="1"/>
  </r>
  <r>
    <x v="417"/>
    <x v="417"/>
    <x v="18"/>
    <x v="1"/>
    <n v="5"/>
    <n v="667"/>
    <n v="1001"/>
    <n v="304"/>
    <n v="440"/>
    <n v="383"/>
    <n v="332"/>
    <n v="541"/>
    <n v="74.7"/>
    <n v="63.246777700000003"/>
    <n v="25.920916399999999"/>
    <n v="61.8"/>
    <n v="20"/>
    <n v="0"/>
    <n v="0"/>
    <n v="56.100000000000009"/>
    <n v="66.900000000000006"/>
    <n v="46"/>
    <n v="58.3"/>
    <x v="1"/>
  </r>
  <r>
    <x v="418"/>
    <x v="418"/>
    <x v="5"/>
    <x v="1"/>
    <n v="19"/>
    <n v="230"/>
    <n v="1001"/>
    <n v="273"/>
    <n v="646"/>
    <n v="461"/>
    <n v="230"/>
    <n v="673"/>
    <n v="74.7"/>
    <n v="46.603354000000003"/>
    <n v="1.8883335000000001"/>
    <n v="54"/>
    <n v="65.615615615615624"/>
    <n v="0"/>
    <n v="10.231023102310232"/>
    <n v="35.5"/>
    <n v="77.100000000000009"/>
    <n v="32.800000000000004"/>
    <n v="58.199999999999996"/>
    <x v="1"/>
  </r>
  <r>
    <x v="419"/>
    <x v="419"/>
    <x v="40"/>
    <x v="2"/>
    <n v="1"/>
    <n v="667"/>
    <n v="573"/>
    <n v="304"/>
    <n v="342"/>
    <n v="336"/>
    <n v="718"/>
    <n v="405"/>
    <n v="74.7"/>
    <n v="22.351114800000001"/>
    <n v="78.667742799999999"/>
    <n v="66.5"/>
    <n v="20"/>
    <n v="42.8"/>
    <n v="0"/>
    <n v="65.900000000000006"/>
    <n v="28.299999999999997"/>
    <n v="59.599999999999994"/>
    <n v="58.099999999999994"/>
    <x v="1"/>
  </r>
  <r>
    <x v="420"/>
    <x v="420"/>
    <x v="34"/>
    <x v="2"/>
    <n v="2"/>
    <n v="667"/>
    <n v="442"/>
    <n v="304"/>
    <n v="191"/>
    <n v="435"/>
    <n v="452"/>
    <n v="898"/>
    <n v="74.7"/>
    <n v="25.624261799999999"/>
    <n v="42.352832800000002"/>
    <n v="56.599999999999994"/>
    <n v="20"/>
    <n v="55.900000000000006"/>
    <n v="0"/>
    <n v="81"/>
    <n v="54.900000000000006"/>
    <n v="10.299999999999999"/>
    <n v="57.999999999999993"/>
    <x v="1"/>
  </r>
  <r>
    <x v="421"/>
    <x v="421"/>
    <x v="12"/>
    <x v="1"/>
    <n v="17"/>
    <n v="269"/>
    <n v="1001"/>
    <n v="74"/>
    <n v="919"/>
    <n v="663"/>
    <n v="551"/>
    <n v="541"/>
    <n v="74.7"/>
    <n v="42.638426099999997"/>
    <n v="12.674296999999999"/>
    <n v="33.800000000000004"/>
    <n v="59.75975975975976"/>
    <n v="0"/>
    <n v="75.907590759075902"/>
    <n v="8.2000000000000011"/>
    <n v="45"/>
    <n v="46"/>
    <n v="57.9"/>
    <x v="1"/>
  </r>
  <r>
    <x v="422"/>
    <x v="422"/>
    <x v="8"/>
    <x v="1"/>
    <n v="35"/>
    <n v="667"/>
    <n v="1001"/>
    <n v="304"/>
    <n v="514"/>
    <n v="472"/>
    <n v="287"/>
    <n v="405"/>
    <n v="74.599999999999994"/>
    <n v="40.420347900000003"/>
    <n v="-79.116698299999996"/>
    <n v="52.900000000000006"/>
    <n v="20"/>
    <n v="0"/>
    <n v="0"/>
    <n v="48.699999999999996"/>
    <n v="71.399999999999991"/>
    <n v="59.599999999999994"/>
    <n v="57.8"/>
    <x v="1"/>
  </r>
  <r>
    <x v="423"/>
    <x v="423"/>
    <x v="1"/>
    <x v="1"/>
    <n v="35"/>
    <n v="667"/>
    <n v="361"/>
    <n v="304"/>
    <n v="466"/>
    <n v="424"/>
    <n v="523"/>
    <n v="304"/>
    <n v="74.599999999999994"/>
    <n v="54.702354499999998"/>
    <n v="-3.2765753000000002"/>
    <n v="57.699999999999996"/>
    <n v="20"/>
    <n v="64"/>
    <n v="0"/>
    <n v="53.5"/>
    <n v="47.8"/>
    <n v="69.699999999999989"/>
    <n v="57.699999999999996"/>
    <x v="1"/>
  </r>
  <r>
    <x v="424"/>
    <x v="424"/>
    <x v="10"/>
    <x v="3"/>
    <n v="17"/>
    <n v="667"/>
    <n v="1001"/>
    <n v="304"/>
    <n v="399"/>
    <n v="367"/>
    <n v="402"/>
    <n v="541"/>
    <n v="74.599999999999994"/>
    <n v="-24.776108600000001"/>
    <n v="134.755"/>
    <n v="63.4"/>
    <n v="20"/>
    <n v="0"/>
    <n v="0"/>
    <n v="60.199999999999996"/>
    <n v="59.9"/>
    <n v="46"/>
    <n v="57.599999999999994"/>
    <x v="1"/>
  </r>
  <r>
    <x v="425"/>
    <x v="425"/>
    <x v="16"/>
    <x v="1"/>
    <n v="11"/>
    <n v="667"/>
    <n v="933"/>
    <n v="304"/>
    <n v="401"/>
    <n v="411"/>
    <n v="567"/>
    <n v="327"/>
    <n v="74.599999999999994"/>
    <n v="39.326068499999998"/>
    <n v="-4.8379791000000001"/>
    <n v="59"/>
    <n v="20"/>
    <n v="6.8000000000000007"/>
    <n v="0"/>
    <n v="60"/>
    <n v="43.4"/>
    <n v="67.400000000000006"/>
    <n v="57.499999999999993"/>
    <x v="1"/>
  </r>
  <r>
    <x v="426"/>
    <x v="426"/>
    <x v="21"/>
    <x v="2"/>
    <n v="4"/>
    <n v="667"/>
    <n v="340"/>
    <n v="304"/>
    <n v="310"/>
    <n v="290"/>
    <n v="715"/>
    <n v="673"/>
    <n v="74.599999999999994"/>
    <n v="23.598322700000001"/>
    <s v="120.83537694479215"/>
    <n v="71.099999999999994"/>
    <n v="20"/>
    <n v="66.100000000000009"/>
    <n v="0"/>
    <n v="69.099999999999994"/>
    <n v="28.599999999999998"/>
    <n v="32.800000000000004"/>
    <n v="57.4"/>
    <x v="1"/>
  </r>
  <r>
    <x v="427"/>
    <x v="427"/>
    <x v="0"/>
    <x v="0"/>
    <n v="122"/>
    <n v="476"/>
    <n v="1001"/>
    <n v="304"/>
    <n v="592"/>
    <n v="431"/>
    <n v="298"/>
    <n v="405"/>
    <n v="74.599999999999994"/>
    <n v="39.783730400000003"/>
    <n v="-100.445882"/>
    <n v="56.999999999999993"/>
    <n v="28.678678678678676"/>
    <n v="0"/>
    <n v="0"/>
    <n v="40.9"/>
    <n v="70.3"/>
    <n v="59.599999999999994"/>
    <n v="57.3"/>
    <x v="1"/>
  </r>
  <r>
    <x v="428"/>
    <x v="428"/>
    <x v="0"/>
    <x v="0"/>
    <n v="123"/>
    <n v="576"/>
    <n v="295"/>
    <n v="304"/>
    <n v="494"/>
    <n v="405"/>
    <n v="333"/>
    <n v="541"/>
    <n v="74.599999999999994"/>
    <n v="39.783730400000003"/>
    <n v="-100.445882"/>
    <n v="59.599999999999994"/>
    <n v="20"/>
    <n v="70.599999999999994"/>
    <n v="0"/>
    <n v="50.7"/>
    <n v="66.8"/>
    <n v="46"/>
    <n v="57.199999999999996"/>
    <x v="1"/>
  </r>
  <r>
    <x v="429"/>
    <x v="429"/>
    <x v="0"/>
    <x v="0"/>
    <n v="124"/>
    <n v="139"/>
    <n v="153"/>
    <n v="304"/>
    <n v="664"/>
    <n v="504"/>
    <n v="430"/>
    <n v="254"/>
    <n v="74.599999999999994"/>
    <n v="39.783730400000003"/>
    <n v="-100.445882"/>
    <n v="49.7"/>
    <n v="79.27927927927928"/>
    <n v="84.8"/>
    <n v="0"/>
    <n v="33.700000000000003"/>
    <n v="57.099999999999994"/>
    <n v="74.7"/>
    <n v="57.099999999999994"/>
    <x v="1"/>
  </r>
  <r>
    <x v="430"/>
    <x v="430"/>
    <x v="12"/>
    <x v="1"/>
    <n v="18"/>
    <n v="667"/>
    <n v="1001"/>
    <n v="304"/>
    <n v="418"/>
    <n v="414"/>
    <n v="346"/>
    <n v="541"/>
    <n v="74.5"/>
    <n v="42.638426099999997"/>
    <n v="12.674296999999999"/>
    <n v="58.699999999999996"/>
    <n v="20"/>
    <n v="0"/>
    <n v="0"/>
    <n v="58.3"/>
    <n v="65.5"/>
    <n v="46"/>
    <n v="56.999999999999993"/>
    <x v="1"/>
  </r>
  <r>
    <x v="431"/>
    <x v="431"/>
    <x v="11"/>
    <x v="2"/>
    <n v="12"/>
    <n v="667"/>
    <n v="1001"/>
    <n v="304"/>
    <n v="317"/>
    <n v="403"/>
    <n v="619"/>
    <n v="405"/>
    <n v="74.5"/>
    <n v="36.638392000000003"/>
    <n v="127.69611879999999"/>
    <n v="59.8"/>
    <n v="20"/>
    <n v="0"/>
    <n v="0"/>
    <n v="68.400000000000006"/>
    <n v="38.200000000000003"/>
    <n v="59.599999999999994"/>
    <n v="56.899999999999991"/>
    <x v="1"/>
  </r>
  <r>
    <x v="432"/>
    <x v="432"/>
    <x v="17"/>
    <x v="2"/>
    <n v="29"/>
    <n v="667"/>
    <n v="1001"/>
    <n v="304"/>
    <n v="292"/>
    <n v="429"/>
    <n v="642"/>
    <n v="405"/>
    <n v="74.5"/>
    <n v="30.047992000000001"/>
    <n v="-94.335743300000004"/>
    <n v="57.199999999999996"/>
    <n v="20"/>
    <n v="0"/>
    <n v="0"/>
    <n v="70.899999999999991"/>
    <n v="35.9"/>
    <n v="59.599999999999994"/>
    <n v="56.8"/>
    <x v="1"/>
  </r>
  <r>
    <x v="433"/>
    <x v="433"/>
    <x v="34"/>
    <x v="2"/>
    <n v="3"/>
    <n v="667"/>
    <n v="1001"/>
    <n v="168"/>
    <n v="693"/>
    <n v="451"/>
    <n v="394"/>
    <n v="898"/>
    <n v="74.5"/>
    <n v="25.624261799999999"/>
    <n v="42.352832800000002"/>
    <n v="55.000000000000007"/>
    <n v="20"/>
    <n v="0"/>
    <n v="44.884488448844884"/>
    <n v="30.8"/>
    <n v="60.699999999999996"/>
    <n v="10.299999999999999"/>
    <n v="56.699999999999996"/>
    <x v="1"/>
  </r>
  <r>
    <x v="434"/>
    <x v="434"/>
    <x v="0"/>
    <x v="0"/>
    <n v="125"/>
    <n v="667"/>
    <n v="1001"/>
    <n v="304"/>
    <n v="607"/>
    <n v="455"/>
    <n v="413"/>
    <n v="240"/>
    <n v="74.5"/>
    <n v="39.783730400000003"/>
    <n v="-100.445882"/>
    <n v="54.6"/>
    <n v="20"/>
    <n v="0"/>
    <n v="0"/>
    <n v="39.4"/>
    <n v="58.8"/>
    <n v="76.099999999999994"/>
    <n v="56.599999999999994"/>
    <x v="1"/>
  </r>
  <r>
    <x v="435"/>
    <x v="435"/>
    <x v="5"/>
    <x v="1"/>
    <n v="20"/>
    <n v="667"/>
    <n v="2"/>
    <n v="304"/>
    <n v="1001"/>
    <n v="1001"/>
    <n v="1001"/>
    <n v="1001"/>
    <n v="74.5"/>
    <n v="46.603354000000003"/>
    <n v="1.8883335000000001"/>
    <n v="0"/>
    <n v="20"/>
    <n v="99.9"/>
    <n v="0"/>
    <n v="0"/>
    <n v="0"/>
    <n v="0"/>
    <n v="56.499999999999993"/>
    <x v="1"/>
  </r>
  <r>
    <x v="436"/>
    <x v="436"/>
    <x v="0"/>
    <x v="0"/>
    <n v="126"/>
    <n v="667"/>
    <n v="448"/>
    <n v="304"/>
    <n v="423"/>
    <n v="416"/>
    <n v="539"/>
    <n v="363"/>
    <n v="74.5"/>
    <n v="39.783730400000003"/>
    <n v="-100.445882"/>
    <n v="58.5"/>
    <n v="20"/>
    <n v="55.300000000000004"/>
    <n v="0"/>
    <n v="57.8"/>
    <n v="46.2"/>
    <n v="63.800000000000004"/>
    <n v="56.399999999999991"/>
    <x v="1"/>
  </r>
  <r>
    <x v="437"/>
    <x v="437"/>
    <x v="27"/>
    <x v="5"/>
    <n v="4"/>
    <n v="667"/>
    <n v="686"/>
    <n v="246"/>
    <n v="416"/>
    <n v="555"/>
    <n v="600"/>
    <n v="460"/>
    <n v="74.5"/>
    <n v="-28.8166236"/>
    <n v="24.991638999999999"/>
    <n v="44.6"/>
    <n v="20"/>
    <n v="31.5"/>
    <n v="19.141914191419144"/>
    <n v="58.5"/>
    <n v="40.1"/>
    <n v="54.1"/>
    <n v="56.3"/>
    <x v="1"/>
  </r>
  <r>
    <x v="438"/>
    <x v="438"/>
    <x v="26"/>
    <x v="1"/>
    <n v="4"/>
    <n v="667"/>
    <n v="1001"/>
    <n v="207"/>
    <n v="481"/>
    <n v="482"/>
    <n v="592"/>
    <n v="673"/>
    <n v="74.400000000000006"/>
    <n v="39.662164799999999"/>
    <n v="-8.1353518999999999"/>
    <n v="51.9"/>
    <n v="20"/>
    <n v="0"/>
    <n v="32.013201320132012"/>
    <n v="52"/>
    <n v="40.9"/>
    <n v="32.800000000000004"/>
    <n v="56.2"/>
    <x v="1"/>
  </r>
  <r>
    <x v="439"/>
    <x v="439"/>
    <x v="16"/>
    <x v="1"/>
    <n v="12"/>
    <n v="667"/>
    <n v="1001"/>
    <n v="304"/>
    <n v="480"/>
    <n v="462"/>
    <n v="425"/>
    <n v="327"/>
    <n v="74.400000000000006"/>
    <n v="39.326068499999998"/>
    <n v="-4.8379791000000001"/>
    <n v="53.900000000000006"/>
    <n v="20"/>
    <n v="0"/>
    <n v="0"/>
    <n v="52.1"/>
    <n v="57.599999999999994"/>
    <n v="67.400000000000006"/>
    <n v="56.100000000000009"/>
    <x v="1"/>
  </r>
  <r>
    <x v="440"/>
    <x v="440"/>
    <x v="0"/>
    <x v="0"/>
    <n v="127"/>
    <n v="667"/>
    <n v="363"/>
    <n v="287"/>
    <n v="613"/>
    <n v="517"/>
    <n v="334"/>
    <n v="363"/>
    <n v="74.400000000000006"/>
    <n v="39.783730400000003"/>
    <n v="-100.445882"/>
    <n v="48.4"/>
    <n v="20"/>
    <n v="63.800000000000004"/>
    <n v="5.6105610561056105"/>
    <n v="38.800000000000004"/>
    <n v="66.7"/>
    <n v="63.800000000000004"/>
    <n v="56.000000000000007"/>
    <x v="1"/>
  </r>
  <r>
    <x v="441"/>
    <x v="441"/>
    <x v="15"/>
    <x v="4"/>
    <n v="7"/>
    <n v="667"/>
    <n v="1001"/>
    <n v="304"/>
    <n v="341"/>
    <n v="508"/>
    <n v="580"/>
    <n v="327"/>
    <n v="74.400000000000006"/>
    <n v="-10.3333333"/>
    <n v="-53.2"/>
    <n v="49.3"/>
    <n v="20"/>
    <n v="0"/>
    <n v="0"/>
    <n v="66"/>
    <n v="42.1"/>
    <n v="67.400000000000006"/>
    <n v="55.900000000000006"/>
    <x v="1"/>
  </r>
  <r>
    <x v="442"/>
    <x v="442"/>
    <x v="12"/>
    <x v="1"/>
    <n v="19"/>
    <n v="667"/>
    <n v="1001"/>
    <n v="304"/>
    <n v="618"/>
    <n v="446"/>
    <n v="255"/>
    <n v="460"/>
    <n v="74.400000000000006"/>
    <n v="42.638426099999997"/>
    <n v="12.674296999999999"/>
    <n v="55.500000000000007"/>
    <n v="20"/>
    <n v="0"/>
    <n v="0"/>
    <n v="38.299999999999997"/>
    <n v="74.599999999999994"/>
    <n v="54.1"/>
    <n v="55.800000000000004"/>
    <x v="1"/>
  </r>
  <r>
    <x v="443"/>
    <x v="443"/>
    <x v="11"/>
    <x v="2"/>
    <n v="13"/>
    <n v="667"/>
    <n v="641"/>
    <n v="304"/>
    <n v="322"/>
    <n v="376"/>
    <n v="473"/>
    <n v="673"/>
    <n v="74.400000000000006"/>
    <n v="36.638392000000003"/>
    <n v="127.69611879999999"/>
    <n v="62.5"/>
    <n v="20"/>
    <n v="36"/>
    <n v="0"/>
    <n v="67.900000000000006"/>
    <n v="52.800000000000004"/>
    <n v="32.800000000000004"/>
    <n v="55.7"/>
    <x v="1"/>
  </r>
  <r>
    <x v="444"/>
    <x v="444"/>
    <x v="12"/>
    <x v="1"/>
    <n v="20"/>
    <n v="667"/>
    <n v="1001"/>
    <n v="304"/>
    <n v="506"/>
    <n v="468"/>
    <n v="429"/>
    <n v="304"/>
    <n v="74.400000000000006"/>
    <n v="42.638426099999997"/>
    <n v="12.674296999999999"/>
    <n v="53.300000000000004"/>
    <n v="20"/>
    <n v="0"/>
    <n v="0"/>
    <n v="49.5"/>
    <n v="57.199999999999996"/>
    <n v="69.699999999999989"/>
    <n v="55.600000000000009"/>
    <x v="1"/>
  </r>
  <r>
    <x v="445"/>
    <x v="445"/>
    <x v="16"/>
    <x v="1"/>
    <n v="13"/>
    <n v="667"/>
    <n v="1001"/>
    <n v="304"/>
    <n v="571"/>
    <n v="519"/>
    <n v="363"/>
    <n v="275"/>
    <n v="74.400000000000006"/>
    <n v="39.326068499999998"/>
    <n v="-4.8379791000000001"/>
    <n v="48.199999999999996"/>
    <n v="20"/>
    <n v="0"/>
    <n v="0"/>
    <n v="43"/>
    <n v="63.800000000000004"/>
    <n v="72.599999999999994"/>
    <n v="55.500000000000007"/>
    <x v="1"/>
  </r>
  <r>
    <x v="446"/>
    <x v="446"/>
    <x v="5"/>
    <x v="1"/>
    <n v="21"/>
    <n v="513"/>
    <n v="1001"/>
    <n v="304"/>
    <n v="555"/>
    <n v="474"/>
    <n v="278"/>
    <n v="460"/>
    <n v="74.400000000000006"/>
    <n v="46.603354000000003"/>
    <n v="1.8883335000000001"/>
    <n v="52.7"/>
    <n v="23.123123123123122"/>
    <n v="0"/>
    <n v="0"/>
    <n v="44.6"/>
    <n v="72.3"/>
    <n v="54.1"/>
    <n v="55.400000000000006"/>
    <x v="1"/>
  </r>
  <r>
    <x v="447"/>
    <x v="447"/>
    <x v="27"/>
    <x v="5"/>
    <n v="5"/>
    <n v="555"/>
    <n v="139"/>
    <n v="304"/>
    <n v="428"/>
    <n v="500"/>
    <n v="409"/>
    <n v="541"/>
    <n v="74.3"/>
    <n v="-28.8166236"/>
    <n v="24.991638999999999"/>
    <n v="50.1"/>
    <n v="20"/>
    <n v="86.2"/>
    <n v="0"/>
    <n v="57.3"/>
    <n v="59.199999999999996"/>
    <n v="46"/>
    <n v="55.300000000000004"/>
    <x v="1"/>
  </r>
  <r>
    <x v="448"/>
    <x v="448"/>
    <x v="16"/>
    <x v="1"/>
    <n v="14"/>
    <n v="666"/>
    <n v="971"/>
    <n v="304"/>
    <n v="351"/>
    <n v="355"/>
    <n v="582"/>
    <n v="541"/>
    <n v="74.3"/>
    <n v="39.326068499999998"/>
    <n v="-4.8379791000000001"/>
    <n v="64.600000000000009"/>
    <n v="20"/>
    <n v="3"/>
    <n v="0"/>
    <n v="65"/>
    <n v="41.9"/>
    <n v="46"/>
    <n v="55.2"/>
    <x v="1"/>
  </r>
  <r>
    <x v="449"/>
    <x v="449"/>
    <x v="29"/>
    <x v="3"/>
    <n v="3"/>
    <n v="306"/>
    <n v="326"/>
    <n v="153"/>
    <n v="641"/>
    <n v="615"/>
    <n v="449"/>
    <n v="673"/>
    <n v="74.3"/>
    <n v="-41.500083099999998"/>
    <n v="172.83440770000001"/>
    <n v="38.6"/>
    <n v="54.20420420420421"/>
    <n v="67.5"/>
    <n v="49.834983498349835"/>
    <n v="36"/>
    <n v="55.2"/>
    <n v="32.800000000000004"/>
    <n v="55.1"/>
    <x v="1"/>
  </r>
  <r>
    <x v="450"/>
    <x v="450"/>
    <x v="41"/>
    <x v="2"/>
    <n v="1"/>
    <n v="667"/>
    <n v="342"/>
    <n v="304"/>
    <n v="225"/>
    <n v="397"/>
    <n v="879"/>
    <n v="673"/>
    <n v="74.3"/>
    <n v="4.5693754000000002"/>
    <n v="102.26568229999999"/>
    <n v="60.4"/>
    <n v="20"/>
    <n v="65.900000000000006"/>
    <n v="0"/>
    <n v="77.600000000000009"/>
    <n v="12.2"/>
    <n v="32.800000000000004"/>
    <n v="55.000000000000007"/>
    <x v="1"/>
  </r>
  <r>
    <x v="451"/>
    <x v="451"/>
    <x v="42"/>
    <x v="5"/>
    <n v="1"/>
    <n v="569"/>
    <n v="1001"/>
    <n v="228"/>
    <n v="378"/>
    <n v="629"/>
    <n v="602"/>
    <n v="541"/>
    <n v="74.3"/>
    <n v="35.868129799999998"/>
    <n v="-90.945675100000003"/>
    <n v="37.200000000000003"/>
    <n v="20"/>
    <n v="0"/>
    <n v="25.082508250825082"/>
    <n v="62.3"/>
    <n v="39.900000000000006"/>
    <n v="46"/>
    <n v="54.900000000000006"/>
    <x v="1"/>
  </r>
  <r>
    <x v="452"/>
    <x v="452"/>
    <x v="6"/>
    <x v="1"/>
    <n v="5"/>
    <n v="667"/>
    <n v="813"/>
    <n v="304"/>
    <n v="486"/>
    <n v="463"/>
    <n v="470"/>
    <n v="327"/>
    <n v="74.3"/>
    <n v="55.670248999999998"/>
    <n v="10.3333283"/>
    <n v="53.800000000000004"/>
    <n v="20"/>
    <n v="18.8"/>
    <n v="0"/>
    <n v="51.5"/>
    <n v="53.1"/>
    <n v="67.400000000000006"/>
    <n v="54.800000000000004"/>
    <x v="1"/>
  </r>
  <r>
    <x v="453"/>
    <x v="453"/>
    <x v="5"/>
    <x v="1"/>
    <n v="22"/>
    <n v="651"/>
    <n v="1001"/>
    <n v="304"/>
    <n v="519"/>
    <n v="437"/>
    <n v="355"/>
    <n v="460"/>
    <n v="74.3"/>
    <n v="46.603354000000003"/>
    <n v="1.8883335000000001"/>
    <n v="56.399999999999991"/>
    <n v="20"/>
    <n v="0"/>
    <n v="0"/>
    <n v="48.199999999999996"/>
    <n v="64.600000000000009"/>
    <n v="54.1"/>
    <n v="54.7"/>
    <x v="1"/>
  </r>
  <r>
    <x v="454"/>
    <x v="454"/>
    <x v="0"/>
    <x v="0"/>
    <n v="128"/>
    <n v="667"/>
    <n v="1001"/>
    <n v="304"/>
    <n v="463"/>
    <n v="421"/>
    <n v="480"/>
    <n v="405"/>
    <n v="74.3"/>
    <n v="39.783730400000003"/>
    <n v="-100.445882"/>
    <n v="57.999999999999993"/>
    <n v="20"/>
    <n v="0"/>
    <n v="0"/>
    <n v="53.800000000000004"/>
    <n v="52.1"/>
    <n v="59.599999999999994"/>
    <n v="54.6"/>
    <x v="1"/>
  </r>
  <r>
    <x v="455"/>
    <x v="455"/>
    <x v="12"/>
    <x v="1"/>
    <n v="21"/>
    <n v="667"/>
    <n v="1001"/>
    <n v="304"/>
    <n v="539"/>
    <n v="476"/>
    <n v="414"/>
    <n v="327"/>
    <n v="74.2"/>
    <n v="42.638426099999997"/>
    <n v="12.674296999999999"/>
    <n v="52.5"/>
    <n v="20"/>
    <n v="0"/>
    <n v="0"/>
    <n v="46.2"/>
    <n v="58.699999999999996"/>
    <n v="67.400000000000006"/>
    <n v="54.500000000000007"/>
    <x v="1"/>
  </r>
  <r>
    <x v="456"/>
    <x v="456"/>
    <x v="8"/>
    <x v="1"/>
    <n v="36"/>
    <n v="137"/>
    <n v="772"/>
    <n v="304"/>
    <n v="464"/>
    <n v="426"/>
    <n v="536"/>
    <n v="405"/>
    <n v="74.2"/>
    <n v="40.420347900000003"/>
    <n v="-79.116698299999996"/>
    <n v="57.499999999999993"/>
    <n v="79.579579579579587"/>
    <n v="22.900000000000002"/>
    <n v="0"/>
    <n v="53.7"/>
    <n v="46.5"/>
    <n v="59.599999999999994"/>
    <n v="54.400000000000006"/>
    <x v="1"/>
  </r>
  <r>
    <x v="457"/>
    <x v="457"/>
    <x v="5"/>
    <x v="1"/>
    <n v="23"/>
    <n v="667"/>
    <n v="1001"/>
    <n v="304"/>
    <n v="636"/>
    <n v="514"/>
    <n v="418"/>
    <n v="240"/>
    <n v="74.2"/>
    <n v="46.603354000000003"/>
    <n v="1.8883335000000001"/>
    <n v="48.699999999999996"/>
    <n v="20"/>
    <n v="0"/>
    <n v="0"/>
    <n v="36.5"/>
    <n v="58.3"/>
    <n v="76.099999999999994"/>
    <n v="54.300000000000004"/>
    <x v="1"/>
  </r>
  <r>
    <x v="458"/>
    <x v="458"/>
    <x v="0"/>
    <x v="0"/>
    <n v="129"/>
    <n v="667"/>
    <n v="1001"/>
    <n v="304"/>
    <n v="493"/>
    <n v="427"/>
    <n v="405"/>
    <n v="460"/>
    <n v="74.2"/>
    <n v="39.783730400000003"/>
    <n v="-100.445882"/>
    <n v="57.4"/>
    <n v="20"/>
    <n v="0"/>
    <n v="0"/>
    <n v="50.8"/>
    <n v="59.599999999999994"/>
    <n v="54.1"/>
    <n v="54.2"/>
    <x v="1"/>
  </r>
  <r>
    <x v="459"/>
    <x v="459"/>
    <x v="17"/>
    <x v="2"/>
    <n v="30"/>
    <n v="667"/>
    <n v="1001"/>
    <n v="304"/>
    <n v="274"/>
    <n v="314"/>
    <n v="765"/>
    <n v="898"/>
    <n v="74.2"/>
    <n v="30.047992000000001"/>
    <n v="-94.335743300000004"/>
    <n v="68.7"/>
    <n v="20"/>
    <n v="0"/>
    <n v="0"/>
    <n v="72.7"/>
    <n v="23.599999999999998"/>
    <n v="10.299999999999999"/>
    <n v="54.1"/>
    <x v="1"/>
  </r>
  <r>
    <x v="460"/>
    <x v="460"/>
    <x v="38"/>
    <x v="2"/>
    <n v="2"/>
    <n v="428"/>
    <n v="1001"/>
    <n v="254"/>
    <n v="217"/>
    <n v="436"/>
    <n v="1001"/>
    <n v="1001"/>
    <n v="74.2"/>
    <n v="2.9368696000000001"/>
    <n v="115.4443356"/>
    <n v="56.499999999999993"/>
    <n v="35.885885885885891"/>
    <n v="0"/>
    <n v="16.5016501650165"/>
    <n v="78.400000000000006"/>
    <n v="0"/>
    <n v="0"/>
    <n v="54"/>
    <x v="1"/>
  </r>
  <r>
    <x v="461"/>
    <x v="461"/>
    <x v="12"/>
    <x v="1"/>
    <n v="22"/>
    <n v="667"/>
    <n v="1001"/>
    <n v="304"/>
    <n v="523"/>
    <n v="490"/>
    <n v="506"/>
    <n v="275"/>
    <n v="74.2"/>
    <n v="42.638426099999997"/>
    <n v="12.674296999999999"/>
    <n v="51.1"/>
    <n v="20"/>
    <n v="0"/>
    <n v="0"/>
    <n v="47.8"/>
    <n v="49.5"/>
    <n v="72.599999999999994"/>
    <n v="53.900000000000006"/>
    <x v="1"/>
  </r>
  <r>
    <x v="462"/>
    <x v="462"/>
    <x v="43"/>
    <x v="1"/>
    <n v="1"/>
    <n v="667"/>
    <n v="1001"/>
    <n v="304"/>
    <n v="296"/>
    <n v="549"/>
    <n v="503"/>
    <n v="460"/>
    <n v="74.2"/>
    <n v="45.365844299999999"/>
    <n v="15.6575209"/>
    <n v="45.2"/>
    <n v="20"/>
    <n v="0"/>
    <n v="0"/>
    <n v="70.5"/>
    <n v="49.8"/>
    <n v="54.1"/>
    <n v="53.800000000000004"/>
    <x v="1"/>
  </r>
  <r>
    <x v="463"/>
    <x v="463"/>
    <x v="9"/>
    <x v="1"/>
    <n v="10"/>
    <n v="657"/>
    <n v="419"/>
    <n v="304"/>
    <n v="408"/>
    <n v="380"/>
    <n v="467"/>
    <n v="673"/>
    <n v="74.2"/>
    <n v="44.133434999999999"/>
    <n v="-70.822677999999996"/>
    <n v="62.1"/>
    <n v="20"/>
    <n v="58.199999999999996"/>
    <n v="0"/>
    <n v="59.3"/>
    <n v="53.400000000000006"/>
    <n v="32.800000000000004"/>
    <n v="53.7"/>
    <x v="1"/>
  </r>
  <r>
    <x v="464"/>
    <x v="464"/>
    <x v="17"/>
    <x v="2"/>
    <n v="31"/>
    <n v="667"/>
    <n v="1001"/>
    <n v="304"/>
    <n v="353"/>
    <n v="486"/>
    <n v="534"/>
    <n v="460"/>
    <n v="74.099999999999994"/>
    <n v="30.047992000000001"/>
    <n v="-94.335743300000004"/>
    <n v="51.5"/>
    <n v="20"/>
    <n v="0"/>
    <n v="0"/>
    <n v="64.8"/>
    <n v="46.7"/>
    <n v="54.1"/>
    <n v="53.6"/>
    <x v="1"/>
  </r>
  <r>
    <x v="465"/>
    <x v="465"/>
    <x v="24"/>
    <x v="1"/>
    <n v="5"/>
    <n v="667"/>
    <n v="1001"/>
    <n v="304"/>
    <n v="616"/>
    <n v="502"/>
    <n v="431"/>
    <n v="275"/>
    <n v="74.099999999999994"/>
    <n v="47.593969999999999"/>
    <n v="14.124560000000001"/>
    <n v="49.9"/>
    <n v="20"/>
    <n v="0"/>
    <n v="0"/>
    <n v="38.5"/>
    <n v="56.999999999999993"/>
    <n v="72.599999999999994"/>
    <n v="53.5"/>
    <x v="1"/>
  </r>
  <r>
    <x v="466"/>
    <x v="466"/>
    <x v="21"/>
    <x v="2"/>
    <n v="5"/>
    <n v="667"/>
    <n v="1001"/>
    <n v="304"/>
    <n v="359"/>
    <n v="346"/>
    <n v="485"/>
    <n v="898"/>
    <n v="74.099999999999994"/>
    <n v="23.598322700000001"/>
    <s v="120.83537694479215"/>
    <n v="65.5"/>
    <n v="20"/>
    <n v="0"/>
    <n v="0"/>
    <n v="64.2"/>
    <n v="51.6"/>
    <n v="10.299999999999999"/>
    <n v="53.400000000000006"/>
    <x v="1"/>
  </r>
  <r>
    <x v="467"/>
    <x v="467"/>
    <x v="3"/>
    <x v="0"/>
    <n v="20"/>
    <n v="667"/>
    <n v="1001"/>
    <n v="304"/>
    <n v="575"/>
    <n v="483"/>
    <n v="450"/>
    <n v="304"/>
    <n v="74.099999999999994"/>
    <n v="61.066692199999999"/>
    <n v="-107.99170700000001"/>
    <n v="51.800000000000004"/>
    <n v="20"/>
    <n v="0"/>
    <n v="0"/>
    <n v="42.6"/>
    <n v="55.1"/>
    <n v="69.699999999999989"/>
    <n v="53.300000000000004"/>
    <x v="1"/>
  </r>
  <r>
    <x v="468"/>
    <x v="468"/>
    <x v="0"/>
    <x v="0"/>
    <n v="130"/>
    <n v="667"/>
    <n v="1001"/>
    <n v="304"/>
    <n v="637"/>
    <n v="469"/>
    <n v="339"/>
    <n v="405"/>
    <n v="74.099999999999994"/>
    <n v="39.783730400000003"/>
    <n v="-100.445882"/>
    <n v="53.2"/>
    <n v="20"/>
    <n v="0"/>
    <n v="0"/>
    <n v="36.4"/>
    <n v="66.2"/>
    <n v="59.599999999999994"/>
    <n v="53.2"/>
    <x v="1"/>
  </r>
  <r>
    <x v="469"/>
    <x v="469"/>
    <x v="12"/>
    <x v="1"/>
    <n v="23"/>
    <n v="667"/>
    <n v="1001"/>
    <n v="304"/>
    <n v="594"/>
    <n v="539"/>
    <n v="423"/>
    <n v="275"/>
    <n v="74.099999999999994"/>
    <n v="42.638426099999997"/>
    <n v="12.674296999999999"/>
    <n v="46.2"/>
    <n v="20"/>
    <n v="0"/>
    <n v="0"/>
    <n v="40.699999999999996"/>
    <n v="57.8"/>
    <n v="72.599999999999994"/>
    <n v="53.1"/>
    <x v="1"/>
  </r>
  <r>
    <x v="470"/>
    <x v="470"/>
    <x v="44"/>
    <x v="2"/>
    <n v="1"/>
    <n v="667"/>
    <n v="1001"/>
    <n v="304"/>
    <n v="424"/>
    <n v="460"/>
    <n v="312"/>
    <n v="898"/>
    <n v="74.099999999999994"/>
    <n v="13.03876215"/>
    <s v="101.70017611907599"/>
    <n v="54.1"/>
    <n v="20"/>
    <n v="0"/>
    <n v="0"/>
    <n v="57.699999999999996"/>
    <n v="68.899999999999991"/>
    <n v="10.299999999999999"/>
    <n v="53"/>
    <x v="1"/>
  </r>
  <r>
    <x v="471"/>
    <x v="471"/>
    <x v="16"/>
    <x v="1"/>
    <n v="15"/>
    <n v="667"/>
    <n v="1001"/>
    <n v="304"/>
    <n v="374"/>
    <n v="371"/>
    <n v="575"/>
    <n v="673"/>
    <n v="74.099999999999994"/>
    <n v="39.326068499999998"/>
    <n v="-4.8379791000000001"/>
    <n v="63"/>
    <n v="20"/>
    <n v="0"/>
    <n v="0"/>
    <n v="62.7"/>
    <n v="42.6"/>
    <n v="32.800000000000004"/>
    <n v="52.900000000000006"/>
    <x v="1"/>
  </r>
  <r>
    <x v="472"/>
    <x v="472"/>
    <x v="28"/>
    <x v="1"/>
    <n v="3"/>
    <n v="526"/>
    <n v="1001"/>
    <n v="304"/>
    <n v="518"/>
    <n v="452"/>
    <n v="447"/>
    <n v="405"/>
    <n v="74.099999999999994"/>
    <n v="52.865195999999997"/>
    <n v="-7.9794599000000002"/>
    <n v="54.900000000000006"/>
    <n v="21.171171171171171"/>
    <n v="0"/>
    <n v="0"/>
    <n v="48.3"/>
    <n v="55.400000000000006"/>
    <n v="59.599999999999994"/>
    <n v="52.800000000000004"/>
    <x v="1"/>
  </r>
  <r>
    <x v="473"/>
    <x v="473"/>
    <x v="8"/>
    <x v="1"/>
    <n v="37"/>
    <n v="667"/>
    <n v="1001"/>
    <n v="304"/>
    <n v="449"/>
    <n v="454"/>
    <n v="555"/>
    <n v="405"/>
    <n v="74"/>
    <n v="40.420347900000003"/>
    <n v="-79.116698299999996"/>
    <n v="54.7"/>
    <n v="20"/>
    <n v="0"/>
    <n v="0"/>
    <n v="55.2"/>
    <n v="44.6"/>
    <n v="59.599999999999994"/>
    <n v="52.7"/>
    <x v="1"/>
  </r>
  <r>
    <x v="474"/>
    <x v="474"/>
    <x v="12"/>
    <x v="1"/>
    <n v="24"/>
    <n v="667"/>
    <n v="776"/>
    <n v="304"/>
    <n v="516"/>
    <n v="481"/>
    <n v="533"/>
    <n v="327"/>
    <n v="74"/>
    <n v="42.638426099999997"/>
    <n v="12.674296999999999"/>
    <n v="52"/>
    <n v="20"/>
    <n v="22.5"/>
    <n v="0"/>
    <n v="48.5"/>
    <n v="46.800000000000004"/>
    <n v="67.400000000000006"/>
    <n v="52.6"/>
    <x v="1"/>
  </r>
  <r>
    <x v="475"/>
    <x v="475"/>
    <x v="45"/>
    <x v="1"/>
    <n v="1"/>
    <n v="667"/>
    <n v="1001"/>
    <n v="304"/>
    <n v="770"/>
    <n v="597"/>
    <n v="257"/>
    <n v="327"/>
    <n v="74"/>
    <n v="64.984182099999998"/>
    <n v="-18.105901299999999"/>
    <n v="40.400000000000006"/>
    <n v="20"/>
    <n v="0"/>
    <n v="0"/>
    <n v="23.1"/>
    <n v="74.400000000000006"/>
    <n v="67.400000000000006"/>
    <n v="52.5"/>
    <x v="1"/>
  </r>
  <r>
    <x v="476"/>
    <x v="476"/>
    <x v="8"/>
    <x v="1"/>
    <n v="38"/>
    <n v="667"/>
    <n v="1001"/>
    <n v="304"/>
    <n v="667"/>
    <n v="523"/>
    <n v="362"/>
    <n v="327"/>
    <n v="74"/>
    <n v="40.420347900000003"/>
    <n v="-79.116698299999996"/>
    <n v="47.8"/>
    <n v="20"/>
    <n v="0"/>
    <n v="0"/>
    <n v="33.4"/>
    <n v="63.9"/>
    <n v="67.400000000000006"/>
    <n v="52.400000000000006"/>
    <x v="1"/>
  </r>
  <r>
    <x v="477"/>
    <x v="477"/>
    <x v="0"/>
    <x v="0"/>
    <n v="131"/>
    <n v="600"/>
    <n v="260"/>
    <n v="304"/>
    <n v="501"/>
    <n v="467"/>
    <n v="487"/>
    <n v="460"/>
    <n v="74"/>
    <n v="39.783730400000003"/>
    <n v="-100.445882"/>
    <n v="53.400000000000006"/>
    <n v="20"/>
    <n v="74.099999999999994"/>
    <n v="0"/>
    <n v="50"/>
    <n v="51.4"/>
    <n v="54.1"/>
    <n v="52.300000000000004"/>
    <x v="1"/>
  </r>
  <r>
    <x v="478"/>
    <x v="478"/>
    <x v="12"/>
    <x v="1"/>
    <n v="25"/>
    <n v="667"/>
    <n v="1001"/>
    <n v="304"/>
    <n v="565"/>
    <n v="485"/>
    <n v="474"/>
    <n v="405"/>
    <n v="74"/>
    <n v="42.638426099999997"/>
    <n v="12.674296999999999"/>
    <n v="51.6"/>
    <n v="20"/>
    <n v="0"/>
    <n v="0"/>
    <n v="43.6"/>
    <n v="52.7"/>
    <n v="59.599999999999994"/>
    <n v="52.2"/>
    <x v="1"/>
  </r>
  <r>
    <x v="479"/>
    <x v="479"/>
    <x v="0"/>
    <x v="0"/>
    <n v="132"/>
    <n v="667"/>
    <n v="664"/>
    <n v="304"/>
    <n v="554"/>
    <n v="449"/>
    <n v="453"/>
    <n v="405"/>
    <n v="74"/>
    <n v="39.783730400000003"/>
    <n v="-100.445882"/>
    <n v="55.2"/>
    <n v="20"/>
    <n v="33.700000000000003"/>
    <n v="0"/>
    <n v="44.7"/>
    <n v="54.800000000000004"/>
    <n v="59.599999999999994"/>
    <n v="52.1"/>
    <x v="1"/>
  </r>
  <r>
    <x v="480"/>
    <x v="480"/>
    <x v="0"/>
    <x v="0"/>
    <n v="133"/>
    <n v="332"/>
    <n v="27"/>
    <n v="304"/>
    <n v="976"/>
    <n v="735"/>
    <n v="605"/>
    <n v="460"/>
    <n v="74"/>
    <n v="39.783730400000003"/>
    <n v="-100.445882"/>
    <n v="26.6"/>
    <n v="50.300300300300307"/>
    <n v="97.399999999999991"/>
    <n v="0"/>
    <n v="2.5"/>
    <n v="39.6"/>
    <n v="54.1"/>
    <n v="52"/>
    <x v="1"/>
  </r>
  <r>
    <x v="481"/>
    <x v="481"/>
    <x v="2"/>
    <x v="2"/>
    <n v="15"/>
    <n v="667"/>
    <n v="1001"/>
    <n v="304"/>
    <n v="415"/>
    <n v="432"/>
    <n v="374"/>
    <n v="898"/>
    <n v="74"/>
    <n v="36.5748441"/>
    <n v="139.23941790000001"/>
    <n v="56.899999999999991"/>
    <n v="20"/>
    <n v="0"/>
    <n v="0"/>
    <n v="58.599999999999994"/>
    <n v="62.7"/>
    <n v="10.299999999999999"/>
    <n v="51.9"/>
    <x v="1"/>
  </r>
  <r>
    <x v="482"/>
    <x v="482"/>
    <x v="0"/>
    <x v="0"/>
    <n v="134"/>
    <n v="667"/>
    <n v="1001"/>
    <n v="304"/>
    <n v="649"/>
    <n v="509"/>
    <n v="345"/>
    <n v="405"/>
    <n v="73.900000000000006"/>
    <n v="39.783730400000003"/>
    <n v="-100.445882"/>
    <n v="49.2"/>
    <n v="20"/>
    <n v="0"/>
    <n v="0"/>
    <n v="35.199999999999996"/>
    <n v="65.600000000000009"/>
    <n v="59.599999999999994"/>
    <n v="51.800000000000004"/>
    <x v="1"/>
  </r>
  <r>
    <x v="483"/>
    <x v="483"/>
    <x v="17"/>
    <x v="2"/>
    <n v="32"/>
    <n v="667"/>
    <n v="720"/>
    <n v="304"/>
    <n v="291"/>
    <n v="393"/>
    <n v="952"/>
    <n v="673"/>
    <n v="73.900000000000006"/>
    <n v="30.047992000000001"/>
    <n v="-94.335743300000004"/>
    <n v="60.8"/>
    <n v="20"/>
    <n v="28.1"/>
    <n v="0"/>
    <n v="71"/>
    <n v="4.9000000000000004"/>
    <n v="32.800000000000004"/>
    <n v="51.7"/>
    <x v="1"/>
  </r>
  <r>
    <x v="484"/>
    <x v="484"/>
    <x v="17"/>
    <x v="2"/>
    <n v="33"/>
    <n v="667"/>
    <n v="803"/>
    <n v="304"/>
    <n v="232"/>
    <n v="323"/>
    <n v="965"/>
    <n v="1001"/>
    <n v="73.900000000000006"/>
    <n v="30.047992000000001"/>
    <n v="-94.335743300000004"/>
    <n v="67.800000000000011"/>
    <n v="20"/>
    <n v="19.8"/>
    <n v="0"/>
    <n v="76.900000000000006"/>
    <n v="3.5999999999999996"/>
    <n v="0"/>
    <n v="51.6"/>
    <x v="1"/>
  </r>
  <r>
    <x v="485"/>
    <x v="485"/>
    <x v="0"/>
    <x v="0"/>
    <n v="135"/>
    <n v="497"/>
    <n v="456"/>
    <n v="304"/>
    <n v="648"/>
    <n v="511"/>
    <n v="366"/>
    <n v="405"/>
    <n v="73.900000000000006"/>
    <n v="39.783730400000003"/>
    <n v="-100.445882"/>
    <n v="49"/>
    <n v="25.525525525525527"/>
    <n v="54.500000000000007"/>
    <n v="0"/>
    <n v="35.299999999999997"/>
    <n v="63.5"/>
    <n v="59.599999999999994"/>
    <n v="51.5"/>
    <x v="1"/>
  </r>
  <r>
    <x v="486"/>
    <x v="486"/>
    <x v="5"/>
    <x v="1"/>
    <n v="24"/>
    <n v="667"/>
    <n v="505"/>
    <n v="304"/>
    <n v="632"/>
    <n v="484"/>
    <n v="359"/>
    <n v="460"/>
    <n v="73.900000000000006"/>
    <n v="46.603354000000003"/>
    <n v="1.8883335000000001"/>
    <n v="51.7"/>
    <n v="20"/>
    <n v="49.6"/>
    <n v="0"/>
    <n v="36.9"/>
    <n v="64.2"/>
    <n v="54.1"/>
    <n v="51.4"/>
    <x v="1"/>
  </r>
  <r>
    <x v="487"/>
    <x v="487"/>
    <x v="44"/>
    <x v="2"/>
    <n v="2"/>
    <n v="667"/>
    <n v="117"/>
    <n v="304"/>
    <n v="435"/>
    <n v="582"/>
    <n v="645"/>
    <n v="460"/>
    <n v="73.900000000000006"/>
    <n v="13.03876215"/>
    <s v="101.70017611907599"/>
    <n v="41.9"/>
    <n v="20"/>
    <n v="88.4"/>
    <n v="0"/>
    <n v="56.599999999999994"/>
    <n v="35.6"/>
    <n v="54.1"/>
    <n v="51.300000000000004"/>
    <x v="1"/>
  </r>
  <r>
    <x v="488"/>
    <x v="488"/>
    <x v="14"/>
    <x v="1"/>
    <n v="4"/>
    <n v="667"/>
    <n v="1001"/>
    <n v="304"/>
    <n v="541"/>
    <n v="456"/>
    <n v="387"/>
    <n v="541"/>
    <n v="73.900000000000006"/>
    <n v="64.573153700000006"/>
    <s v="11.52803643954819"/>
    <n v="54.500000000000007"/>
    <n v="20"/>
    <n v="0"/>
    <n v="0"/>
    <n v="46"/>
    <n v="61.4"/>
    <n v="46"/>
    <n v="51.2"/>
    <x v="1"/>
  </r>
  <r>
    <x v="489"/>
    <x v="489"/>
    <x v="46"/>
    <x v="1"/>
    <n v="1"/>
    <n v="521"/>
    <n v="1001"/>
    <n v="304"/>
    <n v="590"/>
    <n v="577"/>
    <n v="272"/>
    <n v="541"/>
    <n v="73.900000000000006"/>
    <n v="58.752377799999998"/>
    <n v="25.3319078"/>
    <n v="42.4"/>
    <n v="21.921921921921921"/>
    <n v="0"/>
    <n v="0"/>
    <n v="41.099999999999994"/>
    <n v="72.899999999999991"/>
    <n v="46"/>
    <n v="51.1"/>
    <x v="1"/>
  </r>
  <r>
    <x v="490"/>
    <x v="490"/>
    <x v="0"/>
    <x v="0"/>
    <n v="136"/>
    <n v="299"/>
    <n v="246"/>
    <n v="304"/>
    <n v="580"/>
    <n v="536"/>
    <n v="531"/>
    <n v="327"/>
    <n v="73.900000000000006"/>
    <n v="39.783730400000003"/>
    <n v="-100.445882"/>
    <n v="46.5"/>
    <n v="55.25525525525525"/>
    <n v="75.5"/>
    <n v="0"/>
    <n v="42.1"/>
    <n v="47"/>
    <n v="67.400000000000006"/>
    <n v="51"/>
    <x v="1"/>
  </r>
  <r>
    <x v="491"/>
    <x v="491"/>
    <x v="7"/>
    <x v="2"/>
    <n v="6"/>
    <n v="533"/>
    <n v="840"/>
    <n v="304"/>
    <n v="512"/>
    <n v="438"/>
    <n v="379"/>
    <n v="673"/>
    <n v="73.8"/>
    <n v="39.3181528"/>
    <n v="-79.810901400000006"/>
    <n v="56.3"/>
    <n v="20.12012012012012"/>
    <n v="16.100000000000001"/>
    <n v="0"/>
    <n v="48.9"/>
    <n v="62.2"/>
    <n v="32.800000000000004"/>
    <n v="50.9"/>
    <x v="1"/>
  </r>
  <r>
    <x v="492"/>
    <x v="492"/>
    <x v="10"/>
    <x v="3"/>
    <n v="18"/>
    <n v="253"/>
    <n v="1001"/>
    <n v="304"/>
    <n v="511"/>
    <n v="476"/>
    <n v="406"/>
    <n v="541"/>
    <n v="73.8"/>
    <n v="-24.776108600000001"/>
    <n v="134.755"/>
    <n v="52.5"/>
    <n v="62.162162162162161"/>
    <n v="0"/>
    <n v="0"/>
    <n v="49"/>
    <n v="59.5"/>
    <n v="46"/>
    <n v="50.8"/>
    <x v="1"/>
  </r>
  <r>
    <x v="493"/>
    <x v="493"/>
    <x v="8"/>
    <x v="1"/>
    <n v="39"/>
    <n v="667"/>
    <n v="531"/>
    <n v="304"/>
    <n v="464"/>
    <n v="420"/>
    <n v="469"/>
    <n v="673"/>
    <n v="73.8"/>
    <n v="40.420347900000003"/>
    <n v="-79.116698299999996"/>
    <n v="58.099999999999994"/>
    <n v="20"/>
    <n v="47"/>
    <n v="0"/>
    <n v="53.7"/>
    <n v="53.2"/>
    <n v="32.800000000000004"/>
    <n v="50.7"/>
    <x v="1"/>
  </r>
  <r>
    <x v="494"/>
    <x v="494"/>
    <x v="0"/>
    <x v="0"/>
    <n v="137"/>
    <n v="667"/>
    <n v="980"/>
    <n v="304"/>
    <n v="492"/>
    <n v="465"/>
    <n v="583"/>
    <n v="405"/>
    <n v="73.8"/>
    <n v="39.783730400000003"/>
    <n v="-100.445882"/>
    <n v="53.6"/>
    <n v="20"/>
    <n v="2.1"/>
    <n v="0"/>
    <n v="50.9"/>
    <n v="41.8"/>
    <n v="59.599999999999994"/>
    <n v="50.6"/>
    <x v="1"/>
  </r>
  <r>
    <x v="495"/>
    <x v="495"/>
    <x v="17"/>
    <x v="2"/>
    <n v="34"/>
    <n v="667"/>
    <n v="542"/>
    <n v="304"/>
    <n v="365"/>
    <n v="400"/>
    <n v="1001"/>
    <n v="541"/>
    <n v="73.8"/>
    <n v="30.047992000000001"/>
    <n v="-94.335743300000004"/>
    <n v="60.099999999999994"/>
    <n v="20"/>
    <n v="45.9"/>
    <n v="0"/>
    <n v="63.6"/>
    <n v="0"/>
    <n v="46"/>
    <n v="50.5"/>
    <x v="1"/>
  </r>
  <r>
    <x v="496"/>
    <x v="496"/>
    <x v="17"/>
    <x v="2"/>
    <n v="35"/>
    <n v="667"/>
    <n v="1001"/>
    <n v="304"/>
    <n v="300"/>
    <n v="362"/>
    <n v="829"/>
    <n v="898"/>
    <n v="73.8"/>
    <n v="30.047992000000001"/>
    <n v="-94.335743300000004"/>
    <n v="63.9"/>
    <n v="20"/>
    <n v="0"/>
    <n v="0"/>
    <n v="70.099999999999994"/>
    <n v="17.2"/>
    <n v="10.299999999999999"/>
    <n v="50.4"/>
    <x v="1"/>
  </r>
  <r>
    <x v="497"/>
    <x v="497"/>
    <x v="1"/>
    <x v="1"/>
    <n v="36"/>
    <n v="667"/>
    <n v="1001"/>
    <n v="194"/>
    <n v="788"/>
    <n v="701"/>
    <n v="432"/>
    <n v="541"/>
    <n v="73.8"/>
    <n v="54.702354499999998"/>
    <n v="-3.2765753000000002"/>
    <n v="30"/>
    <n v="20"/>
    <n v="0"/>
    <n v="36.303630363036305"/>
    <n v="21.3"/>
    <n v="56.899999999999991"/>
    <n v="46"/>
    <n v="50.3"/>
    <x v="1"/>
  </r>
  <r>
    <x v="498"/>
    <x v="498"/>
    <x v="0"/>
    <x v="0"/>
    <n v="138"/>
    <n v="667"/>
    <n v="559"/>
    <n v="304"/>
    <n v="715"/>
    <n v="561"/>
    <n v="344"/>
    <n v="363"/>
    <n v="73.8"/>
    <n v="39.783730400000003"/>
    <n v="-100.445882"/>
    <n v="44"/>
    <n v="20"/>
    <n v="44.2"/>
    <n v="0"/>
    <n v="28.599999999999998"/>
    <n v="65.7"/>
    <n v="63.800000000000004"/>
    <n v="50.2"/>
    <x v="1"/>
  </r>
  <r>
    <x v="499"/>
    <x v="499"/>
    <x v="0"/>
    <x v="0"/>
    <n v="139"/>
    <n v="289"/>
    <n v="48"/>
    <n v="304"/>
    <n v="891"/>
    <n v="695"/>
    <n v="500"/>
    <n v="405"/>
    <n v="73.8"/>
    <n v="39.783730400000003"/>
    <n v="-100.445882"/>
    <n v="30.599999999999998"/>
    <n v="56.756756756756758"/>
    <n v="95.3"/>
    <n v="0"/>
    <n v="11"/>
    <n v="50.1"/>
    <n v="59.599999999999994"/>
    <n v="50.1"/>
    <x v="1"/>
  </r>
  <r>
    <x v="500"/>
    <x v="500"/>
    <x v="21"/>
    <x v="2"/>
    <n v="6"/>
    <n v="402"/>
    <n v="1001"/>
    <n v="304"/>
    <n v="451"/>
    <n v="444"/>
    <n v="455"/>
    <n v="673"/>
    <n v="73.7"/>
    <n v="23.598322700000001"/>
    <s v="120.83537694479215"/>
    <n v="55.7"/>
    <n v="39.789789789789793"/>
    <n v="0"/>
    <n v="0"/>
    <n v="55.000000000000007"/>
    <n v="54.6"/>
    <n v="32.800000000000004"/>
    <n v="50"/>
    <x v="2"/>
  </r>
  <r>
    <x v="501"/>
    <x v="501"/>
    <x v="13"/>
    <x v="1"/>
    <n v="13"/>
    <n v="667"/>
    <n v="395"/>
    <n v="172"/>
    <n v="760"/>
    <n v="575"/>
    <n v="1001"/>
    <n v="460"/>
    <n v="73.7"/>
    <n v="52.243497900000001"/>
    <n v="5.6343227000000002"/>
    <n v="42.6"/>
    <n v="20"/>
    <n v="60.6"/>
    <n v="43.564356435643568"/>
    <n v="24.099999999999998"/>
    <n v="0"/>
    <n v="54.1"/>
    <n v="49.9"/>
    <x v="2"/>
  </r>
  <r>
    <x v="502"/>
    <x v="502"/>
    <x v="17"/>
    <x v="2"/>
    <n v="36"/>
    <n v="667"/>
    <n v="204"/>
    <n v="304"/>
    <n v="333"/>
    <n v="439"/>
    <n v="1001"/>
    <n v="673"/>
    <n v="73.7"/>
    <n v="30.047992000000001"/>
    <n v="-94.335743300000004"/>
    <n v="56.2"/>
    <n v="20"/>
    <n v="79.7"/>
    <n v="0"/>
    <n v="66.8"/>
    <n v="0"/>
    <n v="32.800000000000004"/>
    <n v="49.8"/>
    <x v="2"/>
  </r>
  <r>
    <x v="503"/>
    <x v="503"/>
    <x v="1"/>
    <x v="1"/>
    <n v="37"/>
    <n v="406"/>
    <n v="475"/>
    <n v="304"/>
    <n v="525"/>
    <n v="459"/>
    <n v="545"/>
    <n v="460"/>
    <n v="73.7"/>
    <n v="54.702354499999998"/>
    <n v="-3.2765753000000002"/>
    <n v="54.2"/>
    <n v="39.189189189189186"/>
    <n v="52.6"/>
    <n v="0"/>
    <n v="47.599999999999994"/>
    <n v="45.6"/>
    <n v="54.1"/>
    <n v="49.7"/>
    <x v="2"/>
  </r>
  <r>
    <x v="504"/>
    <x v="504"/>
    <x v="2"/>
    <x v="2"/>
    <n v="16"/>
    <n v="667"/>
    <n v="1001"/>
    <n v="304"/>
    <n v="563"/>
    <n v="505"/>
    <n v="369"/>
    <n v="541"/>
    <n v="73.7"/>
    <n v="36.5748441"/>
    <n v="139.23941790000001"/>
    <n v="49.6"/>
    <n v="20"/>
    <n v="0"/>
    <n v="0"/>
    <n v="43.8"/>
    <n v="63.2"/>
    <n v="46"/>
    <n v="49.6"/>
    <x v="2"/>
  </r>
  <r>
    <x v="505"/>
    <x v="505"/>
    <x v="5"/>
    <x v="1"/>
    <n v="25"/>
    <n v="118"/>
    <n v="171"/>
    <n v="128"/>
    <n v="955"/>
    <n v="677"/>
    <n v="495"/>
    <n v="898"/>
    <n v="73.7"/>
    <n v="46.603354000000003"/>
    <n v="1.8883335000000001"/>
    <n v="32.4"/>
    <n v="82.432432432432435"/>
    <n v="83"/>
    <n v="58.085808580858092"/>
    <n v="4.5999999999999996"/>
    <n v="50.6"/>
    <n v="10.299999999999999"/>
    <n v="49.5"/>
    <x v="2"/>
  </r>
  <r>
    <x v="506"/>
    <x v="506"/>
    <x v="8"/>
    <x v="1"/>
    <n v="40"/>
    <n v="667"/>
    <n v="1001"/>
    <n v="304"/>
    <n v="601"/>
    <n v="489"/>
    <n v="327"/>
    <n v="673"/>
    <n v="73.7"/>
    <n v="40.420347900000003"/>
    <n v="-79.116698299999996"/>
    <n v="51.2"/>
    <n v="20"/>
    <n v="0"/>
    <n v="0"/>
    <n v="40"/>
    <n v="67.400000000000006"/>
    <n v="32.800000000000004"/>
    <n v="49.4"/>
    <x v="2"/>
  </r>
  <r>
    <x v="507"/>
    <x v="507"/>
    <x v="0"/>
    <x v="0"/>
    <n v="140"/>
    <n v="571"/>
    <n v="829"/>
    <n v="304"/>
    <n v="584"/>
    <n v="527"/>
    <n v="440"/>
    <n v="405"/>
    <n v="73.7"/>
    <n v="39.783730400000003"/>
    <n v="-100.445882"/>
    <n v="47.4"/>
    <n v="20"/>
    <n v="17.2"/>
    <n v="0"/>
    <n v="41.699999999999996"/>
    <n v="56.100000000000009"/>
    <n v="59.599999999999994"/>
    <n v="49.3"/>
    <x v="2"/>
  </r>
  <r>
    <x v="508"/>
    <x v="508"/>
    <x v="12"/>
    <x v="1"/>
    <n v="26"/>
    <n v="667"/>
    <n v="1001"/>
    <n v="304"/>
    <n v="438"/>
    <n v="494"/>
    <n v="633"/>
    <n v="460"/>
    <n v="73.7"/>
    <n v="42.638426099999997"/>
    <n v="12.674296999999999"/>
    <n v="50.7"/>
    <n v="20"/>
    <n v="0"/>
    <n v="0"/>
    <n v="56.3"/>
    <n v="36.799999999999997"/>
    <n v="54.1"/>
    <n v="49.2"/>
    <x v="2"/>
  </r>
  <r>
    <x v="509"/>
    <x v="509"/>
    <x v="21"/>
    <x v="2"/>
    <n v="7"/>
    <n v="667"/>
    <n v="1001"/>
    <n v="304"/>
    <n v="314"/>
    <n v="337"/>
    <n v="687"/>
    <n v="1001"/>
    <n v="73.599999999999994"/>
    <n v="23.598322700000001"/>
    <s v="120.83537694479215"/>
    <n v="66.400000000000006"/>
    <n v="20"/>
    <n v="0"/>
    <n v="0"/>
    <n v="68.7"/>
    <n v="31.4"/>
    <n v="0"/>
    <n v="49.1"/>
    <x v="2"/>
  </r>
  <r>
    <x v="510"/>
    <x v="510"/>
    <x v="12"/>
    <x v="1"/>
    <n v="27"/>
    <n v="425"/>
    <n v="1001"/>
    <n v="304"/>
    <n v="419"/>
    <n v="469"/>
    <n v="771"/>
    <n v="460"/>
    <n v="73.599999999999994"/>
    <n v="42.638426099999997"/>
    <n v="12.674296999999999"/>
    <n v="53.2"/>
    <n v="36.336336336336338"/>
    <n v="0"/>
    <n v="0"/>
    <n v="58.199999999999996"/>
    <n v="23"/>
    <n v="54.1"/>
    <n v="49"/>
    <x v="2"/>
  </r>
  <r>
    <x v="511"/>
    <x v="511"/>
    <x v="0"/>
    <x v="0"/>
    <n v="141"/>
    <n v="667"/>
    <n v="152"/>
    <n v="304"/>
    <n v="813"/>
    <n v="611"/>
    <n v="368"/>
    <n v="363"/>
    <n v="73.599999999999994"/>
    <n v="39.783730400000003"/>
    <n v="-100.445882"/>
    <n v="39"/>
    <n v="20"/>
    <n v="84.899999999999991"/>
    <n v="0"/>
    <n v="18.8"/>
    <n v="63.3"/>
    <n v="63.800000000000004"/>
    <n v="48.9"/>
    <x v="2"/>
  </r>
  <r>
    <x v="512"/>
    <x v="512"/>
    <x v="5"/>
    <x v="1"/>
    <n v="26"/>
    <n v="667"/>
    <n v="1001"/>
    <n v="304"/>
    <n v="568"/>
    <n v="497"/>
    <n v="509"/>
    <n v="405"/>
    <n v="73.599999999999994"/>
    <n v="46.603354000000003"/>
    <n v="1.8883335000000001"/>
    <n v="50.4"/>
    <n v="20"/>
    <n v="0"/>
    <n v="0"/>
    <n v="43.3"/>
    <n v="49.2"/>
    <n v="59.599999999999994"/>
    <n v="48.8"/>
    <x v="2"/>
  </r>
  <r>
    <x v="513"/>
    <x v="513"/>
    <x v="18"/>
    <x v="1"/>
    <n v="6"/>
    <n v="667"/>
    <n v="715"/>
    <n v="304"/>
    <n v="638"/>
    <n v="528"/>
    <n v="381"/>
    <n v="460"/>
    <n v="73.599999999999994"/>
    <n v="63.246777700000003"/>
    <n v="25.920916399999999"/>
    <n v="47.3"/>
    <n v="20"/>
    <n v="28.599999999999998"/>
    <n v="0"/>
    <n v="36.299999999999997"/>
    <n v="62"/>
    <n v="54.1"/>
    <n v="48.699999999999996"/>
    <x v="2"/>
  </r>
  <r>
    <x v="514"/>
    <x v="514"/>
    <x v="17"/>
    <x v="2"/>
    <n v="37"/>
    <n v="667"/>
    <n v="1001"/>
    <n v="304"/>
    <n v="309"/>
    <n v="399"/>
    <n v="1001"/>
    <n v="673"/>
    <n v="73.599999999999994"/>
    <n v="30.047992000000001"/>
    <n v="-94.335743300000004"/>
    <n v="60.199999999999996"/>
    <n v="20"/>
    <n v="0"/>
    <n v="0"/>
    <n v="69.199999999999989"/>
    <n v="0"/>
    <n v="32.800000000000004"/>
    <n v="48.6"/>
    <x v="2"/>
  </r>
  <r>
    <x v="515"/>
    <x v="515"/>
    <x v="5"/>
    <x v="1"/>
    <n v="27"/>
    <n v="496"/>
    <n v="1001"/>
    <n v="188"/>
    <n v="784"/>
    <n v="662"/>
    <n v="609"/>
    <n v="541"/>
    <n v="73.599999999999994"/>
    <n v="46.603354000000003"/>
    <n v="1.8883335000000001"/>
    <n v="33.900000000000006"/>
    <n v="25.675675675675674"/>
    <n v="0"/>
    <n v="38.283828382838287"/>
    <n v="21.7"/>
    <n v="39.200000000000003"/>
    <n v="46"/>
    <n v="48.5"/>
    <x v="2"/>
  </r>
  <r>
    <x v="516"/>
    <x v="516"/>
    <x v="0"/>
    <x v="0"/>
    <n v="142"/>
    <n v="352"/>
    <n v="726"/>
    <n v="304"/>
    <n v="657"/>
    <n v="579"/>
    <n v="438"/>
    <n v="363"/>
    <n v="73.599999999999994"/>
    <n v="39.783730400000003"/>
    <n v="-100.445882"/>
    <n v="42.199999999999996"/>
    <n v="47.297297297297298"/>
    <n v="27.500000000000004"/>
    <n v="0"/>
    <n v="34.4"/>
    <n v="56.3"/>
    <n v="63.800000000000004"/>
    <n v="48.4"/>
    <x v="2"/>
  </r>
  <r>
    <x v="517"/>
    <x v="517"/>
    <x v="28"/>
    <x v="1"/>
    <n v="4"/>
    <n v="667"/>
    <n v="1001"/>
    <n v="304"/>
    <n v="651"/>
    <n v="565"/>
    <n v="442"/>
    <n v="363"/>
    <n v="73.599999999999994"/>
    <n v="52.865195999999997"/>
    <n v="-7.9794599000000002"/>
    <n v="43.6"/>
    <n v="20"/>
    <n v="0"/>
    <n v="0"/>
    <n v="35"/>
    <n v="55.900000000000006"/>
    <n v="63.800000000000004"/>
    <n v="48.3"/>
    <x v="2"/>
  </r>
  <r>
    <x v="518"/>
    <x v="518"/>
    <x v="40"/>
    <x v="2"/>
    <n v="2"/>
    <n v="667"/>
    <n v="1001"/>
    <n v="304"/>
    <n v="699"/>
    <n v="534"/>
    <n v="444"/>
    <n v="363"/>
    <n v="73.599999999999994"/>
    <n v="22.351114800000001"/>
    <n v="78.667742799999999"/>
    <n v="46.7"/>
    <n v="20"/>
    <n v="0"/>
    <n v="0"/>
    <n v="30.2"/>
    <n v="55.7"/>
    <n v="63.800000000000004"/>
    <n v="48.199999999999996"/>
    <x v="2"/>
  </r>
  <r>
    <x v="519"/>
    <x v="519"/>
    <x v="5"/>
    <x v="1"/>
    <n v="28"/>
    <n v="450"/>
    <n v="1001"/>
    <n v="304"/>
    <n v="566"/>
    <n v="498"/>
    <n v="504"/>
    <n v="460"/>
    <n v="73.5"/>
    <n v="46.603354000000003"/>
    <n v="1.8883335000000001"/>
    <n v="50.3"/>
    <n v="32.582582582582582"/>
    <n v="0"/>
    <n v="0"/>
    <n v="43.5"/>
    <n v="49.7"/>
    <n v="54.1"/>
    <n v="48.1"/>
    <x v="2"/>
  </r>
  <r>
    <x v="520"/>
    <x v="520"/>
    <x v="21"/>
    <x v="2"/>
    <n v="8"/>
    <n v="667"/>
    <n v="333"/>
    <n v="304"/>
    <n v="467"/>
    <n v="478"/>
    <n v="741"/>
    <n v="541"/>
    <n v="73.5"/>
    <n v="23.598322700000001"/>
    <s v="120.83537694479215"/>
    <n v="52.300000000000004"/>
    <n v="20"/>
    <n v="66.8"/>
    <n v="0"/>
    <n v="53.400000000000006"/>
    <n v="26"/>
    <n v="46"/>
    <n v="48"/>
    <x v="2"/>
  </r>
  <r>
    <x v="521"/>
    <x v="521"/>
    <x v="26"/>
    <x v="1"/>
    <n v="5"/>
    <n v="667"/>
    <n v="1001"/>
    <n v="304"/>
    <n v="507"/>
    <n v="542"/>
    <n v="696"/>
    <n v="363"/>
    <n v="73.5"/>
    <n v="39.662164799999999"/>
    <n v="-8.1353518999999999"/>
    <n v="45.9"/>
    <n v="20"/>
    <n v="0"/>
    <n v="0"/>
    <n v="49.4"/>
    <n v="30.5"/>
    <n v="63.800000000000004"/>
    <n v="47.9"/>
    <x v="2"/>
  </r>
  <r>
    <x v="522"/>
    <x v="522"/>
    <x v="1"/>
    <x v="1"/>
    <n v="38"/>
    <n v="554"/>
    <n v="223"/>
    <n v="201"/>
    <n v="754"/>
    <n v="631"/>
    <n v="573"/>
    <n v="898"/>
    <n v="73.5"/>
    <n v="54.702354499999998"/>
    <n v="-3.2765753000000002"/>
    <n v="37"/>
    <n v="20"/>
    <n v="77.8"/>
    <n v="33.993399339933994"/>
    <n v="24.7"/>
    <n v="42.8"/>
    <n v="10.299999999999999"/>
    <n v="47.8"/>
    <x v="2"/>
  </r>
  <r>
    <x v="523"/>
    <x v="523"/>
    <x v="1"/>
    <x v="1"/>
    <n v="39"/>
    <n v="667"/>
    <n v="1001"/>
    <n v="304"/>
    <n v="825"/>
    <n v="633"/>
    <n v="407"/>
    <n v="254"/>
    <n v="73.5"/>
    <n v="54.702354499999998"/>
    <n v="-3.2765753000000002"/>
    <n v="36.799999999999997"/>
    <n v="20"/>
    <n v="0"/>
    <n v="0"/>
    <n v="17.599999999999998"/>
    <n v="59.4"/>
    <n v="74.7"/>
    <n v="47.699999999999996"/>
    <x v="2"/>
  </r>
  <r>
    <x v="524"/>
    <x v="524"/>
    <x v="47"/>
    <x v="2"/>
    <n v="1"/>
    <n v="667"/>
    <n v="1001"/>
    <n v="304"/>
    <n v="390"/>
    <n v="684"/>
    <n v="521"/>
    <n v="460"/>
    <n v="73.5"/>
    <n v="38.959759400000003"/>
    <n v="34.924965299999997"/>
    <n v="31.7"/>
    <n v="20"/>
    <n v="0"/>
    <n v="0"/>
    <n v="61.1"/>
    <n v="48"/>
    <n v="54.1"/>
    <n v="47.599999999999994"/>
    <x v="2"/>
  </r>
  <r>
    <x v="525"/>
    <x v="525"/>
    <x v="0"/>
    <x v="0"/>
    <n v="143"/>
    <n v="667"/>
    <n v="819"/>
    <n v="304"/>
    <n v="744"/>
    <n v="608"/>
    <n v="404"/>
    <n v="327"/>
    <n v="73.5"/>
    <n v="39.783730400000003"/>
    <n v="-100.445882"/>
    <n v="39.300000000000004"/>
    <n v="20"/>
    <n v="18.2"/>
    <n v="0"/>
    <n v="25.7"/>
    <n v="59.699999999999996"/>
    <n v="67.400000000000006"/>
    <n v="47.5"/>
    <x v="2"/>
  </r>
  <r>
    <x v="526"/>
    <x v="526"/>
    <x v="0"/>
    <x v="0"/>
    <n v="144"/>
    <n v="474"/>
    <n v="399"/>
    <n v="304"/>
    <n v="502"/>
    <n v="487"/>
    <n v="754"/>
    <n v="460"/>
    <n v="73.5"/>
    <n v="39.783730400000003"/>
    <n v="-100.445882"/>
    <n v="51.4"/>
    <n v="28.978978978978979"/>
    <n v="60.199999999999996"/>
    <n v="0"/>
    <n v="49.9"/>
    <n v="24.7"/>
    <n v="54.1"/>
    <n v="47.4"/>
    <x v="2"/>
  </r>
  <r>
    <x v="527"/>
    <x v="527"/>
    <x v="0"/>
    <x v="0"/>
    <n v="145"/>
    <n v="667"/>
    <n v="61"/>
    <n v="304"/>
    <n v="880"/>
    <n v="717"/>
    <n v="549"/>
    <n v="405"/>
    <n v="73.5"/>
    <n v="39.783730400000003"/>
    <n v="-100.445882"/>
    <n v="28.4"/>
    <n v="20"/>
    <n v="94"/>
    <n v="0"/>
    <n v="12.1"/>
    <n v="45.2"/>
    <n v="59.599999999999994"/>
    <n v="47.3"/>
    <x v="2"/>
  </r>
  <r>
    <x v="528"/>
    <x v="528"/>
    <x v="1"/>
    <x v="1"/>
    <n v="40"/>
    <n v="667"/>
    <n v="1001"/>
    <n v="304"/>
    <n v="639"/>
    <n v="533"/>
    <n v="427"/>
    <n v="460"/>
    <n v="73.400000000000006"/>
    <n v="54.702354499999998"/>
    <n v="-3.2765753000000002"/>
    <n v="46.800000000000004"/>
    <n v="20"/>
    <n v="0"/>
    <n v="0"/>
    <n v="36.199999999999996"/>
    <n v="57.4"/>
    <n v="54.1"/>
    <n v="47.199999999999996"/>
    <x v="2"/>
  </r>
  <r>
    <x v="529"/>
    <x v="529"/>
    <x v="5"/>
    <x v="1"/>
    <n v="29"/>
    <n v="667"/>
    <n v="206"/>
    <n v="304"/>
    <n v="567"/>
    <n v="499"/>
    <n v="700"/>
    <n v="460"/>
    <n v="73.400000000000006"/>
    <n v="46.603354000000003"/>
    <n v="1.8883335000000001"/>
    <n v="50.2"/>
    <n v="20"/>
    <n v="79.5"/>
    <n v="0"/>
    <n v="43.4"/>
    <n v="30.099999999999998"/>
    <n v="54.1"/>
    <n v="47.099999999999994"/>
    <x v="2"/>
  </r>
  <r>
    <x v="530"/>
    <x v="530"/>
    <x v="29"/>
    <x v="3"/>
    <n v="4"/>
    <n v="667"/>
    <n v="967"/>
    <n v="304"/>
    <n v="573"/>
    <n v="593"/>
    <n v="482"/>
    <n v="405"/>
    <n v="73.400000000000006"/>
    <n v="-41.500083099999998"/>
    <n v="172.83440770000001"/>
    <n v="40.799999999999997"/>
    <n v="20"/>
    <n v="3.4000000000000004"/>
    <n v="0"/>
    <n v="42.8"/>
    <n v="51.9"/>
    <n v="59.599999999999994"/>
    <n v="47"/>
    <x v="2"/>
  </r>
  <r>
    <x v="531"/>
    <x v="531"/>
    <x v="0"/>
    <x v="0"/>
    <n v="146"/>
    <n v="667"/>
    <n v="1001"/>
    <n v="304"/>
    <n v="538"/>
    <n v="492"/>
    <n v="544"/>
    <n v="541"/>
    <n v="73.400000000000006"/>
    <n v="39.783730400000003"/>
    <n v="-100.445882"/>
    <n v="50.9"/>
    <n v="20"/>
    <n v="0"/>
    <n v="0"/>
    <n v="46.300000000000004"/>
    <n v="45.7"/>
    <n v="46"/>
    <n v="46.9"/>
    <x v="2"/>
  </r>
  <r>
    <x v="532"/>
    <x v="532"/>
    <x v="17"/>
    <x v="2"/>
    <n v="38"/>
    <n v="667"/>
    <n v="522"/>
    <n v="304"/>
    <n v="383"/>
    <n v="386"/>
    <n v="626"/>
    <n v="1001"/>
    <n v="73.400000000000006"/>
    <n v="30.047992000000001"/>
    <n v="-94.335743300000004"/>
    <n v="61.5"/>
    <n v="20"/>
    <n v="47.9"/>
    <n v="0"/>
    <n v="61.8"/>
    <n v="37.5"/>
    <n v="0"/>
    <n v="46.800000000000004"/>
    <x v="2"/>
  </r>
  <r>
    <x v="533"/>
    <x v="533"/>
    <x v="10"/>
    <x v="3"/>
    <n v="19"/>
    <n v="667"/>
    <n v="1001"/>
    <n v="304"/>
    <n v="529"/>
    <n v="491"/>
    <n v="392"/>
    <n v="898"/>
    <n v="73.400000000000006"/>
    <n v="-24.776108600000001"/>
    <n v="134.755"/>
    <n v="51"/>
    <n v="20"/>
    <n v="0"/>
    <n v="0"/>
    <n v="47.199999999999996"/>
    <n v="60.9"/>
    <n v="10.299999999999999"/>
    <n v="46.7"/>
    <x v="2"/>
  </r>
  <r>
    <x v="534"/>
    <x v="534"/>
    <x v="17"/>
    <x v="2"/>
    <n v="39"/>
    <n v="667"/>
    <n v="597"/>
    <n v="304"/>
    <n v="302"/>
    <n v="423"/>
    <n v="1001"/>
    <n v="898"/>
    <n v="73.400000000000006"/>
    <n v="30.047992000000001"/>
    <n v="-94.335743300000004"/>
    <n v="57.8"/>
    <n v="20"/>
    <n v="40.400000000000006"/>
    <n v="0"/>
    <n v="69.899999999999991"/>
    <n v="0"/>
    <n v="10.299999999999999"/>
    <n v="46.6"/>
    <x v="2"/>
  </r>
  <r>
    <x v="535"/>
    <x v="535"/>
    <x v="17"/>
    <x v="2"/>
    <n v="40"/>
    <n v="667"/>
    <n v="989"/>
    <n v="304"/>
    <n v="357"/>
    <n v="443"/>
    <n v="1001"/>
    <n v="673"/>
    <n v="73.400000000000006"/>
    <n v="30.047992000000001"/>
    <n v="-94.335743300000004"/>
    <n v="55.800000000000004"/>
    <n v="20"/>
    <n v="1.2"/>
    <n v="0"/>
    <n v="64.400000000000006"/>
    <n v="0"/>
    <n v="32.800000000000004"/>
    <n v="46.5"/>
    <x v="2"/>
  </r>
  <r>
    <x v="536"/>
    <x v="536"/>
    <x v="1"/>
    <x v="1"/>
    <n v="41"/>
    <n v="667"/>
    <n v="1001"/>
    <n v="304"/>
    <n v="695"/>
    <n v="563"/>
    <n v="477"/>
    <n v="363"/>
    <n v="73.400000000000006"/>
    <n v="54.702354499999998"/>
    <n v="-3.2765753000000002"/>
    <n v="43.8"/>
    <n v="20"/>
    <n v="0"/>
    <n v="0"/>
    <n v="30.599999999999998"/>
    <n v="52.400000000000006"/>
    <n v="63.800000000000004"/>
    <n v="46.400000000000006"/>
    <x v="2"/>
  </r>
  <r>
    <x v="537"/>
    <x v="537"/>
    <x v="11"/>
    <x v="2"/>
    <n v="14"/>
    <n v="667"/>
    <n v="1001"/>
    <n v="304"/>
    <n v="487"/>
    <n v="463"/>
    <n v="588"/>
    <n v="673"/>
    <n v="73.400000000000006"/>
    <n v="36.638392000000003"/>
    <n v="127.69611879999999"/>
    <n v="53.800000000000004"/>
    <n v="20"/>
    <n v="0"/>
    <n v="0"/>
    <n v="51.4"/>
    <n v="41.3"/>
    <n v="32.800000000000004"/>
    <n v="46.300000000000004"/>
    <x v="2"/>
  </r>
  <r>
    <x v="538"/>
    <x v="538"/>
    <x v="8"/>
    <x v="1"/>
    <n v="41"/>
    <n v="667"/>
    <n v="1001"/>
    <n v="304"/>
    <n v="588"/>
    <n v="512"/>
    <n v="560"/>
    <n v="460"/>
    <n v="73.3"/>
    <n v="40.420347900000003"/>
    <n v="-79.116698299999996"/>
    <n v="48.9"/>
    <n v="20"/>
    <n v="0"/>
    <n v="0"/>
    <n v="41.3"/>
    <n v="44.1"/>
    <n v="54.1"/>
    <n v="46.2"/>
    <x v="2"/>
  </r>
  <r>
    <x v="539"/>
    <x v="539"/>
    <x v="1"/>
    <x v="1"/>
    <n v="42"/>
    <n v="381"/>
    <n v="926"/>
    <n v="304"/>
    <n v="836"/>
    <n v="648"/>
    <n v="397"/>
    <n v="304"/>
    <n v="73.3"/>
    <n v="54.702354499999998"/>
    <n v="-3.2765753000000002"/>
    <n v="35.299999999999997"/>
    <n v="42.942942942942942"/>
    <n v="7.5"/>
    <n v="0"/>
    <n v="16.5"/>
    <n v="60.4"/>
    <n v="69.699999999999989"/>
    <n v="46.1"/>
    <x v="2"/>
  </r>
  <r>
    <x v="540"/>
    <x v="540"/>
    <x v="22"/>
    <x v="1"/>
    <n v="2"/>
    <n v="81"/>
    <n v="452"/>
    <n v="304"/>
    <n v="402"/>
    <n v="601"/>
    <n v="557"/>
    <n v="898"/>
    <n v="73.3"/>
    <n v="40.2338211"/>
    <n v="-84.409672900000004"/>
    <n v="40"/>
    <n v="87.987987987987992"/>
    <n v="54.900000000000006"/>
    <n v="0"/>
    <n v="59.9"/>
    <n v="44.4"/>
    <n v="10.299999999999999"/>
    <n v="46"/>
    <x v="2"/>
  </r>
  <r>
    <x v="541"/>
    <x v="541"/>
    <x v="8"/>
    <x v="1"/>
    <n v="42"/>
    <n v="667"/>
    <n v="1001"/>
    <n v="304"/>
    <n v="652"/>
    <n v="537"/>
    <n v="408"/>
    <n v="541"/>
    <n v="73.3"/>
    <n v="40.420347900000003"/>
    <n v="-79.116698299999996"/>
    <n v="46.400000000000006"/>
    <n v="20"/>
    <n v="0"/>
    <n v="0"/>
    <n v="34.9"/>
    <n v="59.3"/>
    <n v="46"/>
    <n v="45.9"/>
    <x v="2"/>
  </r>
  <r>
    <x v="542"/>
    <x v="542"/>
    <x v="17"/>
    <x v="2"/>
    <n v="41"/>
    <n v="667"/>
    <n v="682"/>
    <n v="304"/>
    <n v="326"/>
    <n v="425"/>
    <n v="1001"/>
    <n v="898"/>
    <n v="73.3"/>
    <n v="30.047992000000001"/>
    <n v="-94.335743300000004"/>
    <n v="57.599999999999994"/>
    <n v="20"/>
    <n v="31.900000000000002"/>
    <n v="0"/>
    <n v="67.5"/>
    <n v="0"/>
    <n v="10.299999999999999"/>
    <n v="45.800000000000004"/>
    <x v="2"/>
  </r>
  <r>
    <x v="543"/>
    <x v="543"/>
    <x v="11"/>
    <x v="2"/>
    <n v="15"/>
    <n v="667"/>
    <n v="854"/>
    <n v="304"/>
    <n v="384"/>
    <n v="515"/>
    <n v="799"/>
    <n v="673"/>
    <n v="73.3"/>
    <n v="36.638392000000003"/>
    <n v="127.69611879999999"/>
    <n v="48.6"/>
    <n v="20"/>
    <n v="14.7"/>
    <n v="0"/>
    <n v="61.7"/>
    <n v="20.200000000000003"/>
    <n v="32.800000000000004"/>
    <n v="45.7"/>
    <x v="2"/>
  </r>
  <r>
    <x v="544"/>
    <x v="544"/>
    <x v="32"/>
    <x v="4"/>
    <n v="2"/>
    <n v="667"/>
    <n v="1001"/>
    <n v="304"/>
    <n v="474"/>
    <n v="555"/>
    <n v="598"/>
    <n v="541"/>
    <n v="73.3"/>
    <n v="-34.996496299999997"/>
    <n v="-64.967281700000001"/>
    <n v="44.6"/>
    <n v="20"/>
    <n v="0"/>
    <n v="0"/>
    <n v="52.7"/>
    <n v="40.300000000000004"/>
    <n v="46"/>
    <n v="45.6"/>
    <x v="2"/>
  </r>
  <r>
    <x v="545"/>
    <x v="545"/>
    <x v="0"/>
    <x v="0"/>
    <n v="147"/>
    <n v="359"/>
    <n v="267"/>
    <n v="304"/>
    <n v="491"/>
    <n v="521"/>
    <n v="622"/>
    <n v="673"/>
    <n v="73.3"/>
    <n v="39.783730400000003"/>
    <n v="-100.445882"/>
    <n v="48"/>
    <n v="46.246246246246244"/>
    <n v="73.400000000000006"/>
    <n v="0"/>
    <n v="51"/>
    <n v="37.9"/>
    <n v="32.800000000000004"/>
    <n v="45.5"/>
    <x v="2"/>
  </r>
  <r>
    <x v="546"/>
    <x v="546"/>
    <x v="38"/>
    <x v="2"/>
    <n v="3"/>
    <n v="667"/>
    <n v="1001"/>
    <n v="304"/>
    <n v="283"/>
    <n v="739"/>
    <n v="635"/>
    <n v="673"/>
    <n v="73.3"/>
    <n v="2.9368696000000001"/>
    <n v="115.4443356"/>
    <n v="26.200000000000003"/>
    <n v="20"/>
    <n v="0"/>
    <n v="0"/>
    <n v="71.8"/>
    <n v="36.6"/>
    <n v="32.800000000000004"/>
    <n v="45.4"/>
    <x v="2"/>
  </r>
  <r>
    <x v="547"/>
    <x v="547"/>
    <x v="21"/>
    <x v="2"/>
    <n v="9"/>
    <n v="667"/>
    <n v="1001"/>
    <n v="304"/>
    <n v="395"/>
    <n v="389"/>
    <n v="647"/>
    <n v="1001"/>
    <n v="73.3"/>
    <n v="23.598322700000001"/>
    <s v="120.83537694479215"/>
    <n v="61.199999999999996"/>
    <n v="20"/>
    <n v="0"/>
    <n v="0"/>
    <n v="60.6"/>
    <n v="35.4"/>
    <n v="0"/>
    <n v="45.300000000000004"/>
    <x v="2"/>
  </r>
  <r>
    <x v="548"/>
    <x v="548"/>
    <x v="17"/>
    <x v="2"/>
    <n v="42"/>
    <n v="667"/>
    <n v="1001"/>
    <n v="304"/>
    <n v="450"/>
    <n v="480"/>
    <n v="713"/>
    <n v="673"/>
    <n v="73.2"/>
    <n v="30.047992000000001"/>
    <n v="-94.335743300000004"/>
    <n v="52.1"/>
    <n v="20"/>
    <n v="0"/>
    <n v="0"/>
    <n v="55.1"/>
    <n v="28.799999999999997"/>
    <n v="32.800000000000004"/>
    <n v="45.2"/>
    <x v="2"/>
  </r>
  <r>
    <x v="549"/>
    <x v="549"/>
    <x v="0"/>
    <x v="0"/>
    <n v="148"/>
    <n v="626"/>
    <n v="1001"/>
    <n v="141"/>
    <n v="1001"/>
    <n v="865"/>
    <n v="502"/>
    <n v="460"/>
    <n v="73.2"/>
    <n v="39.783730400000003"/>
    <n v="-100.445882"/>
    <n v="13.600000000000001"/>
    <n v="20"/>
    <n v="0"/>
    <n v="53.795379537953792"/>
    <n v="0"/>
    <n v="49.9"/>
    <n v="54.1"/>
    <n v="45.1"/>
    <x v="2"/>
  </r>
  <r>
    <x v="550"/>
    <x v="550"/>
    <x v="26"/>
    <x v="1"/>
    <n v="6"/>
    <n v="667"/>
    <n v="1001"/>
    <n v="304"/>
    <n v="413"/>
    <n v="433"/>
    <n v="821"/>
    <n v="898"/>
    <n v="73.2"/>
    <n v="39.662164799999999"/>
    <n v="-8.1353518999999999"/>
    <n v="56.8"/>
    <n v="20"/>
    <n v="0"/>
    <n v="0"/>
    <n v="58.8"/>
    <n v="18"/>
    <n v="10.299999999999999"/>
    <n v="45"/>
    <x v="2"/>
  </r>
  <r>
    <x v="551"/>
    <x v="551"/>
    <x v="11"/>
    <x v="2"/>
    <n v="16"/>
    <n v="667"/>
    <n v="1001"/>
    <n v="304"/>
    <n v="394"/>
    <n v="541"/>
    <n v="749"/>
    <n v="673"/>
    <n v="73.2"/>
    <n v="36.638392000000003"/>
    <n v="127.69611879999999"/>
    <n v="46"/>
    <n v="20"/>
    <n v="0"/>
    <n v="0"/>
    <n v="60.699999999999996"/>
    <n v="25.2"/>
    <n v="32.800000000000004"/>
    <n v="44.9"/>
    <x v="2"/>
  </r>
  <r>
    <x v="552"/>
    <x v="552"/>
    <x v="16"/>
    <x v="1"/>
    <n v="16"/>
    <n v="667"/>
    <n v="959"/>
    <n v="304"/>
    <n v="621"/>
    <n v="588"/>
    <n v="494"/>
    <n v="460"/>
    <n v="73.2"/>
    <n v="39.326068499999998"/>
    <n v="-4.8379791000000001"/>
    <n v="41.3"/>
    <n v="20"/>
    <n v="4.2"/>
    <n v="0"/>
    <n v="38"/>
    <n v="50.7"/>
    <n v="54.1"/>
    <n v="44.800000000000004"/>
    <x v="2"/>
  </r>
  <r>
    <x v="553"/>
    <x v="553"/>
    <x v="17"/>
    <x v="2"/>
    <n v="43"/>
    <n v="667"/>
    <n v="1001"/>
    <n v="304"/>
    <n v="477"/>
    <n v="522"/>
    <n v="612"/>
    <n v="673"/>
    <n v="73.2"/>
    <n v="30.047992000000001"/>
    <n v="-94.335743300000004"/>
    <n v="47.9"/>
    <n v="20"/>
    <n v="0"/>
    <n v="0"/>
    <n v="52.400000000000006"/>
    <n v="38.9"/>
    <n v="32.800000000000004"/>
    <n v="44.7"/>
    <x v="2"/>
  </r>
  <r>
    <x v="554"/>
    <x v="554"/>
    <x v="0"/>
    <x v="0"/>
    <n v="149"/>
    <n v="229"/>
    <n v="279"/>
    <n v="304"/>
    <n v="678"/>
    <n v="524"/>
    <n v="548"/>
    <n v="541"/>
    <n v="73.2"/>
    <n v="39.783730400000003"/>
    <n v="-100.445882"/>
    <n v="47.699999999999996"/>
    <n v="65.765765765765778"/>
    <n v="72.2"/>
    <n v="0"/>
    <n v="32.300000000000004"/>
    <n v="45.300000000000004"/>
    <n v="46"/>
    <n v="44.6"/>
    <x v="2"/>
  </r>
  <r>
    <x v="555"/>
    <x v="555"/>
    <x v="22"/>
    <x v="1"/>
    <n v="3"/>
    <n v="22"/>
    <n v="636"/>
    <n v="304"/>
    <n v="734"/>
    <n v="820"/>
    <n v="688"/>
    <n v="673"/>
    <n v="73.2"/>
    <n v="40.2338211"/>
    <n v="-84.409672900000004"/>
    <n v="18.099999999999998"/>
    <n v="96.846846846846844"/>
    <n v="36.5"/>
    <n v="0"/>
    <n v="26.700000000000003"/>
    <n v="31.3"/>
    <n v="32.800000000000004"/>
    <n v="44.5"/>
    <x v="2"/>
  </r>
  <r>
    <x v="556"/>
    <x v="556"/>
    <x v="3"/>
    <x v="0"/>
    <n v="21"/>
    <n v="667"/>
    <n v="1001"/>
    <n v="304"/>
    <n v="548"/>
    <n v="532"/>
    <n v="881"/>
    <n v="405"/>
    <n v="73.2"/>
    <n v="61.066692199999999"/>
    <n v="-107.99170700000001"/>
    <n v="46.9"/>
    <n v="20"/>
    <n v="0"/>
    <n v="0"/>
    <n v="45.300000000000004"/>
    <n v="12"/>
    <n v="59.599999999999994"/>
    <n v="44.4"/>
    <x v="2"/>
  </r>
  <r>
    <x v="557"/>
    <x v="557"/>
    <x v="0"/>
    <x v="0"/>
    <n v="150"/>
    <n v="667"/>
    <n v="1001"/>
    <n v="304"/>
    <n v="660"/>
    <n v="548"/>
    <n v="607"/>
    <n v="405"/>
    <n v="73.2"/>
    <n v="39.783730400000003"/>
    <n v="-100.445882"/>
    <n v="45.300000000000004"/>
    <n v="20"/>
    <n v="0"/>
    <n v="0"/>
    <n v="34.1"/>
    <n v="39.4"/>
    <n v="59.599999999999994"/>
    <n v="44.3"/>
    <x v="2"/>
  </r>
  <r>
    <x v="558"/>
    <x v="558"/>
    <x v="30"/>
    <x v="0"/>
    <n v="2"/>
    <n v="614"/>
    <n v="1001"/>
    <n v="304"/>
    <n v="405"/>
    <n v="614"/>
    <n v="611"/>
    <n v="673"/>
    <n v="73.099999999999994"/>
    <n v="19.432629599999999"/>
    <n v="-99.1331785"/>
    <n v="38.700000000000003"/>
    <n v="20"/>
    <n v="0"/>
    <n v="0"/>
    <n v="59.599999999999994"/>
    <n v="39"/>
    <n v="32.800000000000004"/>
    <n v="44.2"/>
    <x v="2"/>
  </r>
  <r>
    <x v="559"/>
    <x v="559"/>
    <x v="47"/>
    <x v="2"/>
    <n v="2"/>
    <n v="498"/>
    <n v="1001"/>
    <n v="304"/>
    <n v="364"/>
    <n v="758"/>
    <n v="513"/>
    <n v="673"/>
    <n v="73.099999999999994"/>
    <n v="38.959759400000003"/>
    <n v="34.924965299999997"/>
    <n v="24.3"/>
    <n v="25.375375375375377"/>
    <n v="0"/>
    <n v="0"/>
    <n v="63.7"/>
    <n v="48.8"/>
    <n v="32.800000000000004"/>
    <n v="44.1"/>
    <x v="2"/>
  </r>
  <r>
    <x v="560"/>
    <x v="560"/>
    <x v="2"/>
    <x v="2"/>
    <n v="17"/>
    <n v="667"/>
    <n v="639"/>
    <n v="304"/>
    <n v="533"/>
    <n v="558"/>
    <n v="501"/>
    <n v="673"/>
    <n v="73.099999999999994"/>
    <n v="36.5748441"/>
    <n v="139.23941790000001"/>
    <n v="44.3"/>
    <n v="20"/>
    <n v="36.199999999999996"/>
    <n v="0"/>
    <n v="46.800000000000004"/>
    <n v="50"/>
    <n v="32.800000000000004"/>
    <n v="44"/>
    <x v="2"/>
  </r>
  <r>
    <x v="561"/>
    <x v="561"/>
    <x v="10"/>
    <x v="3"/>
    <n v="20"/>
    <n v="667"/>
    <n v="1001"/>
    <n v="304"/>
    <n v="503"/>
    <n v="445"/>
    <n v="614"/>
    <n v="898"/>
    <n v="73.099999999999994"/>
    <n v="-24.776108600000001"/>
    <n v="134.755"/>
    <n v="55.600000000000009"/>
    <n v="20"/>
    <n v="0"/>
    <n v="0"/>
    <n v="49.8"/>
    <n v="38.700000000000003"/>
    <n v="10.299999999999999"/>
    <n v="43.9"/>
    <x v="2"/>
  </r>
  <r>
    <x v="562"/>
    <x v="562"/>
    <x v="0"/>
    <x v="0"/>
    <n v="151"/>
    <n v="667"/>
    <n v="646"/>
    <n v="304"/>
    <n v="819"/>
    <n v="691"/>
    <n v="393"/>
    <n v="363"/>
    <n v="73.099999999999994"/>
    <n v="39.783730400000003"/>
    <n v="-100.445882"/>
    <n v="31"/>
    <n v="20"/>
    <n v="35.5"/>
    <n v="0"/>
    <n v="18.2"/>
    <n v="60.8"/>
    <n v="63.800000000000004"/>
    <n v="43.8"/>
    <x v="2"/>
  </r>
  <r>
    <x v="563"/>
    <x v="563"/>
    <x v="10"/>
    <x v="3"/>
    <n v="21"/>
    <n v="667"/>
    <n v="1001"/>
    <n v="304"/>
    <n v="635"/>
    <n v="547"/>
    <n v="428"/>
    <n v="673"/>
    <n v="73.099999999999994"/>
    <n v="-24.776108600000001"/>
    <n v="134.755"/>
    <n v="45.4"/>
    <n v="20"/>
    <n v="0"/>
    <n v="0"/>
    <n v="36.6"/>
    <n v="57.3"/>
    <n v="32.800000000000004"/>
    <n v="43.7"/>
    <x v="2"/>
  </r>
  <r>
    <x v="564"/>
    <x v="564"/>
    <x v="1"/>
    <x v="1"/>
    <n v="43"/>
    <n v="341"/>
    <n v="1001"/>
    <n v="211"/>
    <n v="1001"/>
    <n v="767"/>
    <n v="364"/>
    <n v="673"/>
    <n v="73.099999999999994"/>
    <n v="54.702354499999998"/>
    <n v="-3.2765753000000002"/>
    <n v="23.400000000000002"/>
    <n v="48.948948948948953"/>
    <n v="0"/>
    <n v="30.693069306930692"/>
    <n v="0"/>
    <n v="63.7"/>
    <n v="32.800000000000004"/>
    <n v="43.6"/>
    <x v="2"/>
  </r>
  <r>
    <x v="565"/>
    <x v="565"/>
    <x v="41"/>
    <x v="2"/>
    <n v="2"/>
    <n v="667"/>
    <n v="1001"/>
    <n v="304"/>
    <n v="391"/>
    <n v="625"/>
    <n v="959"/>
    <n v="541"/>
    <n v="73.099999999999994"/>
    <n v="4.5693754000000002"/>
    <n v="102.26568229999999"/>
    <n v="37.6"/>
    <n v="20"/>
    <n v="0"/>
    <n v="0"/>
    <n v="61"/>
    <n v="4.2"/>
    <n v="46"/>
    <n v="43.5"/>
    <x v="2"/>
  </r>
  <r>
    <x v="566"/>
    <x v="566"/>
    <x v="0"/>
    <x v="0"/>
    <n v="152"/>
    <n v="430"/>
    <n v="463"/>
    <n v="304"/>
    <n v="624"/>
    <n v="610"/>
    <n v="784"/>
    <n v="363"/>
    <n v="73.099999999999994"/>
    <n v="39.783730400000003"/>
    <n v="-100.445882"/>
    <n v="39.1"/>
    <n v="35.585585585585584"/>
    <n v="53.800000000000004"/>
    <n v="0"/>
    <n v="37.700000000000003"/>
    <n v="21.7"/>
    <n v="63.800000000000004"/>
    <n v="43.4"/>
    <x v="2"/>
  </r>
  <r>
    <x v="567"/>
    <x v="567"/>
    <x v="0"/>
    <x v="0"/>
    <n v="153"/>
    <n v="667"/>
    <n v="398"/>
    <n v="304"/>
    <n v="787"/>
    <n v="628"/>
    <n v="512"/>
    <n v="363"/>
    <n v="73.099999999999994"/>
    <n v="39.783730400000003"/>
    <n v="-100.445882"/>
    <n v="37.299999999999997"/>
    <n v="20"/>
    <n v="60.3"/>
    <n v="0"/>
    <n v="21.4"/>
    <n v="48.9"/>
    <n v="63.800000000000004"/>
    <n v="43.3"/>
    <x v="2"/>
  </r>
  <r>
    <x v="568"/>
    <x v="568"/>
    <x v="0"/>
    <x v="0"/>
    <n v="154"/>
    <n v="667"/>
    <n v="1001"/>
    <n v="304"/>
    <n v="758"/>
    <n v="574"/>
    <n v="439"/>
    <n v="460"/>
    <n v="73"/>
    <n v="39.783730400000003"/>
    <n v="-100.445882"/>
    <n v="42.699999999999996"/>
    <n v="20"/>
    <n v="0"/>
    <n v="0"/>
    <n v="24.3"/>
    <n v="56.2"/>
    <n v="54.1"/>
    <n v="43.2"/>
    <x v="2"/>
  </r>
  <r>
    <x v="569"/>
    <x v="569"/>
    <x v="10"/>
    <x v="3"/>
    <n v="22"/>
    <n v="667"/>
    <n v="492"/>
    <n v="304"/>
    <n v="564"/>
    <n v="538"/>
    <n v="673"/>
    <n v="541"/>
    <n v="73"/>
    <n v="-24.776108600000001"/>
    <n v="134.755"/>
    <n v="46.300000000000004"/>
    <n v="20"/>
    <n v="50.9"/>
    <n v="0"/>
    <n v="43.7"/>
    <n v="32.800000000000004"/>
    <n v="46"/>
    <n v="43.1"/>
    <x v="2"/>
  </r>
  <r>
    <x v="570"/>
    <x v="570"/>
    <x v="25"/>
    <x v="1"/>
    <n v="2"/>
    <n v="667"/>
    <n v="1001"/>
    <n v="304"/>
    <n v="500"/>
    <n v="590"/>
    <n v="435"/>
    <n v="898"/>
    <n v="73"/>
    <n v="49.743904700000002"/>
    <n v="15.338106099999999"/>
    <n v="41.099999999999994"/>
    <n v="20"/>
    <n v="0"/>
    <n v="0"/>
    <n v="50.1"/>
    <n v="56.599999999999994"/>
    <n v="10.299999999999999"/>
    <n v="43"/>
    <x v="2"/>
  </r>
  <r>
    <x v="571"/>
    <x v="571"/>
    <x v="0"/>
    <x v="0"/>
    <n v="155"/>
    <n v="452"/>
    <n v="422"/>
    <n v="304"/>
    <n v="647"/>
    <n v="546"/>
    <n v="466"/>
    <n v="673"/>
    <n v="73"/>
    <n v="39.783730400000003"/>
    <n v="-100.445882"/>
    <n v="45.5"/>
    <n v="32.282282282282281"/>
    <n v="57.9"/>
    <n v="0"/>
    <n v="35.4"/>
    <n v="53.5"/>
    <n v="32.800000000000004"/>
    <n v="42.9"/>
    <x v="2"/>
  </r>
  <r>
    <x v="572"/>
    <x v="572"/>
    <x v="16"/>
    <x v="1"/>
    <n v="17"/>
    <n v="365"/>
    <n v="547"/>
    <n v="304"/>
    <n v="414"/>
    <n v="448"/>
    <n v="657"/>
    <n v="1001"/>
    <n v="73"/>
    <n v="39.326068499999998"/>
    <n v="-4.8379791000000001"/>
    <n v="55.300000000000004"/>
    <n v="45.345345345345343"/>
    <n v="45.4"/>
    <n v="0"/>
    <n v="58.699999999999996"/>
    <n v="34.4"/>
    <n v="0"/>
    <n v="42.8"/>
    <x v="2"/>
  </r>
  <r>
    <x v="573"/>
    <x v="573"/>
    <x v="8"/>
    <x v="1"/>
    <n v="43"/>
    <n v="664"/>
    <n v="1001"/>
    <n v="304"/>
    <n v="485"/>
    <n v="496"/>
    <n v="597"/>
    <n v="898"/>
    <n v="73"/>
    <n v="40.420347900000003"/>
    <n v="-79.116698299999996"/>
    <n v="50.5"/>
    <n v="20"/>
    <n v="0"/>
    <n v="0"/>
    <n v="51.6"/>
    <n v="40.400000000000006"/>
    <n v="10.299999999999999"/>
    <n v="42.699999999999996"/>
    <x v="2"/>
  </r>
  <r>
    <x v="574"/>
    <x v="574"/>
    <x v="29"/>
    <x v="3"/>
    <n v="5"/>
    <n v="390"/>
    <n v="629"/>
    <n v="304"/>
    <n v="702"/>
    <n v="606"/>
    <n v="421"/>
    <n v="541"/>
    <n v="73"/>
    <n v="-41.500083099999998"/>
    <n v="172.83440770000001"/>
    <n v="39.5"/>
    <n v="41.591591591591595"/>
    <n v="37.200000000000003"/>
    <n v="0"/>
    <n v="29.9"/>
    <n v="57.999999999999993"/>
    <n v="46"/>
    <n v="42.6"/>
    <x v="2"/>
  </r>
  <r>
    <x v="575"/>
    <x v="575"/>
    <x v="31"/>
    <x v="1"/>
    <n v="3"/>
    <n v="632"/>
    <n v="1001"/>
    <n v="304"/>
    <n v="570"/>
    <n v="717"/>
    <n v="833"/>
    <n v="304"/>
    <n v="73"/>
    <n v="52.215933"/>
    <n v="19.134422000000001"/>
    <n v="28.4"/>
    <n v="20"/>
    <n v="0"/>
    <n v="0"/>
    <n v="43.1"/>
    <n v="16.8"/>
    <n v="69.699999999999989"/>
    <n v="42.5"/>
    <x v="2"/>
  </r>
  <r>
    <x v="576"/>
    <x v="576"/>
    <x v="17"/>
    <x v="2"/>
    <n v="44"/>
    <n v="667"/>
    <n v="1001"/>
    <n v="304"/>
    <n v="368"/>
    <n v="479"/>
    <n v="692"/>
    <n v="1001"/>
    <n v="73"/>
    <n v="30.047992000000001"/>
    <n v="-94.335743300000004"/>
    <n v="52.2"/>
    <n v="20"/>
    <n v="0"/>
    <n v="0"/>
    <n v="63.3"/>
    <n v="30.9"/>
    <n v="0"/>
    <n v="42.4"/>
    <x v="2"/>
  </r>
  <r>
    <x v="577"/>
    <x v="577"/>
    <x v="0"/>
    <x v="0"/>
    <n v="156"/>
    <n v="667"/>
    <n v="1001"/>
    <n v="304"/>
    <n v="835"/>
    <n v="651"/>
    <n v="354"/>
    <n v="460"/>
    <n v="73"/>
    <n v="39.783730400000003"/>
    <n v="-100.445882"/>
    <n v="35"/>
    <n v="20"/>
    <n v="0"/>
    <n v="0"/>
    <n v="16.600000000000001"/>
    <n v="64.7"/>
    <n v="54.1"/>
    <n v="42.3"/>
    <x v="2"/>
  </r>
  <r>
    <x v="578"/>
    <x v="578"/>
    <x v="3"/>
    <x v="0"/>
    <n v="22"/>
    <n v="667"/>
    <n v="836"/>
    <n v="304"/>
    <n v="662"/>
    <n v="594"/>
    <n v="552"/>
    <n v="460"/>
    <n v="73"/>
    <n v="61.066692199999999"/>
    <n v="-107.99170700000001"/>
    <n v="40.699999999999996"/>
    <n v="20"/>
    <n v="16.5"/>
    <n v="0"/>
    <n v="33.900000000000006"/>
    <n v="44.9"/>
    <n v="54.1"/>
    <n v="42.199999999999996"/>
    <x v="2"/>
  </r>
  <r>
    <x v="579"/>
    <x v="579"/>
    <x v="11"/>
    <x v="2"/>
    <n v="17"/>
    <n v="667"/>
    <n v="1001"/>
    <n v="304"/>
    <n v="389"/>
    <n v="507"/>
    <n v="875"/>
    <n v="898"/>
    <n v="72.900000000000006"/>
    <n v="36.638392000000003"/>
    <n v="127.69611879999999"/>
    <n v="49.4"/>
    <n v="20"/>
    <n v="0"/>
    <n v="0"/>
    <n v="61.199999999999996"/>
    <n v="12.6"/>
    <n v="10.299999999999999"/>
    <n v="42.1"/>
    <x v="2"/>
  </r>
  <r>
    <x v="580"/>
    <x v="580"/>
    <x v="2"/>
    <x v="2"/>
    <n v="18"/>
    <n v="260"/>
    <n v="887"/>
    <n v="304"/>
    <n v="772"/>
    <n v="708"/>
    <n v="540"/>
    <n v="304"/>
    <n v="72.900000000000006"/>
    <n v="36.5748441"/>
    <n v="139.23941790000001"/>
    <n v="29.299999999999997"/>
    <n v="61.111111111111114"/>
    <n v="11.4"/>
    <n v="0"/>
    <n v="22.900000000000002"/>
    <n v="46.1"/>
    <n v="69.699999999999989"/>
    <n v="42"/>
    <x v="2"/>
  </r>
  <r>
    <x v="581"/>
    <x v="581"/>
    <x v="0"/>
    <x v="0"/>
    <n v="157"/>
    <n v="667"/>
    <n v="97"/>
    <n v="304"/>
    <n v="887"/>
    <n v="715"/>
    <n v="581"/>
    <n v="405"/>
    <n v="72.900000000000006"/>
    <n v="39.783730400000003"/>
    <n v="-100.445882"/>
    <n v="28.599999999999998"/>
    <n v="20"/>
    <n v="90.4"/>
    <n v="0"/>
    <n v="11.4"/>
    <n v="42"/>
    <n v="59.599999999999994"/>
    <n v="41.9"/>
    <x v="2"/>
  </r>
  <r>
    <x v="582"/>
    <x v="582"/>
    <x v="8"/>
    <x v="1"/>
    <n v="44"/>
    <n v="439"/>
    <n v="1001"/>
    <n v="304"/>
    <n v="670"/>
    <n v="622"/>
    <n v="382"/>
    <n v="673"/>
    <n v="72.900000000000006"/>
    <n v="40.420347900000003"/>
    <n v="-79.116698299999996"/>
    <n v="37.9"/>
    <n v="34.234234234234236"/>
    <n v="0"/>
    <n v="0"/>
    <n v="33.1"/>
    <n v="61.9"/>
    <n v="32.800000000000004"/>
    <n v="41.8"/>
    <x v="2"/>
  </r>
  <r>
    <x v="583"/>
    <x v="583"/>
    <x v="3"/>
    <x v="0"/>
    <n v="23"/>
    <n v="667"/>
    <n v="936"/>
    <n v="304"/>
    <n v="656"/>
    <n v="540"/>
    <n v="559"/>
    <n v="541"/>
    <n v="72.900000000000006"/>
    <n v="61.066692199999999"/>
    <n v="-107.99170700000001"/>
    <n v="46.1"/>
    <n v="20"/>
    <n v="6.5"/>
    <n v="0"/>
    <n v="34.5"/>
    <n v="44.2"/>
    <n v="46"/>
    <n v="41.699999999999996"/>
    <x v="2"/>
  </r>
  <r>
    <x v="584"/>
    <x v="584"/>
    <x v="30"/>
    <x v="0"/>
    <n v="3"/>
    <n v="667"/>
    <n v="1001"/>
    <n v="304"/>
    <n v="552"/>
    <n v="599"/>
    <n v="498"/>
    <n v="673"/>
    <n v="72.900000000000006"/>
    <n v="19.432629599999999"/>
    <n v="-99.1331785"/>
    <n v="40.200000000000003"/>
    <n v="20"/>
    <n v="0"/>
    <n v="0"/>
    <n v="44.9"/>
    <n v="50.3"/>
    <n v="32.800000000000004"/>
    <n v="41.6"/>
    <x v="2"/>
  </r>
  <r>
    <x v="585"/>
    <x v="585"/>
    <x v="5"/>
    <x v="1"/>
    <n v="30"/>
    <n v="667"/>
    <n v="42"/>
    <n v="304"/>
    <n v="892"/>
    <n v="724"/>
    <n v="1001"/>
    <n v="673"/>
    <n v="72.900000000000006"/>
    <n v="46.603354000000003"/>
    <n v="1.8883335000000001"/>
    <n v="27.700000000000003"/>
    <n v="20"/>
    <n v="95.899999999999991"/>
    <n v="0"/>
    <n v="10.9"/>
    <n v="0"/>
    <n v="32.800000000000004"/>
    <n v="41.5"/>
    <x v="2"/>
  </r>
  <r>
    <x v="586"/>
    <x v="586"/>
    <x v="17"/>
    <x v="2"/>
    <n v="45"/>
    <n v="667"/>
    <n v="694"/>
    <n v="304"/>
    <n v="457"/>
    <n v="559"/>
    <n v="1001"/>
    <n v="541"/>
    <n v="72.900000000000006"/>
    <n v="30.047992000000001"/>
    <n v="-94.335743300000004"/>
    <n v="44.2"/>
    <n v="20"/>
    <n v="30.7"/>
    <n v="0"/>
    <n v="54.400000000000006"/>
    <n v="0"/>
    <n v="46"/>
    <n v="41.4"/>
    <x v="2"/>
  </r>
  <r>
    <x v="587"/>
    <x v="587"/>
    <x v="17"/>
    <x v="2"/>
    <n v="46"/>
    <n v="667"/>
    <n v="1001"/>
    <n v="304"/>
    <n v="513"/>
    <n v="525"/>
    <n v="535"/>
    <n v="898"/>
    <n v="72.900000000000006"/>
    <n v="30.047992000000001"/>
    <n v="-94.335743300000004"/>
    <n v="47.599999999999994"/>
    <n v="20"/>
    <n v="0"/>
    <n v="0"/>
    <n v="48.8"/>
    <n v="46.6"/>
    <n v="10.299999999999999"/>
    <n v="41.3"/>
    <x v="2"/>
  </r>
  <r>
    <x v="588"/>
    <x v="588"/>
    <x v="5"/>
    <x v="1"/>
    <n v="31"/>
    <n v="667"/>
    <n v="6"/>
    <n v="304"/>
    <n v="1001"/>
    <n v="1001"/>
    <n v="1001"/>
    <n v="1001"/>
    <n v="72.900000000000006"/>
    <n v="46.603354000000003"/>
    <n v="1.8883335000000001"/>
    <n v="0"/>
    <n v="20"/>
    <n v="99.5"/>
    <n v="0"/>
    <n v="0"/>
    <n v="0"/>
    <n v="0"/>
    <n v="41.199999999999996"/>
    <x v="2"/>
  </r>
  <r>
    <x v="589"/>
    <x v="589"/>
    <x v="17"/>
    <x v="2"/>
    <n v="47"/>
    <n v="667"/>
    <n v="1001"/>
    <n v="304"/>
    <n v="346"/>
    <n v="513"/>
    <n v="757"/>
    <n v="1001"/>
    <n v="72.8"/>
    <n v="30.047992000000001"/>
    <n v="-94.335743300000004"/>
    <n v="48.8"/>
    <n v="20"/>
    <n v="0"/>
    <n v="0"/>
    <n v="65.5"/>
    <n v="24.4"/>
    <n v="0"/>
    <n v="41.099999999999994"/>
    <x v="2"/>
  </r>
  <r>
    <x v="590"/>
    <x v="590"/>
    <x v="0"/>
    <x v="0"/>
    <n v="158"/>
    <n v="667"/>
    <n v="1001"/>
    <n v="194"/>
    <n v="1001"/>
    <n v="872"/>
    <n v="499"/>
    <n v="460"/>
    <n v="72.8"/>
    <n v="39.783730400000003"/>
    <n v="-100.445882"/>
    <n v="12.9"/>
    <n v="20"/>
    <n v="0"/>
    <n v="36.303630363036305"/>
    <n v="0"/>
    <n v="50.2"/>
    <n v="54.1"/>
    <n v="41"/>
    <x v="2"/>
  </r>
  <r>
    <x v="591"/>
    <x v="591"/>
    <x v="38"/>
    <x v="2"/>
    <n v="4"/>
    <n v="198"/>
    <n v="1001"/>
    <n v="304"/>
    <n v="432"/>
    <n v="567"/>
    <n v="1001"/>
    <n v="541"/>
    <n v="72.8"/>
    <n v="2.9368696000000001"/>
    <n v="115.4443356"/>
    <n v="43.4"/>
    <n v="70.420420420420413"/>
    <n v="0"/>
    <n v="0"/>
    <n v="56.899999999999991"/>
    <n v="0"/>
    <n v="46"/>
    <n v="40.9"/>
    <x v="2"/>
  </r>
  <r>
    <x v="592"/>
    <x v="592"/>
    <x v="21"/>
    <x v="2"/>
    <n v="10"/>
    <n v="667"/>
    <n v="1001"/>
    <n v="304"/>
    <n v="508"/>
    <n v="529"/>
    <n v="995"/>
    <n v="541"/>
    <n v="72.8"/>
    <n v="23.598322700000001"/>
    <s v="120.83537694479215"/>
    <n v="47.199999999999996"/>
    <n v="20"/>
    <n v="0"/>
    <n v="0"/>
    <n v="49.3"/>
    <n v="0.6"/>
    <n v="46"/>
    <n v="40.799999999999997"/>
    <x v="2"/>
  </r>
  <r>
    <x v="593"/>
    <x v="593"/>
    <x v="5"/>
    <x v="1"/>
    <n v="32"/>
    <n v="667"/>
    <n v="1001"/>
    <n v="284"/>
    <n v="747"/>
    <n v="586"/>
    <n v="568"/>
    <n v="541"/>
    <n v="72.8"/>
    <n v="46.603354000000003"/>
    <n v="1.8883335000000001"/>
    <n v="41.5"/>
    <n v="20"/>
    <n v="0"/>
    <n v="6.6006600660065997"/>
    <n v="25.4"/>
    <n v="43.3"/>
    <n v="46"/>
    <n v="40.699999999999996"/>
    <x v="2"/>
  </r>
  <r>
    <x v="594"/>
    <x v="594"/>
    <x v="22"/>
    <x v="1"/>
    <n v="4"/>
    <n v="255"/>
    <n v="1001"/>
    <n v="304"/>
    <n v="509"/>
    <n v="652"/>
    <n v="663"/>
    <n v="541"/>
    <n v="72.8"/>
    <n v="40.2338211"/>
    <n v="-84.409672900000004"/>
    <n v="34.9"/>
    <n v="61.861861861861868"/>
    <n v="0"/>
    <n v="0"/>
    <n v="49.2"/>
    <n v="33.800000000000004"/>
    <n v="46"/>
    <n v="40.6"/>
    <x v="2"/>
  </r>
  <r>
    <x v="595"/>
    <x v="595"/>
    <x v="47"/>
    <x v="2"/>
    <n v="3"/>
    <n v="667"/>
    <n v="328"/>
    <n v="304"/>
    <n v="504"/>
    <n v="634"/>
    <n v="1001"/>
    <n v="460"/>
    <n v="72.8"/>
    <n v="38.959759400000003"/>
    <n v="34.924965299999997"/>
    <n v="36.700000000000003"/>
    <n v="20"/>
    <n v="67.300000000000011"/>
    <n v="0"/>
    <n v="49.7"/>
    <n v="0"/>
    <n v="54.1"/>
    <n v="40.5"/>
    <x v="2"/>
  </r>
  <r>
    <x v="596"/>
    <x v="596"/>
    <x v="2"/>
    <x v="2"/>
    <n v="19"/>
    <n v="667"/>
    <n v="218"/>
    <n v="304"/>
    <n v="790"/>
    <n v="745"/>
    <n v="372"/>
    <n v="541"/>
    <n v="72.8"/>
    <n v="36.5748441"/>
    <n v="139.23941790000001"/>
    <n v="25.6"/>
    <n v="20"/>
    <n v="78.3"/>
    <n v="0"/>
    <n v="21.099999999999998"/>
    <n v="62.9"/>
    <n v="46"/>
    <n v="40.400000000000006"/>
    <x v="2"/>
  </r>
  <r>
    <x v="597"/>
    <x v="597"/>
    <x v="17"/>
    <x v="2"/>
    <n v="48"/>
    <n v="667"/>
    <n v="1001"/>
    <n v="304"/>
    <n v="462"/>
    <n v="475"/>
    <n v="1001"/>
    <n v="673"/>
    <n v="72.8"/>
    <n v="30.047992000000001"/>
    <n v="-94.335743300000004"/>
    <n v="52.6"/>
    <n v="20"/>
    <n v="0"/>
    <n v="0"/>
    <n v="53.900000000000006"/>
    <n v="0"/>
    <n v="32.800000000000004"/>
    <n v="40.300000000000004"/>
    <x v="2"/>
  </r>
  <r>
    <x v="598"/>
    <x v="598"/>
    <x v="0"/>
    <x v="0"/>
    <n v="159"/>
    <n v="667"/>
    <n v="965"/>
    <n v="304"/>
    <n v="727"/>
    <n v="613"/>
    <n v="516"/>
    <n v="460"/>
    <n v="72.8"/>
    <n v="39.783730400000003"/>
    <n v="-100.445882"/>
    <n v="38.800000000000004"/>
    <n v="20"/>
    <n v="3.5999999999999996"/>
    <n v="0"/>
    <n v="27.400000000000002"/>
    <n v="48.5"/>
    <n v="54.1"/>
    <n v="40.200000000000003"/>
    <x v="2"/>
  </r>
  <r>
    <x v="599"/>
    <x v="599"/>
    <x v="8"/>
    <x v="1"/>
    <n v="45"/>
    <n v="667"/>
    <n v="1001"/>
    <n v="304"/>
    <n v="640"/>
    <n v="550"/>
    <n v="625"/>
    <n v="541"/>
    <n v="72.8"/>
    <n v="40.420347900000003"/>
    <n v="-79.116698299999996"/>
    <n v="45.1"/>
    <n v="20"/>
    <n v="0"/>
    <n v="0"/>
    <n v="36.1"/>
    <n v="37.6"/>
    <n v="46"/>
    <n v="40.1"/>
    <x v="2"/>
  </r>
  <r>
    <x v="600"/>
    <x v="600"/>
    <x v="2"/>
    <x v="2"/>
    <n v="20"/>
    <n v="667"/>
    <n v="1001"/>
    <n v="157"/>
    <n v="759"/>
    <n v="810"/>
    <n v="750"/>
    <n v="898"/>
    <n v="72.7"/>
    <n v="36.5748441"/>
    <n v="139.23941790000001"/>
    <n v="19.100000000000001"/>
    <n v="20"/>
    <n v="0"/>
    <n v="48.514851485148512"/>
    <n v="24.2"/>
    <n v="25.1"/>
    <n v="10.299999999999999"/>
    <n v="40"/>
    <x v="2"/>
  </r>
  <r>
    <x v="601"/>
    <x v="601"/>
    <x v="0"/>
    <x v="0"/>
    <n v="160"/>
    <n v="644"/>
    <n v="1001"/>
    <n v="304"/>
    <n v="982"/>
    <n v="761"/>
    <n v="361"/>
    <n v="327"/>
    <n v="72.7"/>
    <n v="39.783730400000003"/>
    <n v="-100.445882"/>
    <n v="24"/>
    <n v="20"/>
    <n v="0"/>
    <n v="0"/>
    <n v="1.9"/>
    <n v="64"/>
    <n v="67.400000000000006"/>
    <n v="39.900000000000006"/>
    <x v="2"/>
  </r>
  <r>
    <x v="602"/>
    <x v="602"/>
    <x v="18"/>
    <x v="1"/>
    <n v="7"/>
    <n v="667"/>
    <n v="1001"/>
    <n v="304"/>
    <n v="593"/>
    <n v="510"/>
    <n v="518"/>
    <n v="898"/>
    <n v="72.7"/>
    <n v="63.246777700000003"/>
    <n v="25.920916399999999"/>
    <n v="49.1"/>
    <n v="20"/>
    <n v="0"/>
    <n v="0"/>
    <n v="40.799999999999997"/>
    <n v="48.3"/>
    <n v="10.299999999999999"/>
    <n v="39.800000000000004"/>
    <x v="2"/>
  </r>
  <r>
    <x v="603"/>
    <x v="603"/>
    <x v="0"/>
    <x v="0"/>
    <n v="161"/>
    <n v="667"/>
    <n v="1001"/>
    <n v="304"/>
    <n v="732"/>
    <n v="569"/>
    <n v="589"/>
    <n v="460"/>
    <n v="72.7"/>
    <n v="39.783730400000003"/>
    <n v="-100.445882"/>
    <n v="43.2"/>
    <n v="20"/>
    <n v="0"/>
    <n v="0"/>
    <n v="26.900000000000002"/>
    <n v="41.199999999999996"/>
    <n v="54.1"/>
    <n v="39.700000000000003"/>
    <x v="2"/>
  </r>
  <r>
    <x v="604"/>
    <x v="604"/>
    <x v="33"/>
    <x v="1"/>
    <n v="3"/>
    <n v="667"/>
    <n v="1001"/>
    <n v="304"/>
    <n v="698"/>
    <n v="576"/>
    <n v="530"/>
    <n v="541"/>
    <n v="72.7"/>
    <n v="43.209783799999997"/>
    <n v="-77.693060200000005"/>
    <n v="42.5"/>
    <n v="20"/>
    <n v="0"/>
    <n v="0"/>
    <n v="30.3"/>
    <n v="47.099999999999994"/>
    <n v="46"/>
    <n v="39.6"/>
    <x v="2"/>
  </r>
  <r>
    <x v="605"/>
    <x v="605"/>
    <x v="8"/>
    <x v="1"/>
    <n v="46"/>
    <n v="667"/>
    <n v="1001"/>
    <n v="304"/>
    <n v="884"/>
    <n v="659"/>
    <n v="335"/>
    <n v="541"/>
    <n v="72.7"/>
    <n v="40.420347900000003"/>
    <n v="-79.116698299999996"/>
    <n v="34.200000000000003"/>
    <n v="20"/>
    <n v="0"/>
    <n v="0"/>
    <n v="11.700000000000001"/>
    <n v="66.600000000000009"/>
    <n v="46"/>
    <n v="39.5"/>
    <x v="2"/>
  </r>
  <r>
    <x v="606"/>
    <x v="606"/>
    <x v="11"/>
    <x v="2"/>
    <n v="18"/>
    <n v="667"/>
    <n v="1001"/>
    <n v="304"/>
    <n v="403"/>
    <n v="494"/>
    <n v="712"/>
    <n v="1001"/>
    <n v="72.7"/>
    <n v="36.638392000000003"/>
    <n v="127.69611879999999"/>
    <n v="50.7"/>
    <n v="20"/>
    <n v="0"/>
    <n v="0"/>
    <n v="59.8"/>
    <n v="28.9"/>
    <n v="0"/>
    <n v="39.4"/>
    <x v="2"/>
  </r>
  <r>
    <x v="607"/>
    <x v="607"/>
    <x v="11"/>
    <x v="2"/>
    <n v="19"/>
    <n v="667"/>
    <n v="1001"/>
    <n v="304"/>
    <n v="441"/>
    <n v="545"/>
    <n v="1001"/>
    <n v="673"/>
    <n v="72.7"/>
    <n v="36.638392000000003"/>
    <n v="127.69611879999999"/>
    <n v="45.6"/>
    <n v="20"/>
    <n v="0"/>
    <n v="0"/>
    <n v="56.000000000000007"/>
    <n v="0"/>
    <n v="32.800000000000004"/>
    <n v="39.300000000000004"/>
    <x v="2"/>
  </r>
  <r>
    <x v="608"/>
    <x v="608"/>
    <x v="11"/>
    <x v="2"/>
    <n v="20"/>
    <n v="667"/>
    <n v="670"/>
    <n v="304"/>
    <n v="434"/>
    <n v="592"/>
    <n v="1001"/>
    <n v="673"/>
    <n v="72.7"/>
    <n v="36.638392000000003"/>
    <n v="127.69611879999999"/>
    <n v="40.9"/>
    <n v="20"/>
    <n v="33.1"/>
    <n v="0"/>
    <n v="56.699999999999996"/>
    <n v="0"/>
    <n v="32.800000000000004"/>
    <n v="39.200000000000003"/>
    <x v="2"/>
  </r>
  <r>
    <x v="609"/>
    <x v="609"/>
    <x v="25"/>
    <x v="1"/>
    <n v="3"/>
    <n v="667"/>
    <n v="1001"/>
    <n v="304"/>
    <n v="690"/>
    <n v="713"/>
    <n v="563"/>
    <n v="405"/>
    <n v="72.7"/>
    <n v="49.743904700000002"/>
    <n v="15.338106099999999"/>
    <n v="28.799999999999997"/>
    <n v="20"/>
    <n v="0"/>
    <n v="0"/>
    <n v="31.1"/>
    <n v="43.8"/>
    <n v="59.599999999999994"/>
    <n v="39.1"/>
    <x v="2"/>
  </r>
  <r>
    <x v="610"/>
    <x v="610"/>
    <x v="12"/>
    <x v="1"/>
    <n v="28"/>
    <n v="667"/>
    <n v="1001"/>
    <n v="304"/>
    <n v="610"/>
    <n v="557"/>
    <n v="737"/>
    <n v="541"/>
    <n v="72.7"/>
    <n v="42.638426099999997"/>
    <n v="12.674296999999999"/>
    <n v="44.4"/>
    <n v="20"/>
    <n v="0"/>
    <n v="0"/>
    <n v="39.1"/>
    <n v="26.400000000000002"/>
    <n v="46"/>
    <n v="39"/>
    <x v="2"/>
  </r>
  <r>
    <x v="611"/>
    <x v="611"/>
    <x v="1"/>
    <x v="1"/>
    <n v="44"/>
    <n v="667"/>
    <n v="1001"/>
    <n v="304"/>
    <n v="520"/>
    <n v="562"/>
    <n v="1001"/>
    <n v="541"/>
    <n v="72.599999999999994"/>
    <n v="54.702354499999998"/>
    <n v="-3.2765753000000002"/>
    <n v="43.9"/>
    <n v="20"/>
    <n v="0"/>
    <n v="0"/>
    <n v="48.1"/>
    <n v="0"/>
    <n v="46"/>
    <n v="38.9"/>
    <x v="2"/>
  </r>
  <r>
    <x v="612"/>
    <x v="612"/>
    <x v="24"/>
    <x v="1"/>
    <n v="6"/>
    <n v="667"/>
    <n v="1001"/>
    <n v="304"/>
    <n v="671"/>
    <n v="530"/>
    <n v="446"/>
    <n v="898"/>
    <n v="72.599999999999994"/>
    <n v="47.593969999999999"/>
    <n v="14.124560000000001"/>
    <n v="47.099999999999994"/>
    <n v="20"/>
    <n v="0"/>
    <n v="0"/>
    <n v="33"/>
    <n v="55.500000000000007"/>
    <n v="10.299999999999999"/>
    <n v="38.800000000000004"/>
    <x v="2"/>
  </r>
  <r>
    <x v="613"/>
    <x v="613"/>
    <x v="12"/>
    <x v="1"/>
    <n v="29"/>
    <n v="667"/>
    <n v="816"/>
    <n v="304"/>
    <n v="484"/>
    <n v="493"/>
    <n v="919"/>
    <n v="898"/>
    <n v="72.599999999999994"/>
    <n v="42.638426099999997"/>
    <n v="12.674296999999999"/>
    <n v="50.8"/>
    <n v="20"/>
    <n v="18.5"/>
    <n v="0"/>
    <n v="51.7"/>
    <n v="8.2000000000000011"/>
    <n v="10.299999999999999"/>
    <n v="38.700000000000003"/>
    <x v="2"/>
  </r>
  <r>
    <x v="614"/>
    <x v="614"/>
    <x v="40"/>
    <x v="2"/>
    <n v="3"/>
    <n v="667"/>
    <n v="809"/>
    <n v="304"/>
    <n v="531"/>
    <n v="516"/>
    <n v="1001"/>
    <n v="673"/>
    <n v="72.599999999999994"/>
    <n v="22.351114800000001"/>
    <n v="78.667742799999999"/>
    <n v="48.5"/>
    <n v="20"/>
    <n v="19.2"/>
    <n v="0"/>
    <n v="47"/>
    <n v="0"/>
    <n v="32.800000000000004"/>
    <n v="38.6"/>
    <x v="2"/>
  </r>
  <r>
    <x v="615"/>
    <x v="615"/>
    <x v="47"/>
    <x v="2"/>
    <n v="4"/>
    <n v="667"/>
    <n v="1001"/>
    <n v="304"/>
    <n v="472"/>
    <n v="863"/>
    <n v="979"/>
    <n v="363"/>
    <n v="72.599999999999994"/>
    <n v="38.959759400000003"/>
    <n v="34.924965299999997"/>
    <n v="13.8"/>
    <n v="20"/>
    <n v="0"/>
    <n v="0"/>
    <n v="52.900000000000006"/>
    <n v="2.1999999999999997"/>
    <n v="63.800000000000004"/>
    <n v="38.5"/>
    <x v="2"/>
  </r>
  <r>
    <x v="616"/>
    <x v="616"/>
    <x v="2"/>
    <x v="2"/>
    <n v="21"/>
    <n v="667"/>
    <n v="1001"/>
    <n v="304"/>
    <n v="631"/>
    <n v="682"/>
    <n v="716"/>
    <n v="405"/>
    <n v="72.599999999999994"/>
    <n v="36.5748441"/>
    <n v="139.23941790000001"/>
    <n v="31.900000000000002"/>
    <n v="20"/>
    <n v="0"/>
    <n v="0"/>
    <n v="37"/>
    <n v="28.499999999999996"/>
    <n v="59.599999999999994"/>
    <n v="38.4"/>
    <x v="2"/>
  </r>
  <r>
    <x v="617"/>
    <x v="617"/>
    <x v="2"/>
    <x v="2"/>
    <n v="22"/>
    <n v="515"/>
    <n v="621"/>
    <n v="304"/>
    <n v="615"/>
    <n v="655"/>
    <n v="488"/>
    <n v="673"/>
    <n v="72.599999999999994"/>
    <n v="36.5748441"/>
    <n v="139.23941790000001"/>
    <n v="34.599999999999994"/>
    <n v="22.822822822822822"/>
    <n v="38"/>
    <n v="0"/>
    <n v="38.6"/>
    <n v="51.300000000000004"/>
    <n v="32.800000000000004"/>
    <n v="38.299999999999997"/>
    <x v="2"/>
  </r>
  <r>
    <x v="618"/>
    <x v="618"/>
    <x v="1"/>
    <x v="1"/>
    <n v="45"/>
    <n v="378"/>
    <n v="784"/>
    <n v="304"/>
    <n v="706"/>
    <n v="616"/>
    <n v="443"/>
    <n v="673"/>
    <n v="72.599999999999994"/>
    <n v="54.702354499999998"/>
    <n v="-3.2765753000000002"/>
    <n v="38.5"/>
    <n v="43.393393393393396"/>
    <n v="21.7"/>
    <n v="0"/>
    <n v="29.5"/>
    <n v="55.800000000000004"/>
    <n v="32.800000000000004"/>
    <n v="38.200000000000003"/>
    <x v="2"/>
  </r>
  <r>
    <x v="619"/>
    <x v="619"/>
    <x v="7"/>
    <x v="2"/>
    <n v="7"/>
    <n v="354"/>
    <n v="935"/>
    <n v="304"/>
    <n v="619"/>
    <n v="559"/>
    <n v="476"/>
    <n v="898"/>
    <n v="72.599999999999994"/>
    <n v="39.3181528"/>
    <n v="-79.810901400000006"/>
    <n v="44.2"/>
    <n v="46.996996996996998"/>
    <n v="6.6000000000000005"/>
    <n v="0"/>
    <n v="38.200000000000003"/>
    <n v="52.5"/>
    <n v="10.299999999999999"/>
    <n v="38.1"/>
    <x v="2"/>
  </r>
  <r>
    <x v="620"/>
    <x v="620"/>
    <x v="16"/>
    <x v="1"/>
    <n v="18"/>
    <n v="667"/>
    <n v="1001"/>
    <n v="304"/>
    <n v="776"/>
    <n v="664"/>
    <n v="608"/>
    <n v="363"/>
    <n v="72.599999999999994"/>
    <n v="39.326068499999998"/>
    <n v="-4.8379791000000001"/>
    <n v="33.700000000000003"/>
    <n v="20"/>
    <n v="0"/>
    <n v="0"/>
    <n v="22.5"/>
    <n v="39.300000000000004"/>
    <n v="63.800000000000004"/>
    <n v="38"/>
    <x v="2"/>
  </r>
  <r>
    <x v="621"/>
    <x v="621"/>
    <x v="12"/>
    <x v="1"/>
    <n v="30"/>
    <n v="667"/>
    <n v="1001"/>
    <n v="304"/>
    <n v="603"/>
    <n v="553"/>
    <n v="651"/>
    <n v="673"/>
    <n v="72.599999999999994"/>
    <n v="42.638426099999997"/>
    <n v="12.674296999999999"/>
    <n v="44.800000000000004"/>
    <n v="20"/>
    <n v="0"/>
    <n v="0"/>
    <n v="39.800000000000004"/>
    <n v="35"/>
    <n v="32.800000000000004"/>
    <n v="37.9"/>
    <x v="2"/>
  </r>
  <r>
    <x v="622"/>
    <x v="622"/>
    <x v="0"/>
    <x v="0"/>
    <n v="162"/>
    <n v="667"/>
    <n v="1001"/>
    <n v="304"/>
    <n v="751"/>
    <n v="580"/>
    <n v="371"/>
    <n v="898"/>
    <n v="72.5"/>
    <n v="39.783730400000003"/>
    <n v="-100.445882"/>
    <n v="42.1"/>
    <n v="20"/>
    <n v="0"/>
    <n v="0"/>
    <n v="25"/>
    <n v="63"/>
    <n v="10.299999999999999"/>
    <n v="37.799999999999997"/>
    <x v="2"/>
  </r>
  <r>
    <x v="623"/>
    <x v="623"/>
    <x v="11"/>
    <x v="2"/>
    <n v="21"/>
    <n v="667"/>
    <n v="1001"/>
    <n v="304"/>
    <n v="555"/>
    <n v="675"/>
    <n v="812"/>
    <n v="460"/>
    <n v="72.5"/>
    <n v="36.638392000000003"/>
    <n v="127.69611879999999"/>
    <n v="32.6"/>
    <n v="20"/>
    <n v="0"/>
    <n v="0"/>
    <n v="44.6"/>
    <n v="18.899999999999999"/>
    <n v="54.1"/>
    <n v="37.700000000000003"/>
    <x v="2"/>
  </r>
  <r>
    <x v="624"/>
    <x v="624"/>
    <x v="47"/>
    <x v="2"/>
    <n v="5"/>
    <n v="667"/>
    <n v="775"/>
    <n v="304"/>
    <n v="455"/>
    <n v="829"/>
    <n v="666"/>
    <n v="541"/>
    <n v="72.5"/>
    <n v="38.959759400000003"/>
    <n v="34.924965299999997"/>
    <n v="17.2"/>
    <n v="20"/>
    <n v="22.6"/>
    <n v="0"/>
    <n v="54.6"/>
    <n v="33.5"/>
    <n v="46"/>
    <n v="37.6"/>
    <x v="2"/>
  </r>
  <r>
    <x v="625"/>
    <x v="625"/>
    <x v="17"/>
    <x v="2"/>
    <n v="49"/>
    <n v="667"/>
    <n v="1001"/>
    <n v="304"/>
    <n v="515"/>
    <n v="602"/>
    <n v="770"/>
    <n v="673"/>
    <n v="72.5"/>
    <n v="30.047992000000001"/>
    <n v="-94.335743300000004"/>
    <n v="39.900000000000006"/>
    <n v="20"/>
    <n v="0"/>
    <n v="0"/>
    <n v="48.6"/>
    <n v="23.1"/>
    <n v="32.800000000000004"/>
    <n v="37.5"/>
    <x v="2"/>
  </r>
  <r>
    <x v="626"/>
    <x v="626"/>
    <x v="33"/>
    <x v="1"/>
    <n v="4"/>
    <n v="418"/>
    <n v="817"/>
    <n v="304"/>
    <n v="551"/>
    <n v="585"/>
    <n v="1001"/>
    <n v="460"/>
    <n v="72.5"/>
    <n v="43.209783799999997"/>
    <n v="-77.693060200000005"/>
    <n v="41.6"/>
    <n v="37.387387387387392"/>
    <n v="18.399999999999999"/>
    <n v="0"/>
    <n v="45"/>
    <n v="0"/>
    <n v="54.1"/>
    <n v="37.4"/>
    <x v="2"/>
  </r>
  <r>
    <x v="627"/>
    <x v="627"/>
    <x v="2"/>
    <x v="2"/>
    <n v="23"/>
    <n v="545"/>
    <n v="638"/>
    <n v="304"/>
    <n v="611"/>
    <n v="564"/>
    <n v="522"/>
    <n v="898"/>
    <n v="72.5"/>
    <n v="36.5748441"/>
    <n v="139.23941790000001"/>
    <n v="43.7"/>
    <n v="20"/>
    <n v="36.299999999999997"/>
    <n v="0"/>
    <n v="39"/>
    <n v="47.9"/>
    <n v="10.299999999999999"/>
    <n v="37.299999999999997"/>
    <x v="2"/>
  </r>
  <r>
    <x v="628"/>
    <x v="628"/>
    <x v="2"/>
    <x v="2"/>
    <n v="24"/>
    <n v="529"/>
    <n v="247"/>
    <n v="304"/>
    <n v="666"/>
    <n v="692"/>
    <n v="766"/>
    <n v="460"/>
    <n v="72.5"/>
    <n v="36.5748441"/>
    <n v="139.23941790000001"/>
    <n v="30.9"/>
    <n v="20.72072072072072"/>
    <n v="75.400000000000006"/>
    <n v="0"/>
    <n v="33.5"/>
    <n v="23.5"/>
    <n v="54.1"/>
    <n v="37.200000000000003"/>
    <x v="2"/>
  </r>
  <r>
    <x v="629"/>
    <x v="629"/>
    <x v="12"/>
    <x v="1"/>
    <n v="31"/>
    <n v="667"/>
    <n v="1001"/>
    <n v="304"/>
    <n v="752"/>
    <n v="653"/>
    <n v="410"/>
    <n v="673"/>
    <n v="72.5"/>
    <n v="42.638426099999997"/>
    <n v="12.674296999999999"/>
    <n v="34.799999999999997"/>
    <n v="20"/>
    <n v="0"/>
    <n v="0"/>
    <n v="24.9"/>
    <n v="59.099999999999994"/>
    <n v="32.800000000000004"/>
    <n v="37.1"/>
    <x v="2"/>
  </r>
  <r>
    <x v="630"/>
    <x v="630"/>
    <x v="8"/>
    <x v="1"/>
    <n v="47"/>
    <n v="667"/>
    <n v="1001"/>
    <n v="297"/>
    <n v="755"/>
    <n v="687"/>
    <n v="511"/>
    <n v="460"/>
    <n v="72.5"/>
    <n v="40.420347900000003"/>
    <n v="-79.116698299999996"/>
    <n v="31.4"/>
    <n v="20"/>
    <n v="0"/>
    <n v="2.3102310231023102"/>
    <n v="24.6"/>
    <n v="49"/>
    <n v="54.1"/>
    <n v="37"/>
    <x v="2"/>
  </r>
  <r>
    <x v="631"/>
    <x v="631"/>
    <x v="17"/>
    <x v="2"/>
    <n v="50"/>
    <n v="667"/>
    <n v="1001"/>
    <n v="304"/>
    <n v="510"/>
    <n v="566"/>
    <n v="669"/>
    <n v="898"/>
    <n v="72.5"/>
    <n v="30.047992000000001"/>
    <n v="-94.335743300000004"/>
    <n v="43.5"/>
    <n v="20"/>
    <n v="0"/>
    <n v="0"/>
    <n v="49.1"/>
    <n v="33.200000000000003"/>
    <n v="10.299999999999999"/>
    <n v="36.9"/>
    <x v="2"/>
  </r>
  <r>
    <x v="632"/>
    <x v="632"/>
    <x v="31"/>
    <x v="1"/>
    <n v="4"/>
    <n v="512"/>
    <n v="719"/>
    <n v="304"/>
    <n v="494"/>
    <n v="700"/>
    <n v="908"/>
    <n v="541"/>
    <n v="72.5"/>
    <n v="52.215933"/>
    <n v="19.134422000000001"/>
    <n v="30.099999999999998"/>
    <n v="23.273273273273272"/>
    <n v="28.199999999999996"/>
    <n v="0"/>
    <n v="50.7"/>
    <n v="9.3000000000000007"/>
    <n v="46"/>
    <n v="36.799999999999997"/>
    <x v="2"/>
  </r>
  <r>
    <x v="633"/>
    <x v="633"/>
    <x v="10"/>
    <x v="3"/>
    <n v="23"/>
    <n v="667"/>
    <n v="1001"/>
    <n v="304"/>
    <n v="544"/>
    <n v="542"/>
    <n v="1001"/>
    <n v="673"/>
    <n v="72.400000000000006"/>
    <n v="-24.776108600000001"/>
    <n v="134.755"/>
    <n v="45.9"/>
    <n v="20"/>
    <n v="0"/>
    <n v="0"/>
    <n v="45.7"/>
    <n v="0"/>
    <n v="32.800000000000004"/>
    <n v="36.700000000000003"/>
    <x v="2"/>
  </r>
  <r>
    <x v="634"/>
    <x v="634"/>
    <x v="17"/>
    <x v="2"/>
    <n v="51"/>
    <n v="667"/>
    <n v="712"/>
    <n v="304"/>
    <n v="411"/>
    <n v="578"/>
    <n v="1001"/>
    <n v="898"/>
    <n v="72.400000000000006"/>
    <n v="30.047992000000001"/>
    <n v="-94.335743300000004"/>
    <n v="42.3"/>
    <n v="20"/>
    <n v="28.9"/>
    <n v="0"/>
    <n v="59"/>
    <n v="0"/>
    <n v="10.299999999999999"/>
    <n v="36.6"/>
    <x v="2"/>
  </r>
  <r>
    <x v="635"/>
    <x v="635"/>
    <x v="17"/>
    <x v="2"/>
    <n v="52"/>
    <n v="667"/>
    <n v="1001"/>
    <n v="304"/>
    <n v="469"/>
    <n v="552"/>
    <n v="1001"/>
    <n v="673"/>
    <n v="72.400000000000006"/>
    <n v="30.047992000000001"/>
    <n v="-94.335743300000004"/>
    <n v="44.9"/>
    <n v="20"/>
    <n v="0"/>
    <n v="0"/>
    <n v="53.2"/>
    <n v="0"/>
    <n v="32.800000000000004"/>
    <n v="36.5"/>
    <x v="2"/>
  </r>
  <r>
    <x v="636"/>
    <x v="636"/>
    <x v="5"/>
    <x v="1"/>
    <n v="33"/>
    <n v="667"/>
    <n v="4"/>
    <n v="304"/>
    <n v="1001"/>
    <n v="1001"/>
    <n v="1001"/>
    <n v="1001"/>
    <n v="72.400000000000006"/>
    <n v="46.603354000000003"/>
    <n v="1.8883335000000001"/>
    <n v="0"/>
    <n v="20"/>
    <n v="99.7"/>
    <n v="0"/>
    <n v="0"/>
    <n v="0"/>
    <n v="0"/>
    <n v="36.4"/>
    <x v="2"/>
  </r>
  <r>
    <x v="637"/>
    <x v="637"/>
    <x v="0"/>
    <x v="0"/>
    <n v="163"/>
    <n v="329"/>
    <n v="412"/>
    <n v="304"/>
    <n v="622"/>
    <n v="654"/>
    <n v="601"/>
    <n v="673"/>
    <n v="72.400000000000006"/>
    <n v="39.783730400000003"/>
    <n v="-100.445882"/>
    <n v="34.699999999999996"/>
    <n v="50.750750750750754"/>
    <n v="58.9"/>
    <n v="0"/>
    <n v="37.9"/>
    <n v="40"/>
    <n v="32.800000000000004"/>
    <n v="36.299999999999997"/>
    <x v="2"/>
  </r>
  <r>
    <x v="638"/>
    <x v="638"/>
    <x v="0"/>
    <x v="0"/>
    <n v="164"/>
    <n v="667"/>
    <n v="1001"/>
    <n v="304"/>
    <n v="894"/>
    <n v="658"/>
    <n v="389"/>
    <n v="541"/>
    <n v="72.400000000000006"/>
    <n v="39.783730400000003"/>
    <n v="-100.445882"/>
    <n v="34.300000000000004"/>
    <n v="20"/>
    <n v="0"/>
    <n v="0"/>
    <n v="10.7"/>
    <n v="61.199999999999996"/>
    <n v="46"/>
    <n v="36.199999999999996"/>
    <x v="2"/>
  </r>
  <r>
    <x v="639"/>
    <x v="639"/>
    <x v="16"/>
    <x v="1"/>
    <n v="19"/>
    <n v="528"/>
    <n v="1001"/>
    <n v="304"/>
    <n v="557"/>
    <n v="568"/>
    <n v="847"/>
    <n v="673"/>
    <n v="72.400000000000006"/>
    <n v="39.326068499999998"/>
    <n v="-4.8379791000000001"/>
    <n v="43.3"/>
    <n v="20.870870870870871"/>
    <n v="0"/>
    <n v="0"/>
    <n v="44.4"/>
    <n v="15.4"/>
    <n v="32.800000000000004"/>
    <n v="36.1"/>
    <x v="2"/>
  </r>
  <r>
    <x v="640"/>
    <x v="640"/>
    <x v="0"/>
    <x v="0"/>
    <n v="165"/>
    <n v="667"/>
    <n v="1001"/>
    <n v="304"/>
    <n v="779"/>
    <n v="572"/>
    <n v="475"/>
    <n v="673"/>
    <n v="72.400000000000006"/>
    <n v="39.783730400000003"/>
    <n v="-100.445882"/>
    <n v="42.9"/>
    <n v="20"/>
    <n v="0"/>
    <n v="0"/>
    <n v="22.2"/>
    <n v="52.6"/>
    <n v="32.800000000000004"/>
    <n v="36"/>
    <x v="2"/>
  </r>
  <r>
    <x v="641"/>
    <x v="641"/>
    <x v="38"/>
    <x v="2"/>
    <n v="5"/>
    <n v="667"/>
    <n v="1001"/>
    <n v="304"/>
    <n v="542"/>
    <n v="716"/>
    <n v="1001"/>
    <n v="405"/>
    <n v="72.400000000000006"/>
    <n v="2.9368696000000001"/>
    <n v="115.4443356"/>
    <n v="28.499999999999996"/>
    <n v="20"/>
    <n v="0"/>
    <n v="0"/>
    <n v="45.9"/>
    <n v="0"/>
    <n v="59.599999999999994"/>
    <n v="35.9"/>
    <x v="2"/>
  </r>
  <r>
    <x v="642"/>
    <x v="642"/>
    <x v="10"/>
    <x v="3"/>
    <n v="24"/>
    <n v="667"/>
    <n v="1001"/>
    <n v="304"/>
    <n v="822"/>
    <n v="632"/>
    <n v="460"/>
    <n v="541"/>
    <n v="72.400000000000006"/>
    <n v="-24.776108600000001"/>
    <n v="134.755"/>
    <n v="36.9"/>
    <n v="20"/>
    <n v="0"/>
    <n v="0"/>
    <n v="17.899999999999999"/>
    <n v="54.1"/>
    <n v="46"/>
    <n v="35.799999999999997"/>
    <x v="2"/>
  </r>
  <r>
    <x v="643"/>
    <x v="643"/>
    <x v="9"/>
    <x v="1"/>
    <n v="11"/>
    <n v="667"/>
    <n v="21"/>
    <n v="252"/>
    <n v="1001"/>
    <n v="1001"/>
    <n v="830"/>
    <n v="673"/>
    <n v="72.400000000000006"/>
    <n v="44.133434999999999"/>
    <n v="-70.822677999999996"/>
    <n v="0"/>
    <n v="20"/>
    <n v="98"/>
    <n v="17.161716171617162"/>
    <n v="0"/>
    <n v="17.100000000000001"/>
    <n v="32.800000000000004"/>
    <n v="35.699999999999996"/>
    <x v="2"/>
  </r>
  <r>
    <x v="644"/>
    <x v="644"/>
    <x v="17"/>
    <x v="2"/>
    <n v="53"/>
    <n v="667"/>
    <n v="1001"/>
    <n v="304"/>
    <n v="452"/>
    <n v="501"/>
    <n v="828"/>
    <n v="1001"/>
    <n v="72.3"/>
    <n v="30.047992000000001"/>
    <n v="-94.335743300000004"/>
    <n v="50"/>
    <n v="20"/>
    <n v="0"/>
    <n v="0"/>
    <n v="54.900000000000006"/>
    <n v="17.299999999999997"/>
    <n v="0"/>
    <n v="35.6"/>
    <x v="2"/>
  </r>
  <r>
    <x v="645"/>
    <x v="645"/>
    <x v="17"/>
    <x v="2"/>
    <n v="54"/>
    <n v="667"/>
    <n v="1001"/>
    <n v="304"/>
    <n v="558"/>
    <n v="571"/>
    <n v="1001"/>
    <n v="541"/>
    <n v="72.3"/>
    <n v="30.047992000000001"/>
    <n v="-94.335743300000004"/>
    <n v="43"/>
    <n v="20"/>
    <n v="0"/>
    <n v="0"/>
    <n v="44.3"/>
    <n v="0"/>
    <n v="46"/>
    <n v="35.5"/>
    <x v="2"/>
  </r>
  <r>
    <x v="646"/>
    <x v="646"/>
    <x v="24"/>
    <x v="1"/>
    <n v="7"/>
    <n v="639"/>
    <n v="1001"/>
    <n v="289"/>
    <n v="729"/>
    <n v="626"/>
    <n v="569"/>
    <n v="673"/>
    <n v="72.3"/>
    <n v="47.593969999999999"/>
    <n v="14.124560000000001"/>
    <n v="37.5"/>
    <n v="20"/>
    <n v="0"/>
    <n v="4.9504950495049505"/>
    <n v="27.200000000000003"/>
    <n v="43.2"/>
    <n v="32.800000000000004"/>
    <n v="35.4"/>
    <x v="2"/>
  </r>
  <r>
    <x v="647"/>
    <x v="647"/>
    <x v="47"/>
    <x v="2"/>
    <n v="6"/>
    <n v="667"/>
    <n v="785"/>
    <n v="304"/>
    <n v="587"/>
    <n v="711"/>
    <n v="1001"/>
    <n v="405"/>
    <n v="72.3"/>
    <n v="38.959759400000003"/>
    <n v="34.924965299999997"/>
    <n v="28.999999999999996"/>
    <n v="20"/>
    <n v="21.6"/>
    <n v="0"/>
    <n v="41.4"/>
    <n v="0"/>
    <n v="59.599999999999994"/>
    <n v="35.299999999999997"/>
    <x v="2"/>
  </r>
  <r>
    <x v="648"/>
    <x v="648"/>
    <x v="0"/>
    <x v="0"/>
    <n v="166"/>
    <n v="667"/>
    <n v="1001"/>
    <n v="304"/>
    <n v="738"/>
    <n v="621"/>
    <n v="486"/>
    <n v="673"/>
    <n v="72.3"/>
    <n v="39.783730400000003"/>
    <n v="-100.445882"/>
    <n v="38"/>
    <n v="20"/>
    <n v="0"/>
    <n v="0"/>
    <n v="26.3"/>
    <n v="51.5"/>
    <n v="32.800000000000004"/>
    <n v="35.199999999999996"/>
    <x v="2"/>
  </r>
  <r>
    <x v="649"/>
    <x v="649"/>
    <x v="12"/>
    <x v="1"/>
    <n v="32"/>
    <n v="667"/>
    <n v="1001"/>
    <n v="304"/>
    <n v="942"/>
    <n v="753"/>
    <n v="493"/>
    <n v="327"/>
    <n v="72.3"/>
    <n v="42.638426099999997"/>
    <n v="12.674296999999999"/>
    <n v="24.8"/>
    <n v="20"/>
    <n v="0"/>
    <n v="0"/>
    <n v="5.8999999999999995"/>
    <n v="50.8"/>
    <n v="67.400000000000006"/>
    <n v="35.099999999999994"/>
    <x v="2"/>
  </r>
  <r>
    <x v="650"/>
    <x v="650"/>
    <x v="40"/>
    <x v="2"/>
    <n v="4"/>
    <n v="667"/>
    <n v="189"/>
    <n v="304"/>
    <n v="534"/>
    <n v="551"/>
    <n v="1001"/>
    <n v="898"/>
    <n v="72.3"/>
    <n v="22.351114800000001"/>
    <n v="78.667742799999999"/>
    <n v="45"/>
    <n v="20"/>
    <n v="81.2"/>
    <n v="0"/>
    <n v="46.7"/>
    <n v="0"/>
    <n v="10.299999999999999"/>
    <n v="35"/>
    <x v="2"/>
  </r>
  <r>
    <x v="651"/>
    <x v="651"/>
    <x v="5"/>
    <x v="1"/>
    <n v="34"/>
    <n v="592"/>
    <n v="1001"/>
    <n v="260"/>
    <n v="1001"/>
    <n v="741"/>
    <n v="401"/>
    <n v="673"/>
    <n v="72.3"/>
    <n v="46.603354000000003"/>
    <n v="1.8883335000000001"/>
    <n v="26"/>
    <n v="20"/>
    <n v="0"/>
    <n v="14.521452145214523"/>
    <n v="0"/>
    <n v="60"/>
    <n v="32.800000000000004"/>
    <n v="34.9"/>
    <x v="2"/>
  </r>
  <r>
    <x v="652"/>
    <x v="652"/>
    <x v="16"/>
    <x v="1"/>
    <n v="20"/>
    <n v="667"/>
    <n v="99"/>
    <n v="304"/>
    <n v="677"/>
    <n v="589"/>
    <n v="701"/>
    <n v="1001"/>
    <n v="72.3"/>
    <n v="39.326068499999998"/>
    <n v="-4.8379791000000001"/>
    <n v="41.199999999999996"/>
    <n v="20"/>
    <n v="90.2"/>
    <n v="0"/>
    <n v="32.4"/>
    <n v="30"/>
    <n v="0"/>
    <n v="34.799999999999997"/>
    <x v="2"/>
  </r>
  <r>
    <x v="653"/>
    <x v="653"/>
    <x v="21"/>
    <x v="2"/>
    <n v="11"/>
    <n v="667"/>
    <n v="1001"/>
    <n v="304"/>
    <n v="498"/>
    <n v="466"/>
    <n v="852"/>
    <n v="1001"/>
    <n v="72.3"/>
    <n v="23.598322700000001"/>
    <s v="120.83537694479215"/>
    <n v="53.5"/>
    <n v="20"/>
    <n v="0"/>
    <n v="0"/>
    <n v="50.3"/>
    <n v="14.899999999999999"/>
    <n v="0"/>
    <n v="34.699999999999996"/>
    <x v="2"/>
  </r>
  <r>
    <x v="654"/>
    <x v="654"/>
    <x v="21"/>
    <x v="2"/>
    <n v="12"/>
    <n v="667"/>
    <n v="1001"/>
    <n v="304"/>
    <n v="522"/>
    <n v="531"/>
    <n v="903"/>
    <n v="898"/>
    <n v="72.3"/>
    <n v="23.598322700000001"/>
    <s v="120.83537694479215"/>
    <n v="47"/>
    <n v="20"/>
    <n v="0"/>
    <n v="0"/>
    <n v="47.9"/>
    <n v="9.8000000000000007"/>
    <n v="10.299999999999999"/>
    <n v="34.599999999999994"/>
    <x v="2"/>
  </r>
  <r>
    <x v="655"/>
    <x v="655"/>
    <x v="5"/>
    <x v="1"/>
    <n v="35"/>
    <n v="92"/>
    <n v="198"/>
    <n v="141"/>
    <n v="1001"/>
    <n v="959"/>
    <n v="835"/>
    <n v="541"/>
    <n v="72.3"/>
    <n v="46.603354000000003"/>
    <n v="1.8883335000000001"/>
    <n v="4.2"/>
    <n v="86.336336336336345"/>
    <n v="80.300000000000011"/>
    <n v="53.795379537953792"/>
    <n v="0"/>
    <n v="16.600000000000001"/>
    <n v="46"/>
    <n v="34.5"/>
    <x v="2"/>
  </r>
  <r>
    <x v="656"/>
    <x v="656"/>
    <x v="17"/>
    <x v="2"/>
    <n v="55"/>
    <n v="547"/>
    <n v="1001"/>
    <n v="304"/>
    <n v="497"/>
    <n v="520"/>
    <n v="1001"/>
    <n v="898"/>
    <n v="72.2"/>
    <n v="30.047992000000001"/>
    <n v="-94.335743300000004"/>
    <n v="48.1"/>
    <n v="20"/>
    <n v="0"/>
    <n v="0"/>
    <n v="50.4"/>
    <n v="0"/>
    <n v="10.299999999999999"/>
    <n v="34.4"/>
    <x v="2"/>
  </r>
  <r>
    <x v="657"/>
    <x v="657"/>
    <x v="39"/>
    <x v="1"/>
    <n v="2"/>
    <n v="667"/>
    <n v="1001"/>
    <n v="304"/>
    <n v="681"/>
    <n v="669"/>
    <n v="412"/>
    <n v="898"/>
    <n v="72.2"/>
    <n v="41.976762899999997"/>
    <n v="-72.778984199999996"/>
    <n v="33.200000000000003"/>
    <n v="20"/>
    <n v="0"/>
    <n v="0"/>
    <n v="32"/>
    <n v="58.9"/>
    <n v="10.299999999999999"/>
    <n v="34.300000000000004"/>
    <x v="2"/>
  </r>
  <r>
    <x v="658"/>
    <x v="658"/>
    <x v="15"/>
    <x v="4"/>
    <n v="8"/>
    <n v="667"/>
    <n v="1001"/>
    <n v="304"/>
    <n v="582"/>
    <n v="667"/>
    <n v="624"/>
    <n v="673"/>
    <n v="72.2"/>
    <n v="-10.3333333"/>
    <n v="-53.2"/>
    <n v="33.4"/>
    <n v="20"/>
    <n v="0"/>
    <n v="0"/>
    <n v="41.9"/>
    <n v="37.700000000000003"/>
    <n v="32.800000000000004"/>
    <n v="34.200000000000003"/>
    <x v="2"/>
  </r>
  <r>
    <x v="659"/>
    <x v="659"/>
    <x v="11"/>
    <x v="2"/>
    <n v="22"/>
    <n v="667"/>
    <n v="1001"/>
    <n v="304"/>
    <n v="781"/>
    <n v="637"/>
    <n v="648"/>
    <n v="460"/>
    <n v="72.2"/>
    <n v="36.638392000000003"/>
    <n v="127.69611879999999"/>
    <n v="36.4"/>
    <n v="20"/>
    <n v="0"/>
    <n v="0"/>
    <n v="22"/>
    <n v="35.299999999999997"/>
    <n v="54.1"/>
    <n v="34.1"/>
    <x v="2"/>
  </r>
  <r>
    <x v="660"/>
    <x v="660"/>
    <x v="12"/>
    <x v="1"/>
    <n v="33"/>
    <n v="667"/>
    <n v="1001"/>
    <n v="304"/>
    <n v="669"/>
    <n v="630"/>
    <n v="1001"/>
    <n v="460"/>
    <n v="72.2"/>
    <n v="42.638426099999997"/>
    <n v="12.674296999999999"/>
    <n v="37.1"/>
    <n v="20"/>
    <n v="0"/>
    <n v="0"/>
    <n v="33.200000000000003"/>
    <n v="0"/>
    <n v="54.1"/>
    <n v="34"/>
    <x v="2"/>
  </r>
  <r>
    <x v="661"/>
    <x v="661"/>
    <x v="16"/>
    <x v="1"/>
    <n v="21"/>
    <n v="667"/>
    <n v="1001"/>
    <n v="304"/>
    <n v="686"/>
    <n v="623"/>
    <n v="961"/>
    <n v="460"/>
    <n v="72.2"/>
    <n v="39.326068499999998"/>
    <n v="-4.8379791000000001"/>
    <n v="37.799999999999997"/>
    <n v="20"/>
    <n v="0"/>
    <n v="0"/>
    <n v="31.5"/>
    <n v="4"/>
    <n v="54.1"/>
    <n v="33.900000000000006"/>
    <x v="2"/>
  </r>
  <r>
    <x v="662"/>
    <x v="662"/>
    <x v="12"/>
    <x v="1"/>
    <n v="34"/>
    <n v="667"/>
    <n v="1001"/>
    <n v="304"/>
    <n v="609"/>
    <n v="595"/>
    <n v="761"/>
    <n v="673"/>
    <n v="72.2"/>
    <n v="42.638426099999997"/>
    <n v="12.674296999999999"/>
    <n v="40.6"/>
    <n v="20"/>
    <n v="0"/>
    <n v="0"/>
    <n v="39.200000000000003"/>
    <n v="24"/>
    <n v="32.800000000000004"/>
    <n v="33.800000000000004"/>
    <x v="2"/>
  </r>
  <r>
    <x v="663"/>
    <x v="663"/>
    <x v="16"/>
    <x v="1"/>
    <n v="22"/>
    <n v="667"/>
    <n v="1001"/>
    <n v="304"/>
    <n v="668"/>
    <n v="535"/>
    <n v="603"/>
    <n v="898"/>
    <n v="72.2"/>
    <n v="39.326068499999998"/>
    <n v="-4.8379791000000001"/>
    <n v="46.6"/>
    <n v="20"/>
    <n v="0"/>
    <n v="0"/>
    <n v="33.300000000000004"/>
    <n v="39.800000000000004"/>
    <n v="10.299999999999999"/>
    <n v="33.700000000000003"/>
    <x v="2"/>
  </r>
  <r>
    <x v="664"/>
    <x v="664"/>
    <x v="0"/>
    <x v="0"/>
    <n v="167"/>
    <n v="667"/>
    <n v="1001"/>
    <n v="304"/>
    <n v="818"/>
    <n v="698"/>
    <n v="524"/>
    <n v="460"/>
    <n v="72.2"/>
    <n v="39.783730400000003"/>
    <n v="-100.445882"/>
    <n v="30.3"/>
    <n v="20"/>
    <n v="0"/>
    <n v="0"/>
    <n v="18.3"/>
    <n v="47.699999999999996"/>
    <n v="54.1"/>
    <n v="33.6"/>
    <x v="2"/>
  </r>
  <r>
    <x v="665"/>
    <x v="665"/>
    <x v="0"/>
    <x v="0"/>
    <n v="168"/>
    <n v="667"/>
    <n v="1001"/>
    <n v="304"/>
    <n v="984"/>
    <n v="768"/>
    <n v="538"/>
    <n v="304"/>
    <n v="72.2"/>
    <n v="39.783730400000003"/>
    <n v="-100.445882"/>
    <n v="23.3"/>
    <n v="20"/>
    <n v="0"/>
    <n v="0"/>
    <n v="1.7000000000000002"/>
    <n v="46.300000000000004"/>
    <n v="69.699999999999989"/>
    <n v="33.5"/>
    <x v="2"/>
  </r>
  <r>
    <x v="666"/>
    <x v="666"/>
    <x v="25"/>
    <x v="1"/>
    <n v="4"/>
    <n v="631"/>
    <n v="1001"/>
    <n v="304"/>
    <n v="673"/>
    <n v="679"/>
    <n v="789"/>
    <n v="460"/>
    <n v="72.2"/>
    <n v="49.743904700000002"/>
    <n v="15.338106099999999"/>
    <n v="32.200000000000003"/>
    <n v="20"/>
    <n v="0"/>
    <n v="0"/>
    <n v="32.800000000000004"/>
    <n v="21.2"/>
    <n v="54.1"/>
    <n v="33.4"/>
    <x v="2"/>
  </r>
  <r>
    <x v="667"/>
    <x v="667"/>
    <x v="5"/>
    <x v="1"/>
    <n v="36"/>
    <n v="410"/>
    <n v="1001"/>
    <n v="304"/>
    <n v="701"/>
    <n v="641"/>
    <n v="705"/>
    <n v="541"/>
    <n v="72.099999999999994"/>
    <n v="46.603354000000003"/>
    <n v="1.8883335000000001"/>
    <n v="36"/>
    <n v="38.588588588588593"/>
    <n v="0"/>
    <n v="0"/>
    <n v="30"/>
    <n v="29.599999999999998"/>
    <n v="46"/>
    <n v="33.300000000000004"/>
    <x v="2"/>
  </r>
  <r>
    <x v="668"/>
    <x v="668"/>
    <x v="0"/>
    <x v="0"/>
    <n v="169"/>
    <n v="667"/>
    <n v="1001"/>
    <n v="157"/>
    <n v="1001"/>
    <n v="775"/>
    <n v="527"/>
    <n v="1001"/>
    <n v="72.099999999999994"/>
    <n v="39.783730400000003"/>
    <n v="-100.445882"/>
    <n v="22.6"/>
    <n v="20"/>
    <n v="0"/>
    <n v="48.514851485148512"/>
    <n v="0"/>
    <n v="47.4"/>
    <n v="0"/>
    <n v="33.200000000000003"/>
    <x v="2"/>
  </r>
  <r>
    <x v="669"/>
    <x v="669"/>
    <x v="33"/>
    <x v="1"/>
    <n v="5"/>
    <n v="667"/>
    <n v="1001"/>
    <n v="304"/>
    <n v="545"/>
    <n v="596"/>
    <n v="1001"/>
    <n v="673"/>
    <n v="72.099999999999994"/>
    <n v="43.209783799999997"/>
    <n v="-77.693060200000005"/>
    <n v="40.5"/>
    <n v="20"/>
    <n v="0"/>
    <n v="0"/>
    <n v="45.6"/>
    <n v="0"/>
    <n v="32.800000000000004"/>
    <n v="33.1"/>
    <x v="2"/>
  </r>
  <r>
    <x v="670"/>
    <x v="670"/>
    <x v="40"/>
    <x v="2"/>
    <n v="5"/>
    <n v="283"/>
    <n v="95"/>
    <n v="304"/>
    <n v="549"/>
    <n v="634"/>
    <n v="1001"/>
    <n v="1001"/>
    <n v="72.099999999999994"/>
    <n v="22.351114800000001"/>
    <n v="78.667742799999999"/>
    <n v="36.700000000000003"/>
    <n v="57.657657657657658"/>
    <n v="90.600000000000009"/>
    <n v="0"/>
    <n v="45.2"/>
    <n v="0"/>
    <n v="0"/>
    <n v="33"/>
    <x v="2"/>
  </r>
  <r>
    <x v="671"/>
    <x v="671"/>
    <x v="17"/>
    <x v="2"/>
    <n v="56"/>
    <n v="667"/>
    <n v="797"/>
    <n v="304"/>
    <n v="694"/>
    <n v="649"/>
    <n v="1001"/>
    <n v="363"/>
    <n v="72.099999999999994"/>
    <n v="30.047992000000001"/>
    <n v="-94.335743300000004"/>
    <n v="35.199999999999996"/>
    <n v="20"/>
    <n v="20.399999999999999"/>
    <n v="0"/>
    <n v="30.7"/>
    <n v="0"/>
    <n v="63.800000000000004"/>
    <n v="32.9"/>
    <x v="2"/>
  </r>
  <r>
    <x v="672"/>
    <x v="672"/>
    <x v="48"/>
    <x v="1"/>
    <n v="1"/>
    <n v="667"/>
    <n v="1001"/>
    <n v="304"/>
    <n v="602"/>
    <n v="762"/>
    <n v="691"/>
    <n v="541"/>
    <n v="72.099999999999994"/>
    <n v="48.741152200000002"/>
    <n v="19.452864600000002"/>
    <n v="23.9"/>
    <n v="20"/>
    <n v="0"/>
    <n v="0"/>
    <n v="39.900000000000006"/>
    <n v="31"/>
    <n v="46"/>
    <n v="32.800000000000004"/>
    <x v="2"/>
  </r>
  <r>
    <x v="673"/>
    <x v="673"/>
    <x v="1"/>
    <x v="1"/>
    <n v="46"/>
    <n v="667"/>
    <n v="540"/>
    <n v="304"/>
    <n v="654"/>
    <n v="584"/>
    <n v="850"/>
    <n v="673"/>
    <n v="72.099999999999994"/>
    <n v="54.702354499999998"/>
    <n v="-3.2765753000000002"/>
    <n v="41.699999999999996"/>
    <n v="20"/>
    <n v="46.1"/>
    <n v="0"/>
    <n v="34.699999999999996"/>
    <n v="15.1"/>
    <n v="32.800000000000004"/>
    <n v="32.700000000000003"/>
    <x v="2"/>
  </r>
  <r>
    <x v="674"/>
    <x v="674"/>
    <x v="2"/>
    <x v="2"/>
    <n v="25"/>
    <n v="153"/>
    <n v="591"/>
    <n v="304"/>
    <n v="689"/>
    <n v="673"/>
    <n v="786"/>
    <n v="541"/>
    <n v="72.099999999999994"/>
    <n v="36.5748441"/>
    <n v="139.23941790000001"/>
    <n v="32.800000000000004"/>
    <n v="77.177177177177185"/>
    <n v="41"/>
    <n v="0"/>
    <n v="31.2"/>
    <n v="21.5"/>
    <n v="46"/>
    <n v="32.6"/>
    <x v="2"/>
  </r>
  <r>
    <x v="675"/>
    <x v="675"/>
    <x v="40"/>
    <x v="2"/>
    <n v="6"/>
    <n v="667"/>
    <n v="435"/>
    <n v="304"/>
    <n v="433"/>
    <n v="503"/>
    <n v="1001"/>
    <n v="1001"/>
    <n v="72.099999999999994"/>
    <n v="22.351114800000001"/>
    <n v="78.667742799999999"/>
    <n v="49.8"/>
    <n v="20"/>
    <n v="56.599999999999994"/>
    <n v="0"/>
    <n v="56.8"/>
    <n v="0"/>
    <n v="0"/>
    <n v="32.5"/>
    <x v="2"/>
  </r>
  <r>
    <x v="676"/>
    <x v="676"/>
    <x v="0"/>
    <x v="0"/>
    <n v="170"/>
    <n v="667"/>
    <n v="734"/>
    <n v="304"/>
    <n v="848"/>
    <n v="720"/>
    <n v="733"/>
    <n v="363"/>
    <n v="72.099999999999994"/>
    <n v="39.783730400000003"/>
    <n v="-100.445882"/>
    <n v="28.1"/>
    <n v="20"/>
    <n v="26.700000000000003"/>
    <n v="0"/>
    <n v="15.299999999999999"/>
    <n v="26.8"/>
    <n v="63.800000000000004"/>
    <n v="32.4"/>
    <x v="2"/>
  </r>
  <r>
    <x v="677"/>
    <x v="677"/>
    <x v="2"/>
    <x v="2"/>
    <n v="26"/>
    <n v="667"/>
    <n v="1001"/>
    <n v="304"/>
    <n v="713"/>
    <n v="772"/>
    <n v="778"/>
    <n v="405"/>
    <n v="72.099999999999994"/>
    <n v="36.5748441"/>
    <n v="139.23941790000001"/>
    <n v="22.900000000000002"/>
    <n v="20"/>
    <n v="0"/>
    <n v="0"/>
    <n v="28.799999999999997"/>
    <n v="22.3"/>
    <n v="59.599999999999994"/>
    <n v="32.300000000000004"/>
    <x v="2"/>
  </r>
  <r>
    <x v="678"/>
    <x v="678"/>
    <x v="47"/>
    <x v="2"/>
    <n v="7"/>
    <n v="667"/>
    <n v="1001"/>
    <n v="304"/>
    <n v="443"/>
    <n v="854"/>
    <n v="1001"/>
    <n v="541"/>
    <n v="72.099999999999994"/>
    <n v="38.959759400000003"/>
    <n v="34.924965299999997"/>
    <n v="14.7"/>
    <n v="20"/>
    <n v="0"/>
    <n v="0"/>
    <n v="55.800000000000004"/>
    <n v="0"/>
    <n v="46"/>
    <n v="32.200000000000003"/>
    <x v="2"/>
  </r>
  <r>
    <x v="679"/>
    <x v="679"/>
    <x v="17"/>
    <x v="2"/>
    <n v="57"/>
    <n v="667"/>
    <n v="1001"/>
    <n v="304"/>
    <n v="476"/>
    <n v="607"/>
    <n v="1001"/>
    <n v="898"/>
    <n v="72"/>
    <n v="30.047992000000001"/>
    <n v="-94.335743300000004"/>
    <n v="39.4"/>
    <n v="20"/>
    <n v="0"/>
    <n v="0"/>
    <n v="52.5"/>
    <n v="0"/>
    <n v="10.299999999999999"/>
    <n v="32.1"/>
    <x v="2"/>
  </r>
  <r>
    <x v="680"/>
    <x v="680"/>
    <x v="0"/>
    <x v="0"/>
    <n v="171"/>
    <n v="667"/>
    <n v="487"/>
    <n v="304"/>
    <n v="907"/>
    <n v="738"/>
    <n v="441"/>
    <n v="541"/>
    <n v="72"/>
    <n v="39.783730400000003"/>
    <n v="-100.445882"/>
    <n v="26.3"/>
    <n v="20"/>
    <n v="51.4"/>
    <n v="0"/>
    <n v="9.4"/>
    <n v="56.000000000000007"/>
    <n v="46"/>
    <n v="32"/>
    <x v="2"/>
  </r>
  <r>
    <x v="681"/>
    <x v="681"/>
    <x v="0"/>
    <x v="0"/>
    <n v="172"/>
    <n v="667"/>
    <n v="986"/>
    <n v="304"/>
    <n v="745"/>
    <n v="699"/>
    <n v="730"/>
    <n v="460"/>
    <n v="72"/>
    <n v="39.783730400000003"/>
    <n v="-100.445882"/>
    <n v="30.2"/>
    <n v="20"/>
    <n v="1.5"/>
    <n v="0"/>
    <n v="25.6"/>
    <n v="27.1"/>
    <n v="54.1"/>
    <n v="31.900000000000002"/>
    <x v="2"/>
  </r>
  <r>
    <x v="682"/>
    <x v="682"/>
    <x v="16"/>
    <x v="1"/>
    <n v="23"/>
    <n v="667"/>
    <n v="1001"/>
    <n v="304"/>
    <n v="628"/>
    <n v="600"/>
    <n v="922"/>
    <n v="673"/>
    <n v="72"/>
    <n v="39.326068499999998"/>
    <n v="-4.8379791000000001"/>
    <n v="40.1"/>
    <n v="20"/>
    <n v="0"/>
    <n v="0"/>
    <n v="37.299999999999997"/>
    <n v="7.9"/>
    <n v="32.800000000000004"/>
    <n v="31.8"/>
    <x v="2"/>
  </r>
  <r>
    <x v="683"/>
    <x v="683"/>
    <x v="5"/>
    <x v="1"/>
    <n v="37"/>
    <n v="667"/>
    <n v="1001"/>
    <n v="304"/>
    <n v="661"/>
    <n v="587"/>
    <n v="888"/>
    <n v="673"/>
    <n v="72"/>
    <n v="46.603354000000003"/>
    <n v="1.8883335000000001"/>
    <n v="41.4"/>
    <n v="20"/>
    <n v="0"/>
    <n v="0"/>
    <n v="34"/>
    <n v="11.3"/>
    <n v="32.800000000000004"/>
    <n v="31.7"/>
    <x v="2"/>
  </r>
  <r>
    <x v="684"/>
    <x v="684"/>
    <x v="17"/>
    <x v="2"/>
    <n v="58"/>
    <n v="667"/>
    <n v="783"/>
    <n v="304"/>
    <n v="665"/>
    <n v="627"/>
    <n v="785"/>
    <n v="673"/>
    <n v="72"/>
    <n v="30.047992000000001"/>
    <n v="-94.335743300000004"/>
    <n v="37.4"/>
    <n v="20"/>
    <n v="21.8"/>
    <n v="0"/>
    <n v="33.6"/>
    <n v="21.6"/>
    <n v="32.800000000000004"/>
    <n v="31.6"/>
    <x v="2"/>
  </r>
  <r>
    <x v="685"/>
    <x v="685"/>
    <x v="12"/>
    <x v="1"/>
    <n v="35"/>
    <n v="667"/>
    <n v="1001"/>
    <n v="304"/>
    <n v="851"/>
    <n v="706"/>
    <n v="674"/>
    <n v="405"/>
    <n v="72"/>
    <n v="42.638426099999997"/>
    <n v="12.674296999999999"/>
    <n v="29.5"/>
    <n v="20"/>
    <n v="0"/>
    <n v="0"/>
    <n v="15"/>
    <n v="32.700000000000003"/>
    <n v="59.599999999999994"/>
    <n v="31.5"/>
    <x v="2"/>
  </r>
  <r>
    <x v="686"/>
    <x v="686"/>
    <x v="0"/>
    <x v="0"/>
    <n v="173"/>
    <n v="667"/>
    <n v="1001"/>
    <n v="304"/>
    <n v="789"/>
    <n v="697"/>
    <n v="472"/>
    <n v="673"/>
    <n v="72"/>
    <n v="39.783730400000003"/>
    <n v="-100.445882"/>
    <n v="30.4"/>
    <n v="20"/>
    <n v="0"/>
    <n v="0"/>
    <n v="21.2"/>
    <n v="52.900000000000006"/>
    <n v="32.800000000000004"/>
    <n v="31.4"/>
    <x v="2"/>
  </r>
  <r>
    <x v="687"/>
    <x v="687"/>
    <x v="17"/>
    <x v="2"/>
    <n v="59"/>
    <n v="667"/>
    <n v="1001"/>
    <n v="304"/>
    <n v="599"/>
    <n v="639"/>
    <n v="653"/>
    <n v="898"/>
    <n v="72"/>
    <n v="30.047992000000001"/>
    <n v="-94.335743300000004"/>
    <n v="36.199999999999996"/>
    <n v="20"/>
    <n v="0"/>
    <n v="0"/>
    <n v="40.200000000000003"/>
    <n v="34.799999999999997"/>
    <n v="10.299999999999999"/>
    <n v="31.3"/>
    <x v="2"/>
  </r>
  <r>
    <x v="688"/>
    <x v="688"/>
    <x v="38"/>
    <x v="2"/>
    <n v="6"/>
    <n v="667"/>
    <n v="1001"/>
    <n v="304"/>
    <n v="396"/>
    <n v="659"/>
    <n v="1001"/>
    <n v="898"/>
    <n v="72"/>
    <n v="2.9368696000000001"/>
    <n v="115.4443356"/>
    <n v="34.200000000000003"/>
    <n v="20"/>
    <n v="0"/>
    <n v="0"/>
    <n v="60.5"/>
    <n v="0"/>
    <n v="10.299999999999999"/>
    <n v="31.2"/>
    <x v="2"/>
  </r>
  <r>
    <x v="689"/>
    <x v="689"/>
    <x v="11"/>
    <x v="2"/>
    <n v="23"/>
    <n v="667"/>
    <n v="1001"/>
    <n v="304"/>
    <n v="572"/>
    <n v="670"/>
    <n v="865"/>
    <n v="673"/>
    <n v="72"/>
    <n v="36.638392000000003"/>
    <n v="127.69611879999999"/>
    <n v="33.1"/>
    <n v="20"/>
    <n v="0"/>
    <n v="0"/>
    <n v="42.9"/>
    <n v="13.600000000000001"/>
    <n v="32.800000000000004"/>
    <n v="31.1"/>
    <x v="2"/>
  </r>
  <r>
    <x v="690"/>
    <x v="690"/>
    <x v="17"/>
    <x v="2"/>
    <n v="60"/>
    <n v="667"/>
    <n v="603"/>
    <n v="304"/>
    <n v="517"/>
    <n v="597"/>
    <n v="679"/>
    <n v="1001"/>
    <n v="72"/>
    <n v="30.047992000000001"/>
    <n v="-94.335743300000004"/>
    <n v="40.400000000000006"/>
    <n v="20"/>
    <n v="39.800000000000004"/>
    <n v="0"/>
    <n v="48.4"/>
    <n v="32.200000000000003"/>
    <n v="0"/>
    <n v="31"/>
    <x v="2"/>
  </r>
  <r>
    <x v="691"/>
    <x v="691"/>
    <x v="17"/>
    <x v="2"/>
    <n v="61"/>
    <n v="667"/>
    <n v="1001"/>
    <n v="304"/>
    <n v="691"/>
    <n v="813"/>
    <n v="1001"/>
    <n v="363"/>
    <n v="71.900000000000006"/>
    <n v="30.047992000000001"/>
    <n v="-94.335743300000004"/>
    <n v="18.8"/>
    <n v="20"/>
    <n v="0"/>
    <n v="0"/>
    <n v="31"/>
    <n v="0"/>
    <n v="63.800000000000004"/>
    <n v="30.9"/>
    <x v="2"/>
  </r>
  <r>
    <x v="692"/>
    <x v="692"/>
    <x v="17"/>
    <x v="2"/>
    <n v="62"/>
    <n v="667"/>
    <n v="1001"/>
    <n v="304"/>
    <n v="716"/>
    <n v="647"/>
    <n v="864"/>
    <n v="541"/>
    <n v="71.900000000000006"/>
    <n v="30.047992000000001"/>
    <n v="-94.335743300000004"/>
    <n v="35.4"/>
    <n v="20"/>
    <n v="0"/>
    <n v="0"/>
    <n v="28.499999999999996"/>
    <n v="13.700000000000001"/>
    <n v="46"/>
    <n v="30.8"/>
    <x v="2"/>
  </r>
  <r>
    <x v="693"/>
    <x v="693"/>
    <x v="15"/>
    <x v="4"/>
    <n v="9"/>
    <n v="667"/>
    <n v="1001"/>
    <n v="304"/>
    <n v="453"/>
    <n v="603"/>
    <n v="884"/>
    <n v="1001"/>
    <n v="71.900000000000006"/>
    <n v="-10.3333333"/>
    <n v="-53.2"/>
    <n v="39.800000000000004"/>
    <n v="20"/>
    <n v="0"/>
    <n v="0"/>
    <n v="54.800000000000004"/>
    <n v="11.700000000000001"/>
    <n v="0"/>
    <n v="30.7"/>
    <x v="2"/>
  </r>
  <r>
    <x v="694"/>
    <x v="694"/>
    <x v="1"/>
    <x v="1"/>
    <n v="47"/>
    <n v="667"/>
    <n v="1001"/>
    <n v="304"/>
    <n v="885"/>
    <n v="693"/>
    <n v="420"/>
    <n v="673"/>
    <n v="71.900000000000006"/>
    <n v="54.702354499999998"/>
    <n v="-3.2765753000000002"/>
    <n v="30.8"/>
    <n v="20"/>
    <n v="0"/>
    <n v="0"/>
    <n v="11.600000000000001"/>
    <n v="58.099999999999994"/>
    <n v="32.800000000000004"/>
    <n v="30.599999999999998"/>
    <x v="2"/>
  </r>
  <r>
    <x v="695"/>
    <x v="695"/>
    <x v="39"/>
    <x v="1"/>
    <n v="3"/>
    <n v="667"/>
    <n v="1001"/>
    <n v="304"/>
    <n v="696"/>
    <n v="755"/>
    <n v="655"/>
    <n v="541"/>
    <n v="71.900000000000006"/>
    <n v="41.976762899999997"/>
    <n v="-72.778984199999996"/>
    <n v="24.6"/>
    <n v="20"/>
    <n v="0"/>
    <n v="0"/>
    <n v="30.5"/>
    <n v="34.599999999999994"/>
    <n v="46"/>
    <n v="30.5"/>
    <x v="2"/>
  </r>
  <r>
    <x v="696"/>
    <x v="696"/>
    <x v="17"/>
    <x v="2"/>
    <n v="63"/>
    <n v="667"/>
    <n v="1001"/>
    <n v="304"/>
    <n v="483"/>
    <n v="573"/>
    <n v="876"/>
    <n v="1001"/>
    <n v="71.900000000000006"/>
    <n v="30.047992000000001"/>
    <n v="-94.335743300000004"/>
    <n v="42.8"/>
    <n v="20"/>
    <n v="0"/>
    <n v="0"/>
    <n v="51.800000000000004"/>
    <n v="12.5"/>
    <n v="0"/>
    <n v="30.4"/>
    <x v="2"/>
  </r>
  <r>
    <x v="697"/>
    <x v="697"/>
    <x v="2"/>
    <x v="2"/>
    <n v="27"/>
    <n v="580"/>
    <n v="1001"/>
    <n v="304"/>
    <n v="547"/>
    <n v="733"/>
    <n v="630"/>
    <n v="898"/>
    <n v="71.900000000000006"/>
    <n v="36.5748441"/>
    <n v="139.23941790000001"/>
    <n v="26.8"/>
    <n v="20"/>
    <n v="0"/>
    <n v="0"/>
    <n v="45.4"/>
    <n v="37.1"/>
    <n v="10.299999999999999"/>
    <n v="30.3"/>
    <x v="2"/>
  </r>
  <r>
    <x v="698"/>
    <x v="698"/>
    <x v="12"/>
    <x v="1"/>
    <n v="36"/>
    <n v="667"/>
    <n v="1001"/>
    <n v="304"/>
    <n v="748"/>
    <n v="671"/>
    <n v="711"/>
    <n v="541"/>
    <n v="71.900000000000006"/>
    <n v="42.638426099999997"/>
    <n v="12.674296999999999"/>
    <n v="33"/>
    <n v="20"/>
    <n v="0"/>
    <n v="0"/>
    <n v="25.3"/>
    <n v="28.999999999999996"/>
    <n v="46"/>
    <n v="30.2"/>
    <x v="2"/>
  </r>
  <r>
    <x v="699"/>
    <x v="699"/>
    <x v="11"/>
    <x v="2"/>
    <n v="24"/>
    <n v="667"/>
    <n v="993"/>
    <n v="304"/>
    <n v="562"/>
    <n v="640"/>
    <n v="804"/>
    <n v="898"/>
    <n v="71.900000000000006"/>
    <n v="36.638392000000003"/>
    <n v="127.69611879999999"/>
    <n v="36.1"/>
    <n v="20"/>
    <n v="0.8"/>
    <n v="0"/>
    <n v="43.9"/>
    <n v="19.7"/>
    <n v="10.299999999999999"/>
    <n v="30.099999999999998"/>
    <x v="2"/>
  </r>
  <r>
    <x v="700"/>
    <x v="700"/>
    <x v="2"/>
    <x v="2"/>
    <n v="28"/>
    <n v="667"/>
    <n v="1001"/>
    <n v="304"/>
    <n v="746"/>
    <n v="686"/>
    <n v="570"/>
    <n v="673"/>
    <n v="71.900000000000006"/>
    <n v="36.5748441"/>
    <n v="139.23941790000001"/>
    <n v="31.5"/>
    <n v="20"/>
    <n v="0"/>
    <n v="0"/>
    <n v="25.5"/>
    <n v="43.1"/>
    <n v="32.800000000000004"/>
    <n v="30"/>
    <x v="2"/>
  </r>
  <r>
    <x v="701"/>
    <x v="701"/>
    <x v="17"/>
    <x v="2"/>
    <n v="64"/>
    <n v="667"/>
    <n v="1001"/>
    <n v="304"/>
    <n v="612"/>
    <n v="676"/>
    <n v="843"/>
    <n v="673"/>
    <n v="71.900000000000006"/>
    <n v="30.047992000000001"/>
    <n v="-94.335743300000004"/>
    <n v="32.5"/>
    <n v="20"/>
    <n v="0"/>
    <n v="0"/>
    <n v="38.9"/>
    <n v="15.8"/>
    <n v="32.800000000000004"/>
    <n v="29.9"/>
    <x v="2"/>
  </r>
  <r>
    <x v="702"/>
    <x v="702"/>
    <x v="12"/>
    <x v="1"/>
    <n v="37"/>
    <n v="667"/>
    <n v="1001"/>
    <n v="304"/>
    <n v="705"/>
    <n v="624"/>
    <n v="584"/>
    <n v="898"/>
    <n v="71.900000000000006"/>
    <n v="42.638426099999997"/>
    <n v="12.674296999999999"/>
    <n v="37.700000000000003"/>
    <n v="20"/>
    <n v="0"/>
    <n v="0"/>
    <n v="29.599999999999998"/>
    <n v="41.699999999999996"/>
    <n v="10.299999999999999"/>
    <n v="29.799999999999997"/>
    <x v="2"/>
  </r>
  <r>
    <x v="703"/>
    <x v="703"/>
    <x v="16"/>
    <x v="1"/>
    <n v="24"/>
    <n v="667"/>
    <n v="1001"/>
    <n v="304"/>
    <n v="581"/>
    <n v="554"/>
    <n v="1001"/>
    <n v="898"/>
    <n v="71.8"/>
    <n v="39.326068499999998"/>
    <n v="-4.8379791000000001"/>
    <n v="44.7"/>
    <n v="20"/>
    <n v="0"/>
    <n v="0"/>
    <n v="42"/>
    <n v="0"/>
    <n v="10.299999999999999"/>
    <n v="29.7"/>
    <x v="2"/>
  </r>
  <r>
    <x v="704"/>
    <x v="704"/>
    <x v="17"/>
    <x v="2"/>
    <n v="65"/>
    <n v="667"/>
    <n v="1001"/>
    <n v="304"/>
    <n v="626"/>
    <n v="704"/>
    <n v="1001"/>
    <n v="460"/>
    <n v="71.8"/>
    <n v="30.047992000000001"/>
    <n v="-94.335743300000004"/>
    <n v="29.7"/>
    <n v="20"/>
    <n v="0"/>
    <n v="0"/>
    <n v="37.5"/>
    <n v="0"/>
    <n v="54.1"/>
    <n v="29.599999999999998"/>
    <x v="2"/>
  </r>
  <r>
    <x v="705"/>
    <x v="705"/>
    <x v="0"/>
    <x v="0"/>
    <n v="174"/>
    <n v="52"/>
    <n v="411"/>
    <n v="304"/>
    <n v="1001"/>
    <n v="788"/>
    <n v="496"/>
    <n v="673"/>
    <n v="71.8"/>
    <n v="39.783730400000003"/>
    <n v="-100.445882"/>
    <n v="21.3"/>
    <n v="92.342342342342349"/>
    <n v="59"/>
    <n v="0"/>
    <n v="0"/>
    <n v="50.5"/>
    <n v="32.800000000000004"/>
    <n v="29.5"/>
    <x v="2"/>
  </r>
  <r>
    <x v="706"/>
    <x v="706"/>
    <x v="17"/>
    <x v="2"/>
    <n v="66"/>
    <n v="667"/>
    <n v="515"/>
    <n v="304"/>
    <n v="420"/>
    <n v="581"/>
    <n v="1001"/>
    <n v="1001"/>
    <n v="71.8"/>
    <n v="30.047992000000001"/>
    <n v="-94.335743300000004"/>
    <n v="42"/>
    <n v="20"/>
    <n v="48.6"/>
    <n v="0"/>
    <n v="58.099999999999994"/>
    <n v="0"/>
    <n v="0"/>
    <n v="29.4"/>
    <x v="2"/>
  </r>
  <r>
    <x v="707"/>
    <x v="707"/>
    <x v="16"/>
    <x v="1"/>
    <n v="25"/>
    <n v="667"/>
    <n v="1001"/>
    <n v="304"/>
    <n v="742"/>
    <n v="618"/>
    <n v="1001"/>
    <n v="541"/>
    <n v="71.8"/>
    <n v="39.326068499999998"/>
    <n v="-4.8379791000000001"/>
    <n v="38.299999999999997"/>
    <n v="20"/>
    <n v="0"/>
    <n v="0"/>
    <n v="25.900000000000002"/>
    <n v="0"/>
    <n v="46"/>
    <n v="29.299999999999997"/>
    <x v="2"/>
  </r>
  <r>
    <x v="708"/>
    <x v="708"/>
    <x v="15"/>
    <x v="4"/>
    <n v="10"/>
    <n v="667"/>
    <n v="1001"/>
    <n v="304"/>
    <n v="436"/>
    <n v="657"/>
    <n v="872"/>
    <n v="1001"/>
    <n v="71.8"/>
    <n v="-10.3333333"/>
    <n v="-53.2"/>
    <n v="34.4"/>
    <n v="20"/>
    <n v="0"/>
    <n v="0"/>
    <n v="56.499999999999993"/>
    <n v="12.9"/>
    <n v="0"/>
    <n v="29.2"/>
    <x v="2"/>
  </r>
  <r>
    <x v="709"/>
    <x v="709"/>
    <x v="1"/>
    <x v="1"/>
    <n v="48"/>
    <n v="667"/>
    <n v="1001"/>
    <n v="304"/>
    <n v="943"/>
    <n v="796"/>
    <n v="775"/>
    <n v="304"/>
    <n v="71.8"/>
    <n v="54.702354499999998"/>
    <n v="-3.2765753000000002"/>
    <n v="20.5"/>
    <n v="20"/>
    <n v="0"/>
    <n v="0"/>
    <n v="5.8000000000000007"/>
    <n v="22.6"/>
    <n v="69.699999999999989"/>
    <n v="29.099999999999998"/>
    <x v="2"/>
  </r>
  <r>
    <x v="710"/>
    <x v="710"/>
    <x v="4"/>
    <x v="1"/>
    <n v="8"/>
    <n v="405"/>
    <n v="374"/>
    <n v="304"/>
    <n v="945"/>
    <n v="713"/>
    <n v="515"/>
    <n v="541"/>
    <n v="71.8"/>
    <n v="46.798562400000002"/>
    <n v="8.2319735999999999"/>
    <n v="28.799999999999997"/>
    <n v="39.33933933933934"/>
    <n v="62.7"/>
    <n v="0"/>
    <n v="5.6000000000000005"/>
    <n v="48.6"/>
    <n v="46"/>
    <n v="28.999999999999996"/>
    <x v="2"/>
  </r>
  <r>
    <x v="711"/>
    <x v="711"/>
    <x v="33"/>
    <x v="1"/>
    <n v="6"/>
    <n v="667"/>
    <n v="1001"/>
    <n v="304"/>
    <n v="741"/>
    <n v="671"/>
    <n v="808"/>
    <n v="541"/>
    <n v="71.8"/>
    <n v="43.209783799999997"/>
    <n v="-77.693060200000005"/>
    <n v="33"/>
    <n v="20"/>
    <n v="0"/>
    <n v="0"/>
    <n v="26"/>
    <n v="19.3"/>
    <n v="46"/>
    <n v="28.9"/>
    <x v="2"/>
  </r>
  <r>
    <x v="712"/>
    <x v="712"/>
    <x v="14"/>
    <x v="1"/>
    <n v="5"/>
    <n v="667"/>
    <n v="1001"/>
    <n v="304"/>
    <n v="737"/>
    <n v="649"/>
    <n v="564"/>
    <n v="898"/>
    <n v="71.8"/>
    <n v="64.573153700000006"/>
    <s v="11.52803643954819"/>
    <n v="35.199999999999996"/>
    <n v="20"/>
    <n v="0"/>
    <n v="0"/>
    <n v="26.400000000000002"/>
    <n v="43.7"/>
    <n v="10.299999999999999"/>
    <n v="28.799999999999997"/>
    <x v="2"/>
  </r>
  <r>
    <x v="713"/>
    <x v="713"/>
    <x v="1"/>
    <x v="1"/>
    <n v="49"/>
    <n v="667"/>
    <n v="1001"/>
    <n v="304"/>
    <n v="889"/>
    <n v="710"/>
    <n v="562"/>
    <n v="541"/>
    <n v="71.8"/>
    <n v="54.702354499999998"/>
    <n v="-3.2765753000000002"/>
    <n v="29.099999999999998"/>
    <n v="20"/>
    <n v="0"/>
    <n v="0"/>
    <n v="11.200000000000001"/>
    <n v="43.9"/>
    <n v="46"/>
    <n v="28.7"/>
    <x v="2"/>
  </r>
  <r>
    <x v="714"/>
    <x v="714"/>
    <x v="42"/>
    <x v="5"/>
    <n v="2"/>
    <n v="667"/>
    <n v="1001"/>
    <n v="304"/>
    <n v="606"/>
    <n v="870"/>
    <n v="779"/>
    <n v="541"/>
    <n v="71.8"/>
    <n v="35.868129799999998"/>
    <n v="-90.945675100000003"/>
    <n v="13.100000000000001"/>
    <n v="20"/>
    <n v="0"/>
    <n v="0"/>
    <n v="39.5"/>
    <n v="22.2"/>
    <n v="46"/>
    <n v="28.599999999999998"/>
    <x v="2"/>
  </r>
  <r>
    <x v="715"/>
    <x v="715"/>
    <x v="5"/>
    <x v="1"/>
    <n v="38"/>
    <n v="667"/>
    <n v="1001"/>
    <n v="304"/>
    <n v="1001"/>
    <n v="889"/>
    <n v="576"/>
    <n v="275"/>
    <n v="71.8"/>
    <n v="46.603354000000003"/>
    <n v="1.8883335000000001"/>
    <n v="11.200000000000001"/>
    <n v="20"/>
    <n v="0"/>
    <n v="0"/>
    <n v="0"/>
    <n v="42.5"/>
    <n v="72.599999999999994"/>
    <n v="28.499999999999996"/>
    <x v="2"/>
  </r>
  <r>
    <x v="716"/>
    <x v="716"/>
    <x v="8"/>
    <x v="1"/>
    <n v="48"/>
    <n v="667"/>
    <n v="1001"/>
    <n v="304"/>
    <n v="865"/>
    <n v="742"/>
    <n v="550"/>
    <n v="541"/>
    <n v="71.7"/>
    <n v="40.420347900000003"/>
    <n v="-79.116698299999996"/>
    <n v="25.900000000000002"/>
    <n v="20"/>
    <n v="0"/>
    <n v="0"/>
    <n v="13.600000000000001"/>
    <n v="45.1"/>
    <n v="46"/>
    <n v="28.4"/>
    <x v="2"/>
  </r>
  <r>
    <x v="717"/>
    <x v="717"/>
    <x v="24"/>
    <x v="1"/>
    <n v="8"/>
    <n v="667"/>
    <n v="1001"/>
    <n v="304"/>
    <n v="780"/>
    <n v="708"/>
    <n v="957"/>
    <n v="460"/>
    <n v="71.7"/>
    <n v="47.593969999999999"/>
    <n v="14.124560000000001"/>
    <n v="29.299999999999997"/>
    <n v="20"/>
    <n v="0"/>
    <n v="0"/>
    <n v="22.1"/>
    <n v="4.3999999999999995"/>
    <n v="54.1"/>
    <n v="28.299999999999997"/>
    <x v="2"/>
  </r>
  <r>
    <x v="718"/>
    <x v="718"/>
    <x v="3"/>
    <x v="0"/>
    <n v="24"/>
    <n v="667"/>
    <n v="268"/>
    <n v="304"/>
    <n v="605"/>
    <n v="544"/>
    <n v="1001"/>
    <n v="1001"/>
    <n v="71.7"/>
    <n v="61.066692199999999"/>
    <n v="-107.99170700000001"/>
    <n v="45.7"/>
    <n v="20"/>
    <n v="73.3"/>
    <n v="0"/>
    <n v="39.6"/>
    <n v="0"/>
    <n v="0"/>
    <n v="28.199999999999996"/>
    <x v="2"/>
  </r>
  <r>
    <x v="719"/>
    <x v="719"/>
    <x v="2"/>
    <x v="2"/>
    <n v="29"/>
    <n v="667"/>
    <n v="1001"/>
    <n v="304"/>
    <n v="910"/>
    <n v="685"/>
    <n v="313"/>
    <n v="1001"/>
    <n v="71.7"/>
    <n v="36.5748441"/>
    <n v="139.23941790000001"/>
    <n v="31.6"/>
    <n v="20"/>
    <n v="0"/>
    <n v="0"/>
    <n v="9.1"/>
    <n v="68.8"/>
    <n v="0"/>
    <n v="28.1"/>
    <x v="2"/>
  </r>
  <r>
    <x v="720"/>
    <x v="720"/>
    <x v="17"/>
    <x v="2"/>
    <n v="67"/>
    <n v="667"/>
    <n v="1001"/>
    <n v="304"/>
    <n v="576"/>
    <n v="582"/>
    <n v="1001"/>
    <n v="898"/>
    <n v="71.7"/>
    <n v="30.047992000000001"/>
    <n v="-94.335743300000004"/>
    <n v="41.9"/>
    <n v="20"/>
    <n v="0"/>
    <n v="0"/>
    <n v="42.5"/>
    <n v="0"/>
    <n v="10.299999999999999"/>
    <n v="28.000000000000004"/>
    <x v="2"/>
  </r>
  <r>
    <x v="721"/>
    <x v="721"/>
    <x v="17"/>
    <x v="2"/>
    <n v="68"/>
    <n v="667"/>
    <n v="1001"/>
    <n v="304"/>
    <n v="447"/>
    <n v="570"/>
    <n v="1001"/>
    <n v="1001"/>
    <n v="71.7"/>
    <n v="30.047992000000001"/>
    <n v="-94.335743300000004"/>
    <n v="43.1"/>
    <n v="20"/>
    <n v="0"/>
    <n v="0"/>
    <n v="55.400000000000006"/>
    <n v="0"/>
    <n v="0"/>
    <n v="27.900000000000002"/>
    <x v="2"/>
  </r>
  <r>
    <x v="722"/>
    <x v="722"/>
    <x v="2"/>
    <x v="2"/>
    <n v="30"/>
    <n v="429"/>
    <n v="1001"/>
    <n v="304"/>
    <n v="597"/>
    <n v="620"/>
    <n v="636"/>
    <n v="1001"/>
    <n v="71.7"/>
    <n v="36.5748441"/>
    <n v="139.23941790000001"/>
    <n v="38.1"/>
    <n v="35.735735735735737"/>
    <n v="0"/>
    <n v="0"/>
    <n v="40.400000000000006"/>
    <n v="36.5"/>
    <n v="0"/>
    <n v="27.800000000000004"/>
    <x v="2"/>
  </r>
  <r>
    <x v="723"/>
    <x v="723"/>
    <x v="17"/>
    <x v="2"/>
    <n v="69"/>
    <n v="667"/>
    <n v="1001"/>
    <n v="304"/>
    <n v="458"/>
    <n v="604"/>
    <n v="1001"/>
    <n v="1001"/>
    <n v="71.7"/>
    <n v="30.047992000000001"/>
    <n v="-94.335743300000004"/>
    <n v="39.700000000000003"/>
    <n v="20"/>
    <n v="0"/>
    <n v="0"/>
    <n v="54.300000000000004"/>
    <n v="0"/>
    <n v="0"/>
    <n v="27.700000000000003"/>
    <x v="2"/>
  </r>
  <r>
    <x v="724"/>
    <x v="724"/>
    <x v="49"/>
    <x v="4"/>
    <n v="1"/>
    <n v="667"/>
    <n v="1001"/>
    <n v="304"/>
    <n v="808"/>
    <n v="836"/>
    <n v="615"/>
    <n v="460"/>
    <n v="71.7"/>
    <n v="-32.875554800000003"/>
    <n v="-56.020152500000002"/>
    <n v="16.5"/>
    <n v="20"/>
    <n v="0"/>
    <n v="0"/>
    <n v="19.3"/>
    <n v="38.6"/>
    <n v="54.1"/>
    <n v="27.6"/>
    <x v="2"/>
  </r>
  <r>
    <x v="725"/>
    <x v="725"/>
    <x v="40"/>
    <x v="2"/>
    <n v="7"/>
    <n v="293"/>
    <n v="146"/>
    <n v="304"/>
    <n v="569"/>
    <n v="724"/>
    <n v="839"/>
    <n v="1001"/>
    <n v="71.7"/>
    <n v="22.351114800000001"/>
    <n v="78.667742799999999"/>
    <n v="27.700000000000003"/>
    <n v="56.156156156156158"/>
    <n v="85.5"/>
    <n v="0"/>
    <n v="43.2"/>
    <n v="16.2"/>
    <n v="0"/>
    <n v="27.500000000000004"/>
    <x v="2"/>
  </r>
  <r>
    <x v="726"/>
    <x v="726"/>
    <x v="0"/>
    <x v="0"/>
    <n v="175"/>
    <n v="667"/>
    <n v="561"/>
    <n v="304"/>
    <n v="950"/>
    <n v="795"/>
    <n v="840"/>
    <n v="327"/>
    <n v="71.7"/>
    <n v="39.783730400000003"/>
    <n v="-100.445882"/>
    <n v="20.599999999999998"/>
    <n v="20"/>
    <n v="44"/>
    <n v="0"/>
    <n v="5.0999999999999996"/>
    <n v="16.100000000000001"/>
    <n v="67.400000000000006"/>
    <n v="27.400000000000002"/>
    <x v="2"/>
  </r>
  <r>
    <x v="727"/>
    <x v="727"/>
    <x v="5"/>
    <x v="1"/>
    <n v="39"/>
    <n v="667"/>
    <n v="1001"/>
    <n v="304"/>
    <n v="799"/>
    <n v="696"/>
    <n v="595"/>
    <n v="673"/>
    <n v="71.7"/>
    <n v="46.603354000000003"/>
    <n v="1.8883335000000001"/>
    <n v="30.5"/>
    <n v="20"/>
    <n v="0"/>
    <n v="0"/>
    <n v="20.200000000000003"/>
    <n v="40.6"/>
    <n v="32.800000000000004"/>
    <n v="27.3"/>
    <x v="2"/>
  </r>
  <r>
    <x v="728"/>
    <x v="728"/>
    <x v="0"/>
    <x v="0"/>
    <n v="176"/>
    <n v="567"/>
    <n v="624"/>
    <n v="304"/>
    <n v="840"/>
    <n v="681"/>
    <n v="459"/>
    <n v="898"/>
    <n v="71.599999999999994"/>
    <n v="39.783730400000003"/>
    <n v="-100.445882"/>
    <n v="32"/>
    <n v="20"/>
    <n v="37.700000000000003"/>
    <n v="0"/>
    <n v="16.100000000000001"/>
    <n v="54.2"/>
    <n v="10.299999999999999"/>
    <n v="27.200000000000003"/>
    <x v="2"/>
  </r>
  <r>
    <x v="729"/>
    <x v="729"/>
    <x v="9"/>
    <x v="1"/>
    <n v="12"/>
    <n v="667"/>
    <n v="882"/>
    <n v="304"/>
    <n v="961"/>
    <n v="827"/>
    <n v="623"/>
    <n v="363"/>
    <n v="71.599999999999994"/>
    <n v="44.133434999999999"/>
    <n v="-70.822677999999996"/>
    <n v="17.399999999999999"/>
    <n v="20"/>
    <n v="11.899999999999999"/>
    <n v="0"/>
    <n v="4"/>
    <n v="37.799999999999997"/>
    <n v="63.800000000000004"/>
    <n v="27.1"/>
    <x v="2"/>
  </r>
  <r>
    <x v="730"/>
    <x v="730"/>
    <x v="16"/>
    <x v="1"/>
    <n v="26"/>
    <n v="667"/>
    <n v="1001"/>
    <n v="304"/>
    <n v="617"/>
    <n v="591"/>
    <n v="1001"/>
    <n v="898"/>
    <n v="71.599999999999994"/>
    <n v="39.326068499999998"/>
    <n v="-4.8379791000000001"/>
    <n v="41"/>
    <n v="20"/>
    <n v="0"/>
    <n v="0"/>
    <n v="38.4"/>
    <n v="0"/>
    <n v="10.299999999999999"/>
    <n v="27"/>
    <x v="2"/>
  </r>
  <r>
    <x v="731"/>
    <x v="731"/>
    <x v="40"/>
    <x v="2"/>
    <n v="8"/>
    <n v="667"/>
    <n v="1001"/>
    <n v="304"/>
    <n v="720"/>
    <n v="934"/>
    <n v="542"/>
    <n v="541"/>
    <n v="71.599999999999994"/>
    <n v="22.351114800000001"/>
    <n v="78.667742799999999"/>
    <n v="6.7"/>
    <n v="20"/>
    <n v="0"/>
    <n v="0"/>
    <n v="28.1"/>
    <n v="45.9"/>
    <n v="46"/>
    <n v="26.900000000000002"/>
    <x v="2"/>
  </r>
  <r>
    <x v="732"/>
    <x v="732"/>
    <x v="22"/>
    <x v="1"/>
    <n v="5"/>
    <n v="598"/>
    <n v="1001"/>
    <n v="304"/>
    <n v="771"/>
    <n v="881"/>
    <n v="656"/>
    <n v="460"/>
    <n v="71.599999999999994"/>
    <n v="40.2338211"/>
    <n v="-84.409672900000004"/>
    <n v="12"/>
    <n v="20"/>
    <n v="0"/>
    <n v="0"/>
    <n v="23"/>
    <n v="34.5"/>
    <n v="54.1"/>
    <n v="26.8"/>
    <x v="2"/>
  </r>
  <r>
    <x v="733"/>
    <x v="733"/>
    <x v="12"/>
    <x v="1"/>
    <n v="38"/>
    <n v="667"/>
    <n v="1001"/>
    <n v="304"/>
    <n v="805"/>
    <n v="753"/>
    <n v="832"/>
    <n v="460"/>
    <n v="71.599999999999994"/>
    <n v="42.638426099999997"/>
    <n v="12.674296999999999"/>
    <n v="24.8"/>
    <n v="20"/>
    <n v="0"/>
    <n v="0"/>
    <n v="19.600000000000001"/>
    <n v="16.900000000000002"/>
    <n v="54.1"/>
    <n v="26.700000000000003"/>
    <x v="2"/>
  </r>
  <r>
    <x v="734"/>
    <x v="734"/>
    <x v="17"/>
    <x v="2"/>
    <n v="70"/>
    <n v="667"/>
    <n v="976"/>
    <n v="304"/>
    <n v="595"/>
    <n v="604"/>
    <n v="1001"/>
    <n v="898"/>
    <n v="71.599999999999994"/>
    <n v="30.047992000000001"/>
    <n v="-94.335743300000004"/>
    <n v="39.700000000000003"/>
    <n v="20"/>
    <n v="2.5"/>
    <n v="0"/>
    <n v="40.6"/>
    <n v="0"/>
    <n v="10.299999999999999"/>
    <n v="26.6"/>
    <x v="2"/>
  </r>
  <r>
    <x v="735"/>
    <x v="735"/>
    <x v="5"/>
    <x v="1"/>
    <n v="40"/>
    <n v="36"/>
    <n v="1001"/>
    <n v="304"/>
    <n v="1001"/>
    <n v="936"/>
    <n v="594"/>
    <n v="363"/>
    <n v="71.599999999999994"/>
    <n v="46.603354000000003"/>
    <n v="1.8883335000000001"/>
    <n v="6.5"/>
    <n v="94.74474474474475"/>
    <n v="0"/>
    <n v="0"/>
    <n v="0"/>
    <n v="40.699999999999996"/>
    <n v="63.800000000000004"/>
    <n v="26.5"/>
    <x v="2"/>
  </r>
  <r>
    <x v="736"/>
    <x v="736"/>
    <x v="15"/>
    <x v="4"/>
    <n v="11"/>
    <n v="667"/>
    <n v="921"/>
    <n v="304"/>
    <n v="561"/>
    <n v="799"/>
    <n v="680"/>
    <n v="898"/>
    <n v="71.599999999999994"/>
    <n v="-10.3333333"/>
    <n v="-53.2"/>
    <n v="20.200000000000003"/>
    <n v="20"/>
    <n v="8"/>
    <n v="0"/>
    <n v="44"/>
    <n v="32.1"/>
    <n v="10.299999999999999"/>
    <n v="26.400000000000002"/>
    <x v="2"/>
  </r>
  <r>
    <x v="737"/>
    <x v="737"/>
    <x v="1"/>
    <x v="1"/>
    <n v="50"/>
    <n v="446"/>
    <n v="824"/>
    <n v="304"/>
    <n v="866"/>
    <n v="656"/>
    <n v="613"/>
    <n v="673"/>
    <n v="71.599999999999994"/>
    <n v="54.702354499999998"/>
    <n v="-3.2765753000000002"/>
    <n v="34.5"/>
    <n v="33.183183183183182"/>
    <n v="17.7"/>
    <n v="0"/>
    <n v="13.5"/>
    <n v="38.800000000000004"/>
    <n v="32.800000000000004"/>
    <n v="26.3"/>
    <x v="2"/>
  </r>
  <r>
    <x v="738"/>
    <x v="738"/>
    <x v="15"/>
    <x v="4"/>
    <n v="12"/>
    <n v="667"/>
    <n v="1001"/>
    <n v="304"/>
    <n v="540"/>
    <n v="930"/>
    <n v="1001"/>
    <n v="541"/>
    <n v="71.599999999999994"/>
    <n v="-10.3333333"/>
    <n v="-53.2"/>
    <n v="7.1"/>
    <n v="20"/>
    <n v="0"/>
    <n v="0"/>
    <n v="46.1"/>
    <n v="0"/>
    <n v="46"/>
    <n v="26.200000000000003"/>
    <x v="2"/>
  </r>
  <r>
    <x v="739"/>
    <x v="739"/>
    <x v="47"/>
    <x v="2"/>
    <n v="8"/>
    <n v="300"/>
    <n v="681"/>
    <n v="304"/>
    <n v="898"/>
    <n v="825"/>
    <n v="866"/>
    <n v="363"/>
    <n v="71.599999999999994"/>
    <n v="38.959759400000003"/>
    <n v="34.924965299999997"/>
    <n v="17.599999999999998"/>
    <n v="55.105105105105103"/>
    <n v="32"/>
    <n v="0"/>
    <n v="10.299999999999999"/>
    <n v="13.5"/>
    <n v="63.800000000000004"/>
    <n v="26.1"/>
    <x v="2"/>
  </r>
  <r>
    <x v="740"/>
    <x v="740"/>
    <x v="31"/>
    <x v="1"/>
    <n v="5"/>
    <n v="325"/>
    <n v="1001"/>
    <n v="304"/>
    <n v="591"/>
    <n v="683"/>
    <n v="972"/>
    <n v="898"/>
    <n v="71.599999999999994"/>
    <n v="52.215933"/>
    <n v="19.134422000000001"/>
    <n v="31.8"/>
    <n v="51.351351351351347"/>
    <n v="0"/>
    <n v="0"/>
    <n v="41"/>
    <n v="2.9000000000000004"/>
    <n v="10.299999999999999"/>
    <n v="26"/>
    <x v="2"/>
  </r>
  <r>
    <x v="741"/>
    <x v="741"/>
    <x v="41"/>
    <x v="2"/>
    <n v="3"/>
    <n v="667"/>
    <n v="1001"/>
    <n v="304"/>
    <n v="406"/>
    <n v="705"/>
    <n v="1001"/>
    <n v="1001"/>
    <n v="71.5"/>
    <n v="4.5693754000000002"/>
    <n v="102.26568229999999"/>
    <n v="29.599999999999998"/>
    <n v="20"/>
    <n v="0"/>
    <n v="0"/>
    <n v="59.5"/>
    <n v="0"/>
    <n v="0"/>
    <n v="25.900000000000002"/>
    <x v="2"/>
  </r>
  <r>
    <x v="742"/>
    <x v="742"/>
    <x v="0"/>
    <x v="0"/>
    <n v="177"/>
    <n v="383"/>
    <n v="1001"/>
    <n v="304"/>
    <n v="763"/>
    <n v="665"/>
    <n v="599"/>
    <n v="898"/>
    <n v="71.5"/>
    <n v="39.783730400000003"/>
    <n v="-100.445882"/>
    <n v="33.6"/>
    <n v="42.642642642642642"/>
    <n v="0"/>
    <n v="0"/>
    <n v="23.799999999999997"/>
    <n v="40.200000000000003"/>
    <n v="10.299999999999999"/>
    <n v="25.8"/>
    <x v="2"/>
  </r>
  <r>
    <x v="743"/>
    <x v="743"/>
    <x v="23"/>
    <x v="2"/>
    <n v="6"/>
    <n v="667"/>
    <n v="1001"/>
    <n v="304"/>
    <n v="724"/>
    <n v="644"/>
    <n v="1001"/>
    <n v="673"/>
    <n v="71.5"/>
    <n v="22.350626999999999"/>
    <n v="114.1849161"/>
    <n v="35.699999999999996"/>
    <n v="20"/>
    <n v="0"/>
    <n v="0"/>
    <n v="27.700000000000003"/>
    <n v="0"/>
    <n v="32.800000000000004"/>
    <n v="25.7"/>
    <x v="2"/>
  </r>
  <r>
    <x v="744"/>
    <x v="744"/>
    <x v="17"/>
    <x v="2"/>
    <n v="71"/>
    <n v="667"/>
    <n v="1001"/>
    <n v="304"/>
    <n v="682"/>
    <n v="674"/>
    <n v="735"/>
    <n v="898"/>
    <n v="71.5"/>
    <n v="30.047992000000001"/>
    <n v="-94.335743300000004"/>
    <n v="32.700000000000003"/>
    <n v="20"/>
    <n v="0"/>
    <n v="0"/>
    <n v="31.900000000000002"/>
    <n v="26.6"/>
    <n v="10.299999999999999"/>
    <n v="25.6"/>
    <x v="2"/>
  </r>
  <r>
    <x v="745"/>
    <x v="745"/>
    <x v="0"/>
    <x v="0"/>
    <n v="178"/>
    <n v="667"/>
    <n v="1001"/>
    <n v="304"/>
    <n v="796"/>
    <n v="687"/>
    <n v="546"/>
    <n v="898"/>
    <n v="71.5"/>
    <n v="39.783730400000003"/>
    <n v="-100.445882"/>
    <n v="31.4"/>
    <n v="20"/>
    <n v="0"/>
    <n v="0"/>
    <n v="20.5"/>
    <n v="45.5"/>
    <n v="10.299999999999999"/>
    <n v="25.5"/>
    <x v="2"/>
  </r>
  <r>
    <x v="746"/>
    <x v="746"/>
    <x v="2"/>
    <x v="2"/>
    <n v="31"/>
    <n v="667"/>
    <n v="909"/>
    <n v="304"/>
    <n v="750"/>
    <n v="703"/>
    <n v="596"/>
    <n v="898"/>
    <n v="71.5"/>
    <n v="36.5748441"/>
    <n v="139.23941790000001"/>
    <n v="29.799999999999997"/>
    <n v="20"/>
    <n v="9.1999999999999993"/>
    <n v="0"/>
    <n v="25.1"/>
    <n v="40.5"/>
    <n v="10.299999999999999"/>
    <n v="25.4"/>
    <x v="2"/>
  </r>
  <r>
    <x v="747"/>
    <x v="747"/>
    <x v="50"/>
    <x v="1"/>
    <n v="1"/>
    <n v="621"/>
    <n v="1001"/>
    <n v="304"/>
    <n v="676"/>
    <n v="815"/>
    <n v="721"/>
    <n v="673"/>
    <n v="71.5"/>
    <n v="55.350000299999998"/>
    <n v="23.7499997"/>
    <n v="18.600000000000001"/>
    <n v="20"/>
    <n v="0"/>
    <n v="0"/>
    <n v="32.5"/>
    <n v="28.000000000000004"/>
    <n v="32.800000000000004"/>
    <n v="25.3"/>
    <x v="2"/>
  </r>
  <r>
    <x v="748"/>
    <x v="748"/>
    <x v="12"/>
    <x v="1"/>
    <n v="39"/>
    <n v="667"/>
    <n v="1001"/>
    <n v="304"/>
    <n v="586"/>
    <n v="678"/>
    <n v="1001"/>
    <n v="898"/>
    <n v="71.5"/>
    <n v="42.638426099999997"/>
    <n v="12.674296999999999"/>
    <n v="32.300000000000004"/>
    <n v="20"/>
    <n v="0"/>
    <n v="0"/>
    <n v="41.5"/>
    <n v="0"/>
    <n v="10.299999999999999"/>
    <n v="25.2"/>
    <x v="2"/>
  </r>
  <r>
    <x v="749"/>
    <x v="749"/>
    <x v="0"/>
    <x v="0"/>
    <n v="179"/>
    <n v="156"/>
    <n v="110"/>
    <n v="304"/>
    <n v="1001"/>
    <n v="821"/>
    <n v="860"/>
    <n v="541"/>
    <n v="71.5"/>
    <n v="39.783730400000003"/>
    <n v="-100.445882"/>
    <n v="18"/>
    <n v="76.726726726726724"/>
    <n v="89.1"/>
    <n v="0"/>
    <n v="0"/>
    <n v="14.099999999999998"/>
    <n v="46"/>
    <n v="25.1"/>
    <x v="2"/>
  </r>
  <r>
    <x v="750"/>
    <x v="750"/>
    <x v="0"/>
    <x v="0"/>
    <n v="180"/>
    <n v="667"/>
    <n v="119"/>
    <n v="304"/>
    <n v="965"/>
    <n v="822"/>
    <n v="810"/>
    <n v="541"/>
    <n v="71.5"/>
    <n v="39.783730400000003"/>
    <n v="-100.445882"/>
    <n v="17.899999999999999"/>
    <n v="20"/>
    <n v="88.2"/>
    <n v="0"/>
    <n v="3.5999999999999996"/>
    <n v="19.100000000000001"/>
    <n v="46"/>
    <n v="25"/>
    <x v="3"/>
  </r>
  <r>
    <x v="751"/>
    <x v="751"/>
    <x v="5"/>
    <x v="1"/>
    <n v="41"/>
    <n v="667"/>
    <n v="818"/>
    <n v="304"/>
    <n v="904"/>
    <n v="734"/>
    <n v="662"/>
    <n v="541"/>
    <n v="71.5"/>
    <n v="46.603354000000003"/>
    <n v="1.8883335000000001"/>
    <n v="26.700000000000003"/>
    <n v="20"/>
    <n v="18.3"/>
    <n v="0"/>
    <n v="9.7000000000000011"/>
    <n v="33.900000000000006"/>
    <n v="46"/>
    <n v="24.9"/>
    <x v="3"/>
  </r>
  <r>
    <x v="752"/>
    <x v="752"/>
    <x v="24"/>
    <x v="1"/>
    <n v="9"/>
    <n v="667"/>
    <n v="1001"/>
    <n v="304"/>
    <n v="811"/>
    <n v="803"/>
    <n v="683"/>
    <n v="541"/>
    <n v="71.5"/>
    <n v="47.593969999999999"/>
    <n v="14.124560000000001"/>
    <n v="19.8"/>
    <n v="20"/>
    <n v="0"/>
    <n v="0"/>
    <n v="19"/>
    <n v="31.8"/>
    <n v="46"/>
    <n v="24.8"/>
    <x v="3"/>
  </r>
  <r>
    <x v="753"/>
    <x v="753"/>
    <x v="17"/>
    <x v="2"/>
    <n v="72"/>
    <n v="667"/>
    <n v="1001"/>
    <n v="304"/>
    <n v="490"/>
    <n v="645"/>
    <n v="1001"/>
    <n v="1001"/>
    <n v="71.5"/>
    <n v="30.047992000000001"/>
    <n v="-94.335743300000004"/>
    <n v="35.6"/>
    <n v="20"/>
    <n v="0"/>
    <n v="0"/>
    <n v="51.1"/>
    <n v="0"/>
    <n v="0"/>
    <n v="24.7"/>
    <x v="3"/>
  </r>
  <r>
    <x v="754"/>
    <x v="754"/>
    <x v="5"/>
    <x v="1"/>
    <n v="42"/>
    <n v="667"/>
    <n v="1001"/>
    <n v="304"/>
    <n v="753"/>
    <n v="646"/>
    <n v="529"/>
    <n v="1001"/>
    <n v="71.400000000000006"/>
    <n v="46.603354000000003"/>
    <n v="1.8883335000000001"/>
    <n v="35.5"/>
    <n v="20"/>
    <n v="0"/>
    <n v="0"/>
    <n v="24.8"/>
    <n v="47.199999999999996"/>
    <n v="0"/>
    <n v="24.6"/>
    <x v="3"/>
  </r>
  <r>
    <x v="755"/>
    <x v="755"/>
    <x v="38"/>
    <x v="2"/>
    <n v="7"/>
    <n v="667"/>
    <n v="1001"/>
    <n v="304"/>
    <n v="417"/>
    <n v="723"/>
    <n v="1001"/>
    <n v="1001"/>
    <n v="71.400000000000006"/>
    <n v="2.9368696000000001"/>
    <n v="115.4443356"/>
    <n v="27.800000000000004"/>
    <n v="20"/>
    <n v="0"/>
    <n v="0"/>
    <n v="58.4"/>
    <n v="0"/>
    <n v="0"/>
    <n v="24.5"/>
    <x v="3"/>
  </r>
  <r>
    <x v="756"/>
    <x v="756"/>
    <x v="0"/>
    <x v="0"/>
    <n v="181"/>
    <n v="667"/>
    <n v="1001"/>
    <n v="304"/>
    <n v="859"/>
    <n v="791"/>
    <n v="644"/>
    <n v="541"/>
    <n v="71.400000000000006"/>
    <n v="39.783730400000003"/>
    <n v="-100.445882"/>
    <n v="21"/>
    <n v="20"/>
    <n v="0"/>
    <n v="0"/>
    <n v="14.2"/>
    <n v="35.699999999999996"/>
    <n v="46"/>
    <n v="24.4"/>
    <x v="3"/>
  </r>
  <r>
    <x v="757"/>
    <x v="757"/>
    <x v="39"/>
    <x v="1"/>
    <n v="4"/>
    <n v="667"/>
    <n v="1001"/>
    <n v="292"/>
    <n v="684"/>
    <n v="742"/>
    <n v="826"/>
    <n v="898"/>
    <n v="71.400000000000006"/>
    <n v="41.976762899999997"/>
    <n v="-72.778984199999996"/>
    <n v="25.900000000000002"/>
    <n v="20"/>
    <n v="0"/>
    <n v="3.9603960396039604"/>
    <n v="31.7"/>
    <n v="17.5"/>
    <n v="10.299999999999999"/>
    <n v="24.3"/>
    <x v="3"/>
  </r>
  <r>
    <x v="758"/>
    <x v="758"/>
    <x v="0"/>
    <x v="0"/>
    <n v="182"/>
    <n v="667"/>
    <n v="1001"/>
    <n v="304"/>
    <n v="1001"/>
    <n v="854"/>
    <n v="604"/>
    <n v="405"/>
    <n v="71.400000000000006"/>
    <n v="39.783730400000003"/>
    <n v="-100.445882"/>
    <n v="14.7"/>
    <n v="20"/>
    <n v="0"/>
    <n v="0"/>
    <n v="0"/>
    <n v="39.700000000000003"/>
    <n v="59.599999999999994"/>
    <n v="24.2"/>
    <x v="3"/>
  </r>
  <r>
    <x v="759"/>
    <x v="759"/>
    <x v="38"/>
    <x v="2"/>
    <n v="8"/>
    <n v="667"/>
    <n v="1001"/>
    <n v="304"/>
    <n v="546"/>
    <n v="785"/>
    <n v="1001"/>
    <n v="673"/>
    <n v="71.400000000000006"/>
    <n v="2.9368696000000001"/>
    <n v="115.4443356"/>
    <n v="21.6"/>
    <n v="20"/>
    <n v="0"/>
    <n v="0"/>
    <n v="45.5"/>
    <n v="0"/>
    <n v="32.800000000000004"/>
    <n v="24.099999999999998"/>
    <x v="3"/>
  </r>
  <r>
    <x v="760"/>
    <x v="760"/>
    <x v="40"/>
    <x v="2"/>
    <n v="9"/>
    <n v="667"/>
    <n v="1001"/>
    <n v="304"/>
    <n v="659"/>
    <n v="841"/>
    <n v="1001"/>
    <n v="460"/>
    <n v="71.400000000000006"/>
    <n v="22.351114800000001"/>
    <n v="78.667742799999999"/>
    <n v="16"/>
    <n v="20"/>
    <n v="0"/>
    <n v="0"/>
    <n v="34.200000000000003"/>
    <n v="0"/>
    <n v="54.1"/>
    <n v="24"/>
    <x v="3"/>
  </r>
  <r>
    <x v="761"/>
    <x v="761"/>
    <x v="32"/>
    <x v="4"/>
    <n v="3"/>
    <n v="667"/>
    <n v="1001"/>
    <n v="304"/>
    <n v="740"/>
    <n v="757"/>
    <n v="795"/>
    <n v="673"/>
    <n v="71.400000000000006"/>
    <n v="-34.996496299999997"/>
    <n v="-64.967281700000001"/>
    <n v="24.4"/>
    <n v="20"/>
    <n v="0"/>
    <n v="0"/>
    <n v="26.1"/>
    <n v="20.599999999999998"/>
    <n v="32.800000000000004"/>
    <n v="23.9"/>
    <x v="3"/>
  </r>
  <r>
    <x v="762"/>
    <x v="762"/>
    <x v="17"/>
    <x v="2"/>
    <n v="73"/>
    <n v="667"/>
    <n v="1001"/>
    <n v="304"/>
    <n v="585"/>
    <n v="724"/>
    <n v="1001"/>
    <n v="898"/>
    <n v="71.400000000000006"/>
    <n v="30.047992000000001"/>
    <n v="-94.335743300000004"/>
    <n v="27.700000000000003"/>
    <n v="20"/>
    <n v="0"/>
    <n v="0"/>
    <n v="41.6"/>
    <n v="0"/>
    <n v="10.299999999999999"/>
    <n v="23.799999999999997"/>
    <x v="3"/>
  </r>
  <r>
    <x v="763"/>
    <x v="763"/>
    <x v="1"/>
    <x v="1"/>
    <n v="51"/>
    <n v="667"/>
    <n v="517"/>
    <n v="304"/>
    <n v="733"/>
    <n v="642"/>
    <n v="606"/>
    <n v="1001"/>
    <n v="71.400000000000006"/>
    <n v="54.702354499999998"/>
    <n v="-3.2765753000000002"/>
    <n v="35.9"/>
    <n v="20"/>
    <n v="48.4"/>
    <n v="0"/>
    <n v="26.8"/>
    <n v="39.5"/>
    <n v="0"/>
    <n v="23.7"/>
    <x v="3"/>
  </r>
  <r>
    <x v="764"/>
    <x v="764"/>
    <x v="0"/>
    <x v="0"/>
    <n v="183"/>
    <n v="667"/>
    <n v="1001"/>
    <n v="304"/>
    <n v="791"/>
    <n v="668"/>
    <n v="629"/>
    <n v="898"/>
    <n v="71.400000000000006"/>
    <n v="39.783730400000003"/>
    <n v="-100.445882"/>
    <n v="33.300000000000004"/>
    <n v="20"/>
    <n v="0"/>
    <n v="0"/>
    <n v="21"/>
    <n v="37.200000000000003"/>
    <n v="10.299999999999999"/>
    <n v="23.599999999999998"/>
    <x v="3"/>
  </r>
  <r>
    <x v="765"/>
    <x v="765"/>
    <x v="51"/>
    <x v="4"/>
    <n v="1"/>
    <n v="667"/>
    <n v="766"/>
    <n v="304"/>
    <n v="633"/>
    <n v="874"/>
    <n v="618"/>
    <n v="898"/>
    <n v="71.400000000000006"/>
    <n v="4.0999169999999996"/>
    <n v="-72.908813300000006"/>
    <n v="12.7"/>
    <n v="20"/>
    <n v="23.5"/>
    <n v="0"/>
    <n v="36.799999999999997"/>
    <n v="38.299999999999997"/>
    <n v="10.299999999999999"/>
    <n v="23.5"/>
    <x v="3"/>
  </r>
  <r>
    <x v="766"/>
    <x v="766"/>
    <x v="16"/>
    <x v="1"/>
    <n v="27"/>
    <n v="667"/>
    <n v="1001"/>
    <n v="304"/>
    <n v="700"/>
    <n v="719"/>
    <n v="1001"/>
    <n v="673"/>
    <n v="71.400000000000006"/>
    <n v="39.326068499999998"/>
    <n v="-4.8379791000000001"/>
    <n v="28.199999999999996"/>
    <n v="20"/>
    <n v="0"/>
    <n v="0"/>
    <n v="30.099999999999998"/>
    <n v="0"/>
    <n v="32.800000000000004"/>
    <n v="23.400000000000002"/>
    <x v="3"/>
  </r>
  <r>
    <x v="767"/>
    <x v="767"/>
    <x v="1"/>
    <x v="1"/>
    <n v="52"/>
    <n v="240"/>
    <n v="637"/>
    <n v="304"/>
    <n v="925"/>
    <n v="730"/>
    <n v="746"/>
    <n v="541"/>
    <n v="71.3"/>
    <n v="54.702354499999998"/>
    <n v="-3.2765753000000002"/>
    <n v="27.1"/>
    <n v="64.114114114114116"/>
    <n v="36.4"/>
    <n v="0"/>
    <n v="7.6"/>
    <n v="25.5"/>
    <n v="46"/>
    <n v="23.3"/>
    <x v="3"/>
  </r>
  <r>
    <x v="768"/>
    <x v="768"/>
    <x v="12"/>
    <x v="1"/>
    <n v="40"/>
    <n v="667"/>
    <n v="1001"/>
    <n v="304"/>
    <n v="809"/>
    <n v="756"/>
    <n v="873"/>
    <n v="541"/>
    <n v="71.3"/>
    <n v="42.638426099999997"/>
    <n v="12.674296999999999"/>
    <n v="24.5"/>
    <n v="20"/>
    <n v="0"/>
    <n v="0"/>
    <n v="19.2"/>
    <n v="12.8"/>
    <n v="46"/>
    <n v="23.200000000000003"/>
    <x v="3"/>
  </r>
  <r>
    <x v="769"/>
    <x v="769"/>
    <x v="0"/>
    <x v="0"/>
    <n v="184"/>
    <n v="667"/>
    <n v="904"/>
    <n v="304"/>
    <n v="897"/>
    <n v="773"/>
    <n v="649"/>
    <n v="541"/>
    <n v="71.3"/>
    <n v="39.783730400000003"/>
    <n v="-100.445882"/>
    <n v="22.8"/>
    <n v="20"/>
    <n v="9.7000000000000011"/>
    <n v="0"/>
    <n v="10.4"/>
    <n v="35.199999999999996"/>
    <n v="46"/>
    <n v="23.1"/>
    <x v="3"/>
  </r>
  <r>
    <x v="770"/>
    <x v="770"/>
    <x v="52"/>
    <x v="5"/>
    <n v="1"/>
    <n v="448"/>
    <n v="1001"/>
    <n v="304"/>
    <n v="981"/>
    <n v="779"/>
    <n v="456"/>
    <n v="673"/>
    <n v="71.3"/>
    <n v="1.5333554"/>
    <n v="32.2166578"/>
    <n v="22.2"/>
    <n v="32.882882882882889"/>
    <n v="0"/>
    <n v="0"/>
    <n v="2"/>
    <n v="54.500000000000007"/>
    <n v="32.800000000000004"/>
    <n v="23"/>
    <x v="3"/>
  </r>
  <r>
    <x v="771"/>
    <x v="771"/>
    <x v="43"/>
    <x v="1"/>
    <n v="2"/>
    <n v="667"/>
    <n v="1001"/>
    <n v="304"/>
    <n v="997"/>
    <n v="1001"/>
    <n v="454"/>
    <n v="405"/>
    <n v="71.3"/>
    <n v="45.365844299999999"/>
    <n v="15.6575209"/>
    <n v="0"/>
    <n v="20"/>
    <n v="0"/>
    <n v="0"/>
    <n v="0.4"/>
    <n v="54.7"/>
    <n v="59.599999999999994"/>
    <n v="22.900000000000002"/>
    <x v="3"/>
  </r>
  <r>
    <x v="772"/>
    <x v="772"/>
    <x v="0"/>
    <x v="0"/>
    <n v="185"/>
    <n v="667"/>
    <n v="532"/>
    <n v="304"/>
    <n v="855"/>
    <n v="789"/>
    <n v="758"/>
    <n v="541"/>
    <n v="71.3"/>
    <n v="39.783730400000003"/>
    <n v="-100.445882"/>
    <n v="21.2"/>
    <n v="20"/>
    <n v="46.9"/>
    <n v="0"/>
    <n v="14.6"/>
    <n v="24.3"/>
    <n v="46"/>
    <n v="22.8"/>
    <x v="3"/>
  </r>
  <r>
    <x v="773"/>
    <x v="773"/>
    <x v="40"/>
    <x v="2"/>
    <n v="10"/>
    <n v="487"/>
    <n v="606"/>
    <n v="304"/>
    <n v="543"/>
    <n v="781"/>
    <n v="1001"/>
    <n v="898"/>
    <n v="71.3"/>
    <n v="22.351114800000001"/>
    <n v="78.667742799999999"/>
    <n v="22"/>
    <n v="27.027027027027028"/>
    <n v="39.5"/>
    <n v="0"/>
    <n v="45.800000000000004"/>
    <n v="0"/>
    <n v="10.299999999999999"/>
    <n v="22.7"/>
    <x v="3"/>
  </r>
  <r>
    <x v="774"/>
    <x v="774"/>
    <x v="11"/>
    <x v="2"/>
    <n v="25"/>
    <n v="667"/>
    <n v="1001"/>
    <n v="304"/>
    <n v="925"/>
    <n v="642"/>
    <n v="731"/>
    <n v="673"/>
    <n v="71.3"/>
    <n v="36.638392000000003"/>
    <n v="127.69611879999999"/>
    <n v="35.9"/>
    <n v="20"/>
    <n v="0"/>
    <n v="0"/>
    <n v="7.6"/>
    <n v="27"/>
    <n v="32.800000000000004"/>
    <n v="22.6"/>
    <x v="3"/>
  </r>
  <r>
    <x v="775"/>
    <x v="775"/>
    <x v="31"/>
    <x v="1"/>
    <n v="6"/>
    <n v="650"/>
    <n v="1001"/>
    <n v="304"/>
    <n v="708"/>
    <n v="750"/>
    <n v="1001"/>
    <n v="673"/>
    <n v="71.3"/>
    <n v="52.215933"/>
    <n v="19.134422000000001"/>
    <n v="25.1"/>
    <n v="20"/>
    <n v="0"/>
    <n v="0"/>
    <n v="29.299999999999997"/>
    <n v="0"/>
    <n v="32.800000000000004"/>
    <n v="22.5"/>
    <x v="3"/>
  </r>
  <r>
    <x v="776"/>
    <x v="776"/>
    <x v="1"/>
    <x v="1"/>
    <n v="53"/>
    <n v="667"/>
    <n v="601"/>
    <n v="304"/>
    <n v="969"/>
    <n v="783"/>
    <n v="728"/>
    <n v="460"/>
    <n v="71.3"/>
    <n v="54.702354499999998"/>
    <n v="-3.2765753000000002"/>
    <n v="21.8"/>
    <n v="20"/>
    <n v="40"/>
    <n v="0"/>
    <n v="3.2"/>
    <n v="27.3"/>
    <n v="54.1"/>
    <n v="22.400000000000002"/>
    <x v="3"/>
  </r>
  <r>
    <x v="777"/>
    <x v="777"/>
    <x v="17"/>
    <x v="2"/>
    <n v="74"/>
    <n v="667"/>
    <n v="1001"/>
    <n v="304"/>
    <n v="589"/>
    <n v="707"/>
    <n v="1001"/>
    <n v="898"/>
    <n v="71.3"/>
    <n v="30.047992000000001"/>
    <n v="-94.335743300000004"/>
    <n v="29.4"/>
    <n v="20"/>
    <n v="0"/>
    <n v="0"/>
    <n v="41.199999999999996"/>
    <n v="0"/>
    <n v="10.299999999999999"/>
    <n v="22.3"/>
    <x v="3"/>
  </r>
  <r>
    <x v="778"/>
    <x v="778"/>
    <x v="8"/>
    <x v="1"/>
    <n v="49"/>
    <n v="667"/>
    <n v="1001"/>
    <n v="304"/>
    <n v="877"/>
    <n v="793"/>
    <n v="694"/>
    <n v="541"/>
    <n v="71.3"/>
    <n v="40.420347900000003"/>
    <n v="-79.116698299999996"/>
    <n v="20.8"/>
    <n v="20"/>
    <n v="0"/>
    <n v="0"/>
    <n v="12.4"/>
    <n v="30.7"/>
    <n v="46"/>
    <n v="22.2"/>
    <x v="3"/>
  </r>
  <r>
    <x v="779"/>
    <x v="779"/>
    <x v="5"/>
    <x v="1"/>
    <n v="43"/>
    <n v="57"/>
    <n v="26"/>
    <n v="304"/>
    <n v="1001"/>
    <n v="1001"/>
    <n v="1001"/>
    <n v="1001"/>
    <n v="71.3"/>
    <n v="46.603354000000003"/>
    <n v="1.8883335000000001"/>
    <n v="0"/>
    <n v="91.591591591591595"/>
    <n v="97.5"/>
    <n v="0"/>
    <n v="0"/>
    <n v="0"/>
    <n v="0"/>
    <n v="22.1"/>
    <x v="3"/>
  </r>
  <r>
    <x v="780"/>
    <x v="780"/>
    <x v="40"/>
    <x v="2"/>
    <n v="11"/>
    <n v="667"/>
    <n v="1001"/>
    <n v="185"/>
    <n v="1001"/>
    <n v="956"/>
    <n v="921"/>
    <n v="673"/>
    <n v="71.2"/>
    <n v="22.351114800000001"/>
    <n v="78.667742799999999"/>
    <n v="4.5"/>
    <n v="20"/>
    <n v="0"/>
    <n v="39.273927392739274"/>
    <n v="0"/>
    <n v="8"/>
    <n v="32.800000000000004"/>
    <n v="22"/>
    <x v="3"/>
  </r>
  <r>
    <x v="781"/>
    <x v="781"/>
    <x v="8"/>
    <x v="1"/>
    <n v="50"/>
    <n v="667"/>
    <n v="997"/>
    <n v="304"/>
    <n v="911"/>
    <n v="786"/>
    <n v="660"/>
    <n v="541"/>
    <n v="71.2"/>
    <n v="40.420347900000003"/>
    <n v="-79.116698299999996"/>
    <n v="21.5"/>
    <n v="20"/>
    <n v="0.4"/>
    <n v="0"/>
    <n v="9"/>
    <n v="34.1"/>
    <n v="46"/>
    <n v="21.9"/>
    <x v="3"/>
  </r>
  <r>
    <x v="782"/>
    <x v="782"/>
    <x v="53"/>
    <x v="2"/>
    <n v="1"/>
    <n v="202"/>
    <n v="176"/>
    <n v="304"/>
    <n v="899"/>
    <n v="862"/>
    <n v="698"/>
    <n v="673"/>
    <n v="71.2"/>
    <n v="40.375712999999998"/>
    <n v="-76.462611800000005"/>
    <n v="13.900000000000002"/>
    <n v="69.819819819819813"/>
    <n v="82.5"/>
    <n v="0"/>
    <n v="10.199999999999999"/>
    <n v="30.3"/>
    <n v="32.800000000000004"/>
    <n v="21.8"/>
    <x v="3"/>
  </r>
  <r>
    <x v="783"/>
    <x v="783"/>
    <x v="34"/>
    <x v="2"/>
    <n v="4"/>
    <n v="667"/>
    <n v="122"/>
    <n v="304"/>
    <n v="743"/>
    <n v="899"/>
    <n v="1001"/>
    <n v="673"/>
    <n v="71.2"/>
    <n v="25.624261799999999"/>
    <n v="42.352832800000002"/>
    <n v="10.199999999999999"/>
    <n v="20"/>
    <n v="87.9"/>
    <n v="0"/>
    <n v="25.8"/>
    <n v="0"/>
    <n v="32.800000000000004"/>
    <n v="21.7"/>
    <x v="3"/>
  </r>
  <r>
    <x v="784"/>
    <x v="784"/>
    <x v="17"/>
    <x v="2"/>
    <n v="75"/>
    <n v="667"/>
    <n v="1001"/>
    <n v="304"/>
    <n v="526"/>
    <n v="736"/>
    <n v="904"/>
    <n v="1001"/>
    <n v="71.2"/>
    <n v="30.047992000000001"/>
    <n v="-94.335743300000004"/>
    <n v="26.5"/>
    <n v="20"/>
    <n v="0"/>
    <n v="0"/>
    <n v="47.5"/>
    <n v="9.7000000000000011"/>
    <n v="0"/>
    <n v="21.6"/>
    <x v="3"/>
  </r>
  <r>
    <x v="785"/>
    <x v="785"/>
    <x v="5"/>
    <x v="1"/>
    <n v="44"/>
    <n v="667"/>
    <n v="1001"/>
    <n v="304"/>
    <n v="830"/>
    <n v="712"/>
    <n v="807"/>
    <n v="673"/>
    <n v="71.2"/>
    <n v="46.603354000000003"/>
    <n v="1.8883335000000001"/>
    <n v="28.9"/>
    <n v="20"/>
    <n v="0"/>
    <n v="0"/>
    <n v="17.100000000000001"/>
    <n v="19.400000000000002"/>
    <n v="32.800000000000004"/>
    <n v="21.5"/>
    <x v="3"/>
  </r>
  <r>
    <x v="786"/>
    <x v="786"/>
    <x v="18"/>
    <x v="1"/>
    <n v="8"/>
    <n v="667"/>
    <n v="318"/>
    <n v="304"/>
    <n v="905"/>
    <n v="859"/>
    <n v="707"/>
    <n v="541"/>
    <n v="71.2"/>
    <n v="63.246777700000003"/>
    <n v="25.920916399999999"/>
    <n v="14.2"/>
    <n v="20"/>
    <n v="68.300000000000011"/>
    <n v="0"/>
    <n v="9.6"/>
    <n v="29.4"/>
    <n v="46"/>
    <n v="21.4"/>
    <x v="3"/>
  </r>
  <r>
    <x v="787"/>
    <x v="787"/>
    <x v="2"/>
    <x v="2"/>
    <n v="32"/>
    <n v="667"/>
    <n v="1001"/>
    <n v="304"/>
    <n v="720"/>
    <n v="759"/>
    <n v="1001"/>
    <n v="673"/>
    <n v="71.2"/>
    <n v="36.5748441"/>
    <n v="139.23941790000001"/>
    <n v="24.2"/>
    <n v="20"/>
    <n v="0"/>
    <n v="0"/>
    <n v="28.1"/>
    <n v="0"/>
    <n v="32.800000000000004"/>
    <n v="21.3"/>
    <x v="3"/>
  </r>
  <r>
    <x v="788"/>
    <x v="788"/>
    <x v="47"/>
    <x v="2"/>
    <n v="9"/>
    <n v="667"/>
    <n v="856"/>
    <n v="304"/>
    <n v="967"/>
    <n v="798"/>
    <n v="763"/>
    <n v="460"/>
    <n v="71.2"/>
    <n v="38.959759400000003"/>
    <n v="34.924965299999997"/>
    <n v="20.3"/>
    <n v="20"/>
    <n v="14.499999999999998"/>
    <n v="0"/>
    <n v="3.4000000000000004"/>
    <n v="23.799999999999997"/>
    <n v="54.1"/>
    <n v="21.2"/>
    <x v="3"/>
  </r>
  <r>
    <x v="789"/>
    <x v="789"/>
    <x v="27"/>
    <x v="5"/>
    <n v="6"/>
    <n v="667"/>
    <n v="1001"/>
    <n v="304"/>
    <n v="785"/>
    <n v="896"/>
    <n v="781"/>
    <n v="541"/>
    <n v="71.2"/>
    <n v="-28.8166236"/>
    <n v="24.991638999999999"/>
    <n v="10.5"/>
    <n v="20"/>
    <n v="0"/>
    <n v="0"/>
    <n v="21.6"/>
    <n v="22"/>
    <n v="46"/>
    <n v="21.099999999999998"/>
    <x v="3"/>
  </r>
  <r>
    <x v="790"/>
    <x v="790"/>
    <x v="35"/>
    <x v="4"/>
    <n v="3"/>
    <n v="667"/>
    <n v="1001"/>
    <n v="304"/>
    <n v="687"/>
    <n v="746"/>
    <n v="586"/>
    <n v="1001"/>
    <n v="71.2"/>
    <n v="-31.761336499999999"/>
    <n v="-71.318769700000004"/>
    <n v="25.5"/>
    <n v="20"/>
    <n v="0"/>
    <n v="0"/>
    <n v="31.4"/>
    <n v="41.5"/>
    <n v="0"/>
    <n v="21"/>
    <x v="3"/>
  </r>
  <r>
    <x v="791"/>
    <x v="791"/>
    <x v="17"/>
    <x v="2"/>
    <n v="76"/>
    <n v="667"/>
    <n v="890"/>
    <n v="304"/>
    <n v="532"/>
    <n v="797"/>
    <n v="1001"/>
    <n v="898"/>
    <n v="71.2"/>
    <n v="30.047992000000001"/>
    <n v="-94.335743300000004"/>
    <n v="20.399999999999999"/>
    <n v="20"/>
    <n v="11.1"/>
    <n v="0"/>
    <n v="46.9"/>
    <n v="0"/>
    <n v="10.299999999999999"/>
    <n v="20.9"/>
    <x v="3"/>
  </r>
  <r>
    <x v="792"/>
    <x v="792"/>
    <x v="44"/>
    <x v="2"/>
    <n v="3"/>
    <n v="667"/>
    <n v="1001"/>
    <n v="304"/>
    <n v="718"/>
    <n v="877"/>
    <n v="793"/>
    <n v="673"/>
    <n v="71.2"/>
    <n v="13.03876215"/>
    <s v="101.70017611907599"/>
    <n v="12.4"/>
    <n v="20"/>
    <n v="0"/>
    <n v="0"/>
    <n v="28.299999999999997"/>
    <n v="20.8"/>
    <n v="32.800000000000004"/>
    <n v="20.8"/>
    <x v="3"/>
  </r>
  <r>
    <x v="793"/>
    <x v="793"/>
    <x v="11"/>
    <x v="2"/>
    <n v="26"/>
    <n v="667"/>
    <n v="467"/>
    <n v="304"/>
    <n v="530"/>
    <n v="693"/>
    <n v="1001"/>
    <n v="1001"/>
    <n v="71.2"/>
    <n v="36.638392000000003"/>
    <n v="127.69611879999999"/>
    <n v="30.8"/>
    <n v="20"/>
    <n v="53.400000000000006"/>
    <n v="0"/>
    <n v="47.099999999999994"/>
    <n v="0"/>
    <n v="0"/>
    <n v="20.7"/>
    <x v="3"/>
  </r>
  <r>
    <x v="794"/>
    <x v="794"/>
    <x v="12"/>
    <x v="1"/>
    <n v="41"/>
    <n v="667"/>
    <n v="1001"/>
    <n v="304"/>
    <n v="775"/>
    <n v="732"/>
    <n v="722"/>
    <n v="898"/>
    <n v="71.099999999999994"/>
    <n v="42.638426099999997"/>
    <n v="12.674296999999999"/>
    <n v="26.900000000000002"/>
    <n v="20"/>
    <n v="0"/>
    <n v="0"/>
    <n v="22.6"/>
    <n v="27.900000000000002"/>
    <n v="10.299999999999999"/>
    <n v="20.599999999999998"/>
    <x v="3"/>
  </r>
  <r>
    <x v="795"/>
    <x v="795"/>
    <x v="21"/>
    <x v="2"/>
    <n v="13"/>
    <n v="667"/>
    <n v="1001"/>
    <n v="304"/>
    <n v="577"/>
    <n v="616"/>
    <n v="1001"/>
    <n v="1001"/>
    <n v="71.099999999999994"/>
    <n v="23.598322700000001"/>
    <s v="120.83537694479215"/>
    <n v="38.5"/>
    <n v="20"/>
    <n v="0"/>
    <n v="0"/>
    <n v="42.4"/>
    <n v="0"/>
    <n v="0"/>
    <n v="20.5"/>
    <x v="3"/>
  </r>
  <r>
    <x v="796"/>
    <x v="796"/>
    <x v="2"/>
    <x v="2"/>
    <n v="33"/>
    <n v="143"/>
    <n v="1001"/>
    <n v="304"/>
    <n v="736"/>
    <n v="764"/>
    <n v="578"/>
    <n v="1001"/>
    <n v="71.099999999999994"/>
    <n v="36.5748441"/>
    <n v="139.23941790000001"/>
    <n v="23.7"/>
    <n v="78.678678678678679"/>
    <n v="0"/>
    <n v="0"/>
    <n v="26.5"/>
    <n v="42.3"/>
    <n v="0"/>
    <n v="20.399999999999999"/>
    <x v="3"/>
  </r>
  <r>
    <x v="797"/>
    <x v="797"/>
    <x v="40"/>
    <x v="2"/>
    <n v="12"/>
    <n v="268"/>
    <n v="707"/>
    <n v="304"/>
    <n v="625"/>
    <n v="609"/>
    <n v="1001"/>
    <n v="1001"/>
    <n v="71.099999999999994"/>
    <n v="22.351114800000001"/>
    <n v="78.667742799999999"/>
    <n v="39.200000000000003"/>
    <n v="59.909909909909906"/>
    <n v="29.4"/>
    <n v="0"/>
    <n v="37.6"/>
    <n v="0"/>
    <n v="0"/>
    <n v="20.3"/>
    <x v="3"/>
  </r>
  <r>
    <x v="798"/>
    <x v="798"/>
    <x v="54"/>
    <x v="2"/>
    <n v="1"/>
    <n v="667"/>
    <n v="1001"/>
    <n v="304"/>
    <n v="643"/>
    <n v="924"/>
    <n v="1001"/>
    <n v="541"/>
    <n v="71.099999999999994"/>
    <n v="30.3308401"/>
    <n v="71.247499000000005"/>
    <n v="7.7"/>
    <n v="20"/>
    <n v="0"/>
    <n v="0"/>
    <n v="35.799999999999997"/>
    <n v="0"/>
    <n v="46"/>
    <n v="20.200000000000003"/>
    <x v="3"/>
  </r>
  <r>
    <x v="799"/>
    <x v="799"/>
    <x v="17"/>
    <x v="2"/>
    <n v="77"/>
    <n v="667"/>
    <n v="1001"/>
    <n v="304"/>
    <n v="663"/>
    <n v="638"/>
    <n v="913"/>
    <n v="1001"/>
    <n v="71.099999999999994"/>
    <n v="30.047992000000001"/>
    <n v="-94.335743300000004"/>
    <n v="36.299999999999997"/>
    <n v="20"/>
    <n v="0"/>
    <n v="0"/>
    <n v="33.800000000000004"/>
    <n v="8.7999999999999989"/>
    <n v="0"/>
    <n v="20.100000000000001"/>
    <x v="3"/>
  </r>
  <r>
    <x v="800"/>
    <x v="800"/>
    <x v="3"/>
    <x v="0"/>
    <n v="25"/>
    <n v="667"/>
    <n v="1001"/>
    <n v="304"/>
    <n v="783"/>
    <n v="752"/>
    <n v="1001"/>
    <n v="541"/>
    <n v="71.099999999999994"/>
    <n v="61.066692199999999"/>
    <n v="-107.99170700000001"/>
    <n v="24.9"/>
    <n v="20"/>
    <n v="0"/>
    <n v="0"/>
    <n v="21.8"/>
    <n v="0"/>
    <n v="46"/>
    <n v="20"/>
    <x v="3"/>
  </r>
  <r>
    <x v="801"/>
    <x v="801"/>
    <x v="55"/>
    <x v="1"/>
    <n v="1"/>
    <n v="667"/>
    <n v="1001"/>
    <n v="304"/>
    <n v="645"/>
    <n v="909"/>
    <n v="989"/>
    <n v="673"/>
    <n v="71.099999999999994"/>
    <n v="45.985212900000001"/>
    <n v="24.6859225"/>
    <n v="9.1999999999999993"/>
    <n v="20"/>
    <n v="0"/>
    <n v="0"/>
    <n v="35.6"/>
    <n v="1.2"/>
    <n v="32.800000000000004"/>
    <n v="19.900000000000002"/>
    <x v="3"/>
  </r>
  <r>
    <x v="802"/>
    <x v="802"/>
    <x v="0"/>
    <x v="0"/>
    <n v="186"/>
    <n v="441"/>
    <n v="353"/>
    <n v="304"/>
    <n v="809"/>
    <n v="680"/>
    <n v="591"/>
    <n v="1001"/>
    <n v="71.099999999999994"/>
    <n v="39.783730400000003"/>
    <n v="-100.445882"/>
    <n v="32.1"/>
    <n v="33.933933933933936"/>
    <n v="64.8"/>
    <n v="0"/>
    <n v="19.2"/>
    <n v="41"/>
    <n v="0"/>
    <n v="19.8"/>
    <x v="3"/>
  </r>
  <r>
    <x v="803"/>
    <x v="803"/>
    <x v="17"/>
    <x v="2"/>
    <n v="78"/>
    <n v="667"/>
    <n v="1001"/>
    <n v="304"/>
    <n v="650"/>
    <n v="744"/>
    <n v="1001"/>
    <n v="898"/>
    <n v="71.099999999999994"/>
    <n v="30.047992000000001"/>
    <n v="-94.335743300000004"/>
    <n v="25.7"/>
    <n v="20"/>
    <n v="0"/>
    <n v="0"/>
    <n v="35.099999999999994"/>
    <n v="0"/>
    <n v="10.299999999999999"/>
    <n v="19.7"/>
    <x v="3"/>
  </r>
  <r>
    <x v="804"/>
    <x v="804"/>
    <x v="5"/>
    <x v="1"/>
    <n v="45"/>
    <n v="424"/>
    <n v="1001"/>
    <n v="304"/>
    <n v="797"/>
    <n v="689"/>
    <n v="541"/>
    <n v="1001"/>
    <n v="71.099999999999994"/>
    <n v="46.603354000000003"/>
    <n v="1.8883335000000001"/>
    <n v="31.2"/>
    <n v="36.486486486486484"/>
    <n v="0"/>
    <n v="0"/>
    <n v="20.399999999999999"/>
    <n v="46"/>
    <n v="0"/>
    <n v="19.600000000000001"/>
    <x v="3"/>
  </r>
  <r>
    <x v="805"/>
    <x v="805"/>
    <x v="51"/>
    <x v="4"/>
    <n v="2"/>
    <n v="667"/>
    <n v="410"/>
    <n v="304"/>
    <n v="1001"/>
    <n v="897"/>
    <n v="543"/>
    <n v="541"/>
    <n v="71.099999999999994"/>
    <n v="4.0999169999999996"/>
    <n v="-72.908813300000006"/>
    <n v="10.4"/>
    <n v="20"/>
    <n v="59.099999999999994"/>
    <n v="0"/>
    <n v="0"/>
    <n v="45.800000000000004"/>
    <n v="46"/>
    <n v="19.5"/>
    <x v="3"/>
  </r>
  <r>
    <x v="806"/>
    <x v="806"/>
    <x v="40"/>
    <x v="2"/>
    <n v="13"/>
    <n v="620"/>
    <n v="566"/>
    <n v="304"/>
    <n v="774"/>
    <n v="811"/>
    <n v="897"/>
    <n v="673"/>
    <n v="71.099999999999994"/>
    <n v="22.351114800000001"/>
    <n v="78.667742799999999"/>
    <n v="19"/>
    <n v="20"/>
    <n v="43.5"/>
    <n v="0"/>
    <n v="22.7"/>
    <n v="10.4"/>
    <n v="32.800000000000004"/>
    <n v="19.400000000000002"/>
    <x v="3"/>
  </r>
  <r>
    <x v="807"/>
    <x v="807"/>
    <x v="16"/>
    <x v="1"/>
    <n v="28"/>
    <n v="667"/>
    <n v="1001"/>
    <n v="304"/>
    <n v="812"/>
    <n v="740"/>
    <n v="650"/>
    <n v="898"/>
    <n v="71"/>
    <n v="39.326068499999998"/>
    <n v="-4.8379791000000001"/>
    <n v="26.1"/>
    <n v="20"/>
    <n v="0"/>
    <n v="0"/>
    <n v="18.899999999999999"/>
    <n v="35.099999999999994"/>
    <n v="10.299999999999999"/>
    <n v="19.3"/>
    <x v="3"/>
  </r>
  <r>
    <x v="808"/>
    <x v="808"/>
    <x v="1"/>
    <x v="1"/>
    <n v="54"/>
    <n v="667"/>
    <n v="1001"/>
    <n v="304"/>
    <n v="1001"/>
    <n v="823"/>
    <n v="514"/>
    <n v="541"/>
    <n v="71"/>
    <n v="54.702354499999998"/>
    <n v="-3.2765753000000002"/>
    <n v="17.8"/>
    <n v="20"/>
    <n v="0"/>
    <n v="0"/>
    <n v="0"/>
    <n v="48.699999999999996"/>
    <n v="46"/>
    <n v="19.2"/>
    <x v="3"/>
  </r>
  <r>
    <x v="809"/>
    <x v="809"/>
    <x v="11"/>
    <x v="2"/>
    <n v="27"/>
    <n v="667"/>
    <n v="1001"/>
    <n v="304"/>
    <n v="734"/>
    <n v="900"/>
    <n v="1001"/>
    <n v="460"/>
    <n v="71"/>
    <n v="36.638392000000003"/>
    <n v="127.69611879999999"/>
    <n v="10.100000000000001"/>
    <n v="20"/>
    <n v="0"/>
    <n v="0"/>
    <n v="26.700000000000003"/>
    <n v="0"/>
    <n v="54.1"/>
    <n v="19.100000000000001"/>
    <x v="3"/>
  </r>
  <r>
    <x v="810"/>
    <x v="810"/>
    <x v="11"/>
    <x v="2"/>
    <n v="28"/>
    <n v="667"/>
    <n v="1001"/>
    <n v="304"/>
    <n v="633"/>
    <n v="777"/>
    <n v="1001"/>
    <n v="898"/>
    <n v="71"/>
    <n v="36.638392000000003"/>
    <n v="127.69611879999999"/>
    <n v="22.400000000000002"/>
    <n v="20"/>
    <n v="0"/>
    <n v="0"/>
    <n v="36.799999999999997"/>
    <n v="0"/>
    <n v="10.299999999999999"/>
    <n v="19"/>
    <x v="3"/>
  </r>
  <r>
    <x v="811"/>
    <x v="811"/>
    <x v="12"/>
    <x v="1"/>
    <n v="42"/>
    <n v="667"/>
    <n v="1001"/>
    <n v="304"/>
    <n v="873"/>
    <n v="802"/>
    <n v="665"/>
    <n v="673"/>
    <n v="71"/>
    <n v="42.638426099999997"/>
    <n v="12.674296999999999"/>
    <n v="19.900000000000002"/>
    <n v="20"/>
    <n v="0"/>
    <n v="0"/>
    <n v="12.8"/>
    <n v="33.6"/>
    <n v="32.800000000000004"/>
    <n v="18.899999999999999"/>
    <x v="3"/>
  </r>
  <r>
    <x v="812"/>
    <x v="812"/>
    <x v="2"/>
    <x v="2"/>
    <n v="34"/>
    <n v="667"/>
    <n v="1001"/>
    <n v="258"/>
    <n v="980"/>
    <n v="962"/>
    <n v="1001"/>
    <n v="673"/>
    <n v="71"/>
    <n v="36.5748441"/>
    <n v="139.23941790000001"/>
    <n v="3.9"/>
    <n v="20"/>
    <n v="0"/>
    <n v="15.181518151815181"/>
    <n v="2.1"/>
    <n v="0"/>
    <n v="32.800000000000004"/>
    <n v="18.8"/>
    <x v="3"/>
  </r>
  <r>
    <x v="813"/>
    <x v="813"/>
    <x v="15"/>
    <x v="4"/>
    <n v="13"/>
    <n v="667"/>
    <n v="1001"/>
    <n v="304"/>
    <n v="614"/>
    <n v="838"/>
    <n v="981"/>
    <n v="898"/>
    <n v="71"/>
    <n v="-10.3333333"/>
    <n v="-53.2"/>
    <n v="16.3"/>
    <n v="20"/>
    <n v="0"/>
    <n v="0"/>
    <n v="38.700000000000003"/>
    <n v="2"/>
    <n v="10.299999999999999"/>
    <n v="18.7"/>
    <x v="3"/>
  </r>
  <r>
    <x v="814"/>
    <x v="814"/>
    <x v="0"/>
    <x v="0"/>
    <n v="187"/>
    <n v="667"/>
    <n v="335"/>
    <n v="304"/>
    <n v="934"/>
    <n v="817"/>
    <n v="652"/>
    <n v="673"/>
    <n v="71"/>
    <n v="39.783730400000003"/>
    <n v="-100.445882"/>
    <n v="18.399999999999999"/>
    <n v="20"/>
    <n v="66.600000000000009"/>
    <n v="0"/>
    <n v="6.7"/>
    <n v="34.9"/>
    <n v="32.800000000000004"/>
    <n v="18.600000000000001"/>
    <x v="3"/>
  </r>
  <r>
    <x v="815"/>
    <x v="815"/>
    <x v="2"/>
    <x v="2"/>
    <n v="35"/>
    <n v="667"/>
    <n v="1001"/>
    <n v="304"/>
    <n v="794"/>
    <n v="769"/>
    <n v="678"/>
    <n v="898"/>
    <n v="71"/>
    <n v="36.5748441"/>
    <n v="139.23941790000001"/>
    <n v="23.200000000000003"/>
    <n v="20"/>
    <n v="0"/>
    <n v="0"/>
    <n v="20.7"/>
    <n v="32.300000000000004"/>
    <n v="10.299999999999999"/>
    <n v="18.5"/>
    <x v="3"/>
  </r>
  <r>
    <x v="816"/>
    <x v="816"/>
    <x v="55"/>
    <x v="1"/>
    <n v="2"/>
    <n v="667"/>
    <n v="1001"/>
    <n v="304"/>
    <n v="596"/>
    <n v="993"/>
    <n v="1001"/>
    <n v="541"/>
    <n v="71"/>
    <n v="45.985212900000001"/>
    <n v="24.6859225"/>
    <n v="0.8"/>
    <n v="20"/>
    <n v="0"/>
    <n v="0"/>
    <n v="40.5"/>
    <n v="0"/>
    <n v="46"/>
    <n v="18.399999999999999"/>
    <x v="3"/>
  </r>
  <r>
    <x v="817"/>
    <x v="817"/>
    <x v="2"/>
    <x v="2"/>
    <n v="36"/>
    <n v="120"/>
    <n v="329"/>
    <n v="246"/>
    <n v="1001"/>
    <n v="1001"/>
    <n v="1001"/>
    <n v="673"/>
    <n v="71"/>
    <n v="36.5748441"/>
    <n v="139.23941790000001"/>
    <n v="0"/>
    <n v="82.132132132132128"/>
    <n v="67.2"/>
    <n v="19.141914191419144"/>
    <n v="0"/>
    <n v="0"/>
    <n v="32.800000000000004"/>
    <n v="18.3"/>
    <x v="3"/>
  </r>
  <r>
    <x v="818"/>
    <x v="818"/>
    <x v="17"/>
    <x v="2"/>
    <n v="79"/>
    <n v="667"/>
    <n v="1001"/>
    <n v="304"/>
    <n v="630"/>
    <n v="727"/>
    <n v="1001"/>
    <n v="898"/>
    <n v="71"/>
    <n v="30.047992000000001"/>
    <n v="-94.335743300000004"/>
    <n v="27.400000000000002"/>
    <n v="20"/>
    <n v="0"/>
    <n v="0"/>
    <n v="37.1"/>
    <n v="0"/>
    <n v="10.299999999999999"/>
    <n v="18.2"/>
    <x v="3"/>
  </r>
  <r>
    <x v="819"/>
    <x v="819"/>
    <x v="16"/>
    <x v="1"/>
    <n v="29"/>
    <n v="667"/>
    <n v="1001"/>
    <n v="304"/>
    <n v="841"/>
    <n v="729"/>
    <n v="709"/>
    <n v="898"/>
    <n v="71"/>
    <n v="39.326068499999998"/>
    <n v="-4.8379791000000001"/>
    <n v="27.200000000000003"/>
    <n v="20"/>
    <n v="0"/>
    <n v="0"/>
    <n v="16"/>
    <n v="29.2"/>
    <n v="10.299999999999999"/>
    <n v="18.099999999999998"/>
    <x v="3"/>
  </r>
  <r>
    <x v="820"/>
    <x v="820"/>
    <x v="1"/>
    <x v="1"/>
    <n v="55"/>
    <n v="667"/>
    <n v="134"/>
    <n v="304"/>
    <n v="882"/>
    <n v="847"/>
    <n v="1001"/>
    <n v="673"/>
    <n v="71"/>
    <n v="54.702354499999998"/>
    <n v="-3.2765753000000002"/>
    <n v="15.4"/>
    <n v="20"/>
    <n v="86.7"/>
    <n v="0"/>
    <n v="11.899999999999999"/>
    <n v="0"/>
    <n v="32.800000000000004"/>
    <n v="18"/>
    <x v="3"/>
  </r>
  <r>
    <x v="821"/>
    <x v="821"/>
    <x v="12"/>
    <x v="1"/>
    <n v="43"/>
    <n v="667"/>
    <n v="1001"/>
    <n v="304"/>
    <n v="1001"/>
    <n v="946"/>
    <n v="556"/>
    <n v="405"/>
    <n v="70.900000000000006"/>
    <n v="42.638426099999997"/>
    <n v="12.674296999999999"/>
    <n v="5.5"/>
    <n v="20"/>
    <n v="0"/>
    <n v="0"/>
    <n v="0"/>
    <n v="44.5"/>
    <n v="59.599999999999994"/>
    <n v="17.899999999999999"/>
    <x v="3"/>
  </r>
  <r>
    <x v="822"/>
    <x v="822"/>
    <x v="39"/>
    <x v="1"/>
    <n v="5"/>
    <n v="478"/>
    <n v="1001"/>
    <n v="304"/>
    <n v="767"/>
    <n v="843"/>
    <n v="905"/>
    <n v="673"/>
    <n v="70.900000000000006"/>
    <n v="41.976762899999997"/>
    <n v="-72.778984199999996"/>
    <n v="15.8"/>
    <n v="28.378378378378379"/>
    <n v="0"/>
    <n v="0"/>
    <n v="23.400000000000002"/>
    <n v="9.6"/>
    <n v="32.800000000000004"/>
    <n v="17.8"/>
    <x v="3"/>
  </r>
  <r>
    <x v="823"/>
    <x v="823"/>
    <x v="17"/>
    <x v="2"/>
    <n v="80"/>
    <n v="667"/>
    <n v="1001"/>
    <n v="304"/>
    <n v="723"/>
    <n v="749"/>
    <n v="997"/>
    <n v="898"/>
    <n v="70.900000000000006"/>
    <n v="30.047992000000001"/>
    <n v="-94.335743300000004"/>
    <n v="25.2"/>
    <n v="20"/>
    <n v="0"/>
    <n v="0"/>
    <n v="27.800000000000004"/>
    <n v="0.4"/>
    <n v="10.299999999999999"/>
    <n v="17.7"/>
    <x v="3"/>
  </r>
  <r>
    <x v="824"/>
    <x v="824"/>
    <x v="5"/>
    <x v="1"/>
    <n v="46"/>
    <n v="667"/>
    <n v="1001"/>
    <n v="304"/>
    <n v="876"/>
    <n v="765"/>
    <n v="448"/>
    <n v="1001"/>
    <n v="70.900000000000006"/>
    <n v="46.603354000000003"/>
    <n v="1.8883335000000001"/>
    <n v="23.599999999999998"/>
    <n v="20"/>
    <n v="0"/>
    <n v="0"/>
    <n v="12.5"/>
    <n v="55.300000000000004"/>
    <n v="0"/>
    <n v="17.599999999999998"/>
    <x v="3"/>
  </r>
  <r>
    <x v="825"/>
    <x v="825"/>
    <x v="41"/>
    <x v="2"/>
    <n v="4"/>
    <n v="667"/>
    <n v="1001"/>
    <n v="304"/>
    <n v="527"/>
    <n v="846"/>
    <n v="917"/>
    <n v="1001"/>
    <n v="70.900000000000006"/>
    <n v="4.5693754000000002"/>
    <n v="102.26568229999999"/>
    <n v="15.5"/>
    <n v="20"/>
    <n v="0"/>
    <n v="0"/>
    <n v="47.4"/>
    <n v="8.4"/>
    <n v="0"/>
    <n v="17.5"/>
    <x v="3"/>
  </r>
  <r>
    <x v="826"/>
    <x v="826"/>
    <x v="55"/>
    <x v="1"/>
    <n v="3"/>
    <n v="461"/>
    <n v="1001"/>
    <n v="304"/>
    <n v="674"/>
    <n v="925"/>
    <n v="1001"/>
    <n v="673"/>
    <n v="70.900000000000006"/>
    <n v="45.985212900000001"/>
    <n v="24.6859225"/>
    <n v="7.6"/>
    <n v="30.930930930930934"/>
    <n v="0"/>
    <n v="0"/>
    <n v="32.700000000000003"/>
    <n v="0"/>
    <n v="32.800000000000004"/>
    <n v="17.399999999999999"/>
    <x v="3"/>
  </r>
  <r>
    <x v="827"/>
    <x v="827"/>
    <x v="16"/>
    <x v="1"/>
    <n v="30"/>
    <n v="667"/>
    <n v="1001"/>
    <n v="304"/>
    <n v="739"/>
    <n v="661"/>
    <n v="1001"/>
    <n v="898"/>
    <n v="70.900000000000006"/>
    <n v="39.326068499999998"/>
    <n v="-4.8379791000000001"/>
    <n v="34"/>
    <n v="20"/>
    <n v="0"/>
    <n v="0"/>
    <n v="26.200000000000003"/>
    <n v="0"/>
    <n v="10.299999999999999"/>
    <n v="17.299999999999997"/>
    <x v="3"/>
  </r>
  <r>
    <x v="828"/>
    <x v="828"/>
    <x v="0"/>
    <x v="0"/>
    <n v="188"/>
    <n v="667"/>
    <n v="1001"/>
    <n v="304"/>
    <n v="869"/>
    <n v="690"/>
    <n v="525"/>
    <n v="1001"/>
    <n v="70.900000000000006"/>
    <n v="39.783730400000003"/>
    <n v="-100.445882"/>
    <n v="31.1"/>
    <n v="20"/>
    <n v="0"/>
    <n v="0"/>
    <n v="13.200000000000001"/>
    <n v="47.599999999999994"/>
    <n v="0"/>
    <n v="17.2"/>
    <x v="3"/>
  </r>
  <r>
    <x v="829"/>
    <x v="829"/>
    <x v="0"/>
    <x v="0"/>
    <n v="189"/>
    <n v="558"/>
    <n v="160"/>
    <n v="304"/>
    <n v="1001"/>
    <n v="900"/>
    <n v="554"/>
    <n v="673"/>
    <n v="70.900000000000006"/>
    <n v="39.783730400000003"/>
    <n v="-100.445882"/>
    <n v="10.100000000000001"/>
    <n v="20"/>
    <n v="84.1"/>
    <n v="0"/>
    <n v="0"/>
    <n v="44.7"/>
    <n v="32.800000000000004"/>
    <n v="17.100000000000001"/>
    <x v="3"/>
  </r>
  <r>
    <x v="830"/>
    <x v="830"/>
    <x v="17"/>
    <x v="2"/>
    <n v="81"/>
    <n v="667"/>
    <n v="1001"/>
    <n v="304"/>
    <n v="578"/>
    <n v="666"/>
    <n v="1001"/>
    <n v="1001"/>
    <n v="70.900000000000006"/>
    <n v="30.047992000000001"/>
    <n v="-94.335743300000004"/>
    <n v="33.5"/>
    <n v="20"/>
    <n v="0"/>
    <n v="0"/>
    <n v="42.3"/>
    <n v="0"/>
    <n v="0"/>
    <n v="17"/>
    <x v="3"/>
  </r>
  <r>
    <x v="831"/>
    <x v="831"/>
    <x v="12"/>
    <x v="1"/>
    <n v="44"/>
    <n v="667"/>
    <n v="1001"/>
    <n v="304"/>
    <n v="902"/>
    <n v="779"/>
    <n v="579"/>
    <n v="898"/>
    <n v="70.900000000000006"/>
    <n v="42.638426099999997"/>
    <n v="12.674296999999999"/>
    <n v="22.2"/>
    <n v="20"/>
    <n v="0"/>
    <n v="0"/>
    <n v="9.9"/>
    <n v="42.199999999999996"/>
    <n v="10.299999999999999"/>
    <n v="16.900000000000002"/>
    <x v="3"/>
  </r>
  <r>
    <x v="832"/>
    <x v="832"/>
    <x v="11"/>
    <x v="2"/>
    <n v="29"/>
    <n v="667"/>
    <n v="1001"/>
    <n v="304"/>
    <n v="816"/>
    <n v="791"/>
    <n v="969"/>
    <n v="673"/>
    <n v="70.900000000000006"/>
    <n v="36.638392000000003"/>
    <n v="127.69611879999999"/>
    <n v="21"/>
    <n v="20"/>
    <n v="0"/>
    <n v="0"/>
    <n v="18.5"/>
    <n v="3.2"/>
    <n v="32.800000000000004"/>
    <n v="16.8"/>
    <x v="3"/>
  </r>
  <r>
    <x v="833"/>
    <x v="833"/>
    <x v="31"/>
    <x v="1"/>
    <n v="7"/>
    <n v="667"/>
    <n v="1001"/>
    <n v="304"/>
    <n v="829"/>
    <n v="1001"/>
    <n v="805"/>
    <n v="673"/>
    <n v="70.900000000000006"/>
    <n v="52.215933"/>
    <n v="19.134422000000001"/>
    <n v="0"/>
    <n v="20"/>
    <n v="0"/>
    <n v="0"/>
    <n v="17.2"/>
    <n v="19.600000000000001"/>
    <n v="32.800000000000004"/>
    <n v="16.7"/>
    <x v="3"/>
  </r>
  <r>
    <x v="834"/>
    <x v="834"/>
    <x v="0"/>
    <x v="0"/>
    <n v="190"/>
    <n v="667"/>
    <n v="704"/>
    <n v="304"/>
    <n v="842"/>
    <n v="763"/>
    <n v="710"/>
    <n v="898"/>
    <n v="70.900000000000006"/>
    <n v="39.783730400000003"/>
    <n v="-100.445882"/>
    <n v="23.799999999999997"/>
    <n v="20"/>
    <n v="29.7"/>
    <n v="0"/>
    <n v="15.9"/>
    <n v="29.099999999999998"/>
    <n v="10.299999999999999"/>
    <n v="16.600000000000001"/>
    <x v="3"/>
  </r>
  <r>
    <x v="835"/>
    <x v="835"/>
    <x v="17"/>
    <x v="2"/>
    <n v="82"/>
    <n v="667"/>
    <n v="1001"/>
    <n v="304"/>
    <n v="553"/>
    <n v="721"/>
    <n v="1001"/>
    <n v="1001"/>
    <n v="70.8"/>
    <n v="30.047992000000001"/>
    <n v="-94.335743300000004"/>
    <n v="28.000000000000004"/>
    <n v="20"/>
    <n v="0"/>
    <n v="0"/>
    <n v="44.800000000000004"/>
    <n v="0"/>
    <n v="0"/>
    <n v="16.5"/>
    <x v="3"/>
  </r>
  <r>
    <x v="836"/>
    <x v="836"/>
    <x v="17"/>
    <x v="2"/>
    <n v="83"/>
    <n v="667"/>
    <n v="10"/>
    <n v="304"/>
    <n v="1001"/>
    <n v="1001"/>
    <n v="1001"/>
    <n v="1001"/>
    <n v="70.8"/>
    <n v="30.047992000000001"/>
    <n v="-94.335743300000004"/>
    <n v="0"/>
    <n v="20"/>
    <n v="99.1"/>
    <n v="0"/>
    <n v="0"/>
    <n v="0"/>
    <n v="0"/>
    <n v="16.400000000000002"/>
    <x v="3"/>
  </r>
  <r>
    <x v="837"/>
    <x v="837"/>
    <x v="2"/>
    <x v="2"/>
    <n v="37"/>
    <n v="667"/>
    <n v="1001"/>
    <n v="304"/>
    <n v="874"/>
    <n v="892"/>
    <n v="646"/>
    <n v="673"/>
    <n v="70.8"/>
    <n v="36.5748441"/>
    <n v="139.23941790000001"/>
    <n v="10.9"/>
    <n v="20"/>
    <n v="0"/>
    <n v="0"/>
    <n v="12.7"/>
    <n v="35.5"/>
    <n v="32.800000000000004"/>
    <n v="16.3"/>
    <x v="3"/>
  </r>
  <r>
    <x v="838"/>
    <x v="838"/>
    <x v="8"/>
    <x v="1"/>
    <n v="51"/>
    <n v="667"/>
    <n v="1001"/>
    <n v="304"/>
    <n v="998"/>
    <n v="844"/>
    <n v="906"/>
    <n v="460"/>
    <n v="70.8"/>
    <n v="40.420347900000003"/>
    <n v="-79.116698299999996"/>
    <n v="15.7"/>
    <n v="20"/>
    <n v="0"/>
    <n v="0"/>
    <n v="0.3"/>
    <n v="9.5"/>
    <n v="54.1"/>
    <n v="16.2"/>
    <x v="3"/>
  </r>
  <r>
    <x v="839"/>
    <x v="839"/>
    <x v="15"/>
    <x v="4"/>
    <n v="14"/>
    <n v="667"/>
    <n v="1001"/>
    <n v="304"/>
    <n v="549"/>
    <n v="774"/>
    <n v="1001"/>
    <n v="1001"/>
    <n v="70.8"/>
    <n v="-10.3333333"/>
    <n v="-53.2"/>
    <n v="22.7"/>
    <n v="20"/>
    <n v="0"/>
    <n v="0"/>
    <n v="45.2"/>
    <n v="0"/>
    <n v="0"/>
    <n v="16.100000000000001"/>
    <x v="3"/>
  </r>
  <r>
    <x v="840"/>
    <x v="840"/>
    <x v="2"/>
    <x v="2"/>
    <n v="38"/>
    <n v="667"/>
    <n v="1001"/>
    <n v="232"/>
    <n v="1001"/>
    <n v="1001"/>
    <n v="553"/>
    <n v="1001"/>
    <n v="70.8"/>
    <n v="36.5748441"/>
    <n v="139.23941790000001"/>
    <n v="0"/>
    <n v="20"/>
    <n v="0"/>
    <n v="23.762376237623762"/>
    <n v="0"/>
    <n v="44.800000000000004"/>
    <n v="0"/>
    <n v="16"/>
    <x v="3"/>
  </r>
  <r>
    <x v="841"/>
    <x v="841"/>
    <x v="3"/>
    <x v="0"/>
    <n v="26"/>
    <n v="667"/>
    <n v="1001"/>
    <n v="304"/>
    <n v="1001"/>
    <n v="935"/>
    <n v="748"/>
    <n v="405"/>
    <n v="70.8"/>
    <n v="61.066692199999999"/>
    <n v="-107.99170700000001"/>
    <n v="6.6000000000000005"/>
    <n v="20"/>
    <n v="0"/>
    <n v="0"/>
    <n v="0"/>
    <n v="25.3"/>
    <n v="59.599999999999994"/>
    <n v="15.9"/>
    <x v="3"/>
  </r>
  <r>
    <x v="842"/>
    <x v="842"/>
    <x v="0"/>
    <x v="0"/>
    <n v="191"/>
    <n v="667"/>
    <n v="388"/>
    <n v="304"/>
    <n v="964"/>
    <n v="748"/>
    <n v="658"/>
    <n v="898"/>
    <n v="70.8"/>
    <n v="39.783730400000003"/>
    <n v="-100.445882"/>
    <n v="25.3"/>
    <n v="20"/>
    <n v="61.3"/>
    <n v="0"/>
    <n v="3.6999999999999997"/>
    <n v="34.300000000000004"/>
    <n v="10.299999999999999"/>
    <n v="15.8"/>
    <x v="3"/>
  </r>
  <r>
    <x v="843"/>
    <x v="843"/>
    <x v="31"/>
    <x v="1"/>
    <n v="8"/>
    <n v="667"/>
    <n v="934"/>
    <n v="304"/>
    <n v="620"/>
    <n v="830"/>
    <n v="1001"/>
    <n v="898"/>
    <n v="70.8"/>
    <n v="52.215933"/>
    <n v="19.134422000000001"/>
    <n v="17.100000000000001"/>
    <n v="20"/>
    <n v="6.7"/>
    <n v="0"/>
    <n v="38.1"/>
    <n v="0"/>
    <n v="10.299999999999999"/>
    <n v="15.7"/>
    <x v="3"/>
  </r>
  <r>
    <x v="844"/>
    <x v="844"/>
    <x v="2"/>
    <x v="2"/>
    <n v="39"/>
    <n v="667"/>
    <n v="444"/>
    <n v="304"/>
    <n v="776"/>
    <n v="778"/>
    <n v="1001"/>
    <n v="898"/>
    <n v="70.8"/>
    <n v="36.5748441"/>
    <n v="139.23941790000001"/>
    <n v="22.3"/>
    <n v="20"/>
    <n v="55.7"/>
    <n v="0"/>
    <n v="22.5"/>
    <n v="0"/>
    <n v="10.299999999999999"/>
    <n v="15.6"/>
    <x v="3"/>
  </r>
  <r>
    <x v="845"/>
    <x v="845"/>
    <x v="21"/>
    <x v="2"/>
    <n v="14"/>
    <n v="667"/>
    <n v="1001"/>
    <n v="304"/>
    <n v="848"/>
    <n v="765"/>
    <n v="1001"/>
    <n v="673"/>
    <n v="70.8"/>
    <n v="23.598322700000001"/>
    <s v="120.83537694479215"/>
    <n v="23.599999999999998"/>
    <n v="20"/>
    <n v="0"/>
    <n v="0"/>
    <n v="15.299999999999999"/>
    <n v="0"/>
    <n v="32.800000000000004"/>
    <n v="15.5"/>
    <x v="3"/>
  </r>
  <r>
    <x v="846"/>
    <x v="846"/>
    <x v="15"/>
    <x v="4"/>
    <n v="15"/>
    <n v="667"/>
    <n v="1001"/>
    <n v="304"/>
    <n v="583"/>
    <n v="760"/>
    <n v="1001"/>
    <n v="1001"/>
    <n v="70.8"/>
    <n v="-10.3333333"/>
    <n v="-53.2"/>
    <n v="24.099999999999998"/>
    <n v="20"/>
    <n v="0"/>
    <n v="0"/>
    <n v="41.8"/>
    <n v="0"/>
    <n v="0"/>
    <n v="15.4"/>
    <x v="3"/>
  </r>
  <r>
    <x v="847"/>
    <x v="847"/>
    <x v="30"/>
    <x v="0"/>
    <n v="4"/>
    <n v="667"/>
    <n v="1001"/>
    <n v="304"/>
    <n v="730"/>
    <n v="980"/>
    <n v="869"/>
    <n v="673"/>
    <n v="70.8"/>
    <n v="19.432629599999999"/>
    <n v="-99.1331785"/>
    <n v="2.1"/>
    <n v="20"/>
    <n v="0"/>
    <n v="0"/>
    <n v="27.1"/>
    <n v="13.200000000000001"/>
    <n v="32.800000000000004"/>
    <n v="15.299999999999999"/>
    <x v="3"/>
  </r>
  <r>
    <x v="848"/>
    <x v="848"/>
    <x v="5"/>
    <x v="1"/>
    <n v="47"/>
    <n v="667"/>
    <n v="1001"/>
    <n v="304"/>
    <n v="857"/>
    <n v="722"/>
    <n v="585"/>
    <n v="1001"/>
    <n v="70.8"/>
    <n v="46.603354000000003"/>
    <n v="1.8883335000000001"/>
    <n v="27.900000000000002"/>
    <n v="20"/>
    <n v="0"/>
    <n v="0"/>
    <n v="14.399999999999999"/>
    <n v="41.6"/>
    <n v="0"/>
    <n v="15.2"/>
    <x v="3"/>
  </r>
  <r>
    <x v="849"/>
    <x v="849"/>
    <x v="2"/>
    <x v="2"/>
    <n v="40"/>
    <n v="667"/>
    <n v="1001"/>
    <n v="304"/>
    <n v="792"/>
    <n v="851"/>
    <n v="739"/>
    <n v="898"/>
    <n v="70.7"/>
    <n v="36.5748441"/>
    <n v="139.23941790000001"/>
    <n v="15"/>
    <n v="20"/>
    <n v="0"/>
    <n v="0"/>
    <n v="20.9"/>
    <n v="26.200000000000003"/>
    <n v="10.299999999999999"/>
    <n v="15.1"/>
    <x v="3"/>
  </r>
  <r>
    <x v="850"/>
    <x v="850"/>
    <x v="17"/>
    <x v="2"/>
    <n v="84"/>
    <n v="667"/>
    <n v="1001"/>
    <n v="304"/>
    <n v="764"/>
    <n v="809"/>
    <n v="1001"/>
    <n v="673"/>
    <n v="70.7"/>
    <n v="30.047992000000001"/>
    <n v="-94.335743300000004"/>
    <n v="19.2"/>
    <n v="20"/>
    <n v="0"/>
    <n v="0"/>
    <n v="23.7"/>
    <n v="0"/>
    <n v="32.800000000000004"/>
    <n v="15"/>
    <x v="3"/>
  </r>
  <r>
    <x v="851"/>
    <x v="851"/>
    <x v="11"/>
    <x v="2"/>
    <n v="30"/>
    <n v="667"/>
    <n v="1001"/>
    <n v="304"/>
    <n v="749"/>
    <n v="799"/>
    <n v="1001"/>
    <n v="898"/>
    <n v="70.7"/>
    <n v="36.638392000000003"/>
    <n v="127.69611879999999"/>
    <n v="20.200000000000003"/>
    <n v="20"/>
    <n v="0"/>
    <n v="0"/>
    <n v="25.2"/>
    <n v="0"/>
    <n v="10.299999999999999"/>
    <n v="14.899999999999999"/>
    <x v="3"/>
  </r>
  <r>
    <x v="852"/>
    <x v="852"/>
    <x v="2"/>
    <x v="2"/>
    <n v="41"/>
    <n v="667"/>
    <n v="1001"/>
    <n v="86"/>
    <n v="1001"/>
    <n v="1001"/>
    <n v="1001"/>
    <n v="898"/>
    <n v="70.7"/>
    <n v="36.5748441"/>
    <n v="139.23941790000001"/>
    <n v="0"/>
    <n v="20"/>
    <n v="0"/>
    <n v="71.947194719471952"/>
    <n v="0"/>
    <n v="0"/>
    <n v="10.299999999999999"/>
    <n v="14.799999999999999"/>
    <x v="3"/>
  </r>
  <r>
    <x v="853"/>
    <x v="853"/>
    <x v="35"/>
    <x v="4"/>
    <n v="4"/>
    <n v="667"/>
    <n v="1001"/>
    <n v="304"/>
    <n v="1001"/>
    <n v="1001"/>
    <n v="1001"/>
    <n v="222"/>
    <n v="70.7"/>
    <n v="-31.761336499999999"/>
    <n v="-71.318769700000004"/>
    <n v="0"/>
    <n v="20"/>
    <n v="0"/>
    <n v="0"/>
    <n v="0"/>
    <n v="0"/>
    <n v="77.900000000000006"/>
    <n v="14.7"/>
    <x v="3"/>
  </r>
  <r>
    <x v="854"/>
    <x v="854"/>
    <x v="0"/>
    <x v="0"/>
    <n v="192"/>
    <n v="615"/>
    <n v="1001"/>
    <n v="304"/>
    <n v="938"/>
    <n v="839"/>
    <n v="742"/>
    <n v="673"/>
    <n v="70.7"/>
    <n v="39.783730400000003"/>
    <n v="-100.445882"/>
    <n v="16.2"/>
    <n v="20"/>
    <n v="0"/>
    <n v="0"/>
    <n v="6.3"/>
    <n v="25.900000000000002"/>
    <n v="32.800000000000004"/>
    <n v="14.6"/>
    <x v="3"/>
  </r>
  <r>
    <x v="855"/>
    <x v="855"/>
    <x v="5"/>
    <x v="1"/>
    <n v="48"/>
    <n v="182"/>
    <n v="1001"/>
    <n v="121"/>
    <n v="1001"/>
    <n v="1001"/>
    <n v="896"/>
    <n v="1001"/>
    <n v="70.7"/>
    <n v="46.603354000000003"/>
    <n v="1.8883335000000001"/>
    <n v="0"/>
    <n v="72.822822822822815"/>
    <n v="0"/>
    <n v="60.396039603960396"/>
    <n v="0"/>
    <n v="10.5"/>
    <n v="0"/>
    <n v="14.499999999999998"/>
    <x v="3"/>
  </r>
  <r>
    <x v="856"/>
    <x v="856"/>
    <x v="38"/>
    <x v="2"/>
    <n v="9"/>
    <n v="667"/>
    <n v="1001"/>
    <n v="304"/>
    <n v="604"/>
    <n v="894"/>
    <n v="1001"/>
    <n v="898"/>
    <n v="70.7"/>
    <n v="2.9368696000000001"/>
    <n v="115.4443356"/>
    <n v="10.7"/>
    <n v="20"/>
    <n v="0"/>
    <n v="0"/>
    <n v="39.700000000000003"/>
    <n v="0"/>
    <n v="10.299999999999999"/>
    <n v="14.399999999999999"/>
    <x v="3"/>
  </r>
  <r>
    <x v="857"/>
    <x v="857"/>
    <x v="40"/>
    <x v="2"/>
    <n v="14"/>
    <n v="667"/>
    <n v="362"/>
    <n v="304"/>
    <n v="683"/>
    <n v="861"/>
    <n v="1001"/>
    <n v="898"/>
    <n v="70.7"/>
    <n v="22.351114800000001"/>
    <n v="78.667742799999999"/>
    <n v="14.000000000000002"/>
    <n v="20"/>
    <n v="63.9"/>
    <n v="0"/>
    <n v="31.8"/>
    <n v="0"/>
    <n v="10.299999999999999"/>
    <n v="14.299999999999999"/>
    <x v="3"/>
  </r>
  <r>
    <x v="858"/>
    <x v="858"/>
    <x v="2"/>
    <x v="2"/>
    <n v="42"/>
    <n v="667"/>
    <n v="1001"/>
    <n v="304"/>
    <n v="1001"/>
    <n v="895"/>
    <n v="400"/>
    <n v="898"/>
    <n v="70.7"/>
    <n v="36.5748441"/>
    <n v="139.23941790000001"/>
    <n v="10.6"/>
    <n v="20"/>
    <n v="0"/>
    <n v="0"/>
    <n v="0"/>
    <n v="60.099999999999994"/>
    <n v="10.299999999999999"/>
    <n v="14.2"/>
    <x v="3"/>
  </r>
  <r>
    <x v="859"/>
    <x v="859"/>
    <x v="0"/>
    <x v="0"/>
    <n v="193"/>
    <n v="465"/>
    <n v="736"/>
    <n v="304"/>
    <n v="1001"/>
    <n v="882"/>
    <n v="720"/>
    <n v="541"/>
    <n v="70.7"/>
    <n v="39.783730400000003"/>
    <n v="-100.445882"/>
    <n v="11.899999999999999"/>
    <n v="30.33033033033033"/>
    <n v="26.5"/>
    <n v="0"/>
    <n v="0"/>
    <n v="28.1"/>
    <n v="46"/>
    <n v="14.099999999999998"/>
    <x v="3"/>
  </r>
  <r>
    <x v="860"/>
    <x v="860"/>
    <x v="5"/>
    <x v="1"/>
    <n v="49"/>
    <n v="667"/>
    <n v="1001"/>
    <n v="304"/>
    <n v="1001"/>
    <n v="902"/>
    <n v="760"/>
    <n v="460"/>
    <n v="70.7"/>
    <n v="46.603354000000003"/>
    <n v="1.8883335000000001"/>
    <n v="9.9"/>
    <n v="20"/>
    <n v="0"/>
    <n v="0"/>
    <n v="0"/>
    <n v="24.099999999999998"/>
    <n v="54.1"/>
    <n v="14.000000000000002"/>
    <x v="3"/>
  </r>
  <r>
    <x v="861"/>
    <x v="861"/>
    <x v="0"/>
    <x v="0"/>
    <n v="194"/>
    <n v="667"/>
    <n v="1001"/>
    <n v="304"/>
    <n v="1001"/>
    <n v="922"/>
    <n v="616"/>
    <n v="460"/>
    <n v="70.7"/>
    <n v="39.783730400000003"/>
    <n v="-100.445882"/>
    <n v="7.9"/>
    <n v="20"/>
    <n v="0"/>
    <n v="0"/>
    <n v="0"/>
    <n v="38.5"/>
    <n v="54.1"/>
    <n v="13.900000000000002"/>
    <x v="3"/>
  </r>
  <r>
    <x v="862"/>
    <x v="862"/>
    <x v="18"/>
    <x v="1"/>
    <n v="9"/>
    <n v="667"/>
    <n v="1001"/>
    <n v="304"/>
    <n v="970"/>
    <n v="833"/>
    <n v="762"/>
    <n v="673"/>
    <n v="70.7"/>
    <n v="63.246777700000003"/>
    <n v="25.920916399999999"/>
    <n v="16.8"/>
    <n v="20"/>
    <n v="0"/>
    <n v="0"/>
    <n v="3.1"/>
    <n v="23.9"/>
    <n v="32.800000000000004"/>
    <n v="13.8"/>
    <x v="3"/>
  </r>
  <r>
    <x v="863"/>
    <x v="863"/>
    <x v="16"/>
    <x v="1"/>
    <n v="31"/>
    <n v="667"/>
    <n v="1001"/>
    <n v="304"/>
    <n v="900"/>
    <n v="794"/>
    <n v="740"/>
    <n v="898"/>
    <n v="70.7"/>
    <n v="39.326068499999998"/>
    <n v="-4.8379791000000001"/>
    <n v="20.7"/>
    <n v="20"/>
    <n v="0"/>
    <n v="0"/>
    <n v="10.100000000000001"/>
    <n v="26.1"/>
    <n v="10.299999999999999"/>
    <n v="13.700000000000001"/>
    <x v="3"/>
  </r>
  <r>
    <x v="864"/>
    <x v="864"/>
    <x v="2"/>
    <x v="2"/>
    <n v="43"/>
    <n v="667"/>
    <n v="1001"/>
    <n v="304"/>
    <n v="988"/>
    <n v="1001"/>
    <n v="631"/>
    <n v="541"/>
    <n v="70.599999999999994"/>
    <n v="36.5748441"/>
    <n v="139.23941790000001"/>
    <n v="0"/>
    <n v="20"/>
    <n v="0"/>
    <n v="0"/>
    <n v="1.3"/>
    <n v="37"/>
    <n v="46"/>
    <n v="13.600000000000001"/>
    <x v="3"/>
  </r>
  <r>
    <x v="865"/>
    <x v="865"/>
    <x v="8"/>
    <x v="1"/>
    <n v="52"/>
    <n v="667"/>
    <n v="1001"/>
    <n v="304"/>
    <n v="1001"/>
    <n v="927"/>
    <n v="934"/>
    <n v="405"/>
    <n v="70.599999999999994"/>
    <n v="40.420347900000003"/>
    <n v="-79.116698299999996"/>
    <n v="7.3999999999999995"/>
    <n v="20"/>
    <n v="0"/>
    <n v="0"/>
    <n v="0"/>
    <n v="6.7"/>
    <n v="59.599999999999994"/>
    <n v="13.5"/>
    <x v="3"/>
  </r>
  <r>
    <x v="866"/>
    <x v="866"/>
    <x v="16"/>
    <x v="1"/>
    <n v="32"/>
    <n v="667"/>
    <n v="1001"/>
    <n v="304"/>
    <n v="826"/>
    <n v="856"/>
    <n v="1001"/>
    <n v="673"/>
    <n v="70.599999999999994"/>
    <n v="39.326068499999998"/>
    <n v="-4.8379791000000001"/>
    <n v="14.499999999999998"/>
    <n v="20"/>
    <n v="0"/>
    <n v="0"/>
    <n v="17.5"/>
    <n v="0"/>
    <n v="32.800000000000004"/>
    <n v="13.4"/>
    <x v="3"/>
  </r>
  <r>
    <x v="867"/>
    <x v="867"/>
    <x v="2"/>
    <x v="2"/>
    <n v="44"/>
    <n v="667"/>
    <n v="592"/>
    <n v="304"/>
    <n v="989"/>
    <n v="906"/>
    <n v="675"/>
    <n v="673"/>
    <n v="70.599999999999994"/>
    <n v="36.5748441"/>
    <n v="139.23941790000001"/>
    <n v="9.5"/>
    <n v="20"/>
    <n v="40.9"/>
    <n v="0"/>
    <n v="1.2"/>
    <n v="32.6"/>
    <n v="32.800000000000004"/>
    <n v="13.3"/>
    <x v="3"/>
  </r>
  <r>
    <x v="868"/>
    <x v="868"/>
    <x v="16"/>
    <x v="1"/>
    <n v="33"/>
    <n v="667"/>
    <n v="1001"/>
    <n v="304"/>
    <n v="725"/>
    <n v="728"/>
    <n v="1001"/>
    <n v="1001"/>
    <n v="70.599999999999994"/>
    <n v="39.326068499999998"/>
    <n v="-4.8379791000000001"/>
    <n v="27.3"/>
    <n v="20"/>
    <n v="0"/>
    <n v="0"/>
    <n v="27.6"/>
    <n v="0"/>
    <n v="0"/>
    <n v="13.200000000000001"/>
    <x v="3"/>
  </r>
  <r>
    <x v="869"/>
    <x v="869"/>
    <x v="10"/>
    <x v="3"/>
    <n v="25"/>
    <n v="667"/>
    <n v="879"/>
    <n v="304"/>
    <n v="856"/>
    <n v="814"/>
    <n v="565"/>
    <n v="1001"/>
    <n v="70.599999999999994"/>
    <n v="-24.776108600000001"/>
    <n v="134.755"/>
    <n v="18.7"/>
    <n v="20"/>
    <n v="12.2"/>
    <n v="0"/>
    <n v="14.499999999999998"/>
    <n v="43.6"/>
    <n v="0"/>
    <n v="13.100000000000001"/>
    <x v="3"/>
  </r>
  <r>
    <x v="870"/>
    <x v="870"/>
    <x v="0"/>
    <x v="0"/>
    <n v="195"/>
    <n v="87"/>
    <n v="49"/>
    <n v="304"/>
    <n v="1001"/>
    <n v="1001"/>
    <n v="671"/>
    <n v="898"/>
    <n v="70.599999999999994"/>
    <n v="39.783730400000003"/>
    <n v="-100.445882"/>
    <n v="0"/>
    <n v="87.087087087087085"/>
    <n v="95.199999999999989"/>
    <n v="0"/>
    <n v="0"/>
    <n v="33"/>
    <n v="10.299999999999999"/>
    <n v="13"/>
    <x v="3"/>
  </r>
  <r>
    <x v="871"/>
    <x v="871"/>
    <x v="38"/>
    <x v="2"/>
    <n v="10"/>
    <n v="667"/>
    <n v="1001"/>
    <n v="304"/>
    <n v="627"/>
    <n v="965"/>
    <n v="1001"/>
    <n v="898"/>
    <n v="70.599999999999994"/>
    <n v="2.9368696000000001"/>
    <n v="115.4443356"/>
    <n v="3.5999999999999996"/>
    <n v="20"/>
    <n v="0"/>
    <n v="0"/>
    <n v="37.4"/>
    <n v="0"/>
    <n v="10.299999999999999"/>
    <n v="12.9"/>
    <x v="3"/>
  </r>
  <r>
    <x v="872"/>
    <x v="872"/>
    <x v="17"/>
    <x v="2"/>
    <n v="85"/>
    <n v="667"/>
    <n v="488"/>
    <n v="304"/>
    <n v="756"/>
    <n v="808"/>
    <n v="1001"/>
    <n v="898"/>
    <n v="70.599999999999994"/>
    <n v="30.047992000000001"/>
    <n v="-94.335743300000004"/>
    <n v="19.3"/>
    <n v="20"/>
    <n v="51.300000000000004"/>
    <n v="0"/>
    <n v="24.5"/>
    <n v="0"/>
    <n v="10.299999999999999"/>
    <n v="12.8"/>
    <x v="3"/>
  </r>
  <r>
    <x v="873"/>
    <x v="873"/>
    <x v="47"/>
    <x v="2"/>
    <n v="10"/>
    <n v="667"/>
    <n v="1001"/>
    <n v="304"/>
    <n v="703"/>
    <n v="1001"/>
    <n v="1001"/>
    <n v="541"/>
    <n v="70.599999999999994"/>
    <n v="38.959759400000003"/>
    <n v="34.924965299999997"/>
    <n v="0"/>
    <n v="20"/>
    <n v="0"/>
    <n v="0"/>
    <n v="29.799999999999997"/>
    <n v="0"/>
    <n v="46"/>
    <n v="12.7"/>
    <x v="3"/>
  </r>
  <r>
    <x v="874"/>
    <x v="874"/>
    <x v="21"/>
    <x v="2"/>
    <n v="15"/>
    <n v="667"/>
    <n v="1001"/>
    <n v="304"/>
    <n v="827"/>
    <n v="781"/>
    <n v="1001"/>
    <n v="898"/>
    <n v="70.599999999999994"/>
    <n v="23.598322700000001"/>
    <s v="120.83537694479215"/>
    <n v="22"/>
    <n v="20"/>
    <n v="0"/>
    <n v="0"/>
    <n v="17.399999999999999"/>
    <n v="0"/>
    <n v="10.299999999999999"/>
    <n v="12.6"/>
    <x v="3"/>
  </r>
  <r>
    <x v="875"/>
    <x v="875"/>
    <x v="17"/>
    <x v="2"/>
    <n v="86"/>
    <n v="667"/>
    <n v="692"/>
    <n v="304"/>
    <n v="704"/>
    <n v="702"/>
    <n v="1001"/>
    <n v="1001"/>
    <n v="70.599999999999994"/>
    <n v="30.047992000000001"/>
    <n v="-94.335743300000004"/>
    <n v="29.9"/>
    <n v="20"/>
    <n v="30.9"/>
    <n v="0"/>
    <n v="29.7"/>
    <n v="0"/>
    <n v="0"/>
    <n v="12.5"/>
    <x v="3"/>
  </r>
  <r>
    <x v="876"/>
    <x v="876"/>
    <x v="17"/>
    <x v="2"/>
    <n v="87"/>
    <n v="667"/>
    <n v="1001"/>
    <n v="304"/>
    <n v="688"/>
    <n v="737"/>
    <n v="1001"/>
    <n v="1001"/>
    <n v="70.599999999999994"/>
    <n v="30.047992000000001"/>
    <n v="-94.335743300000004"/>
    <n v="26.400000000000002"/>
    <n v="20"/>
    <n v="0"/>
    <n v="0"/>
    <n v="31.3"/>
    <n v="0"/>
    <n v="0"/>
    <n v="12.4"/>
    <x v="3"/>
  </r>
  <r>
    <x v="877"/>
    <x v="877"/>
    <x v="11"/>
    <x v="2"/>
    <n v="31"/>
    <n v="667"/>
    <n v="556"/>
    <n v="304"/>
    <n v="685"/>
    <n v="775"/>
    <n v="1001"/>
    <n v="1001"/>
    <n v="70.599999999999994"/>
    <n v="36.638392000000003"/>
    <n v="127.69611879999999"/>
    <n v="22.6"/>
    <n v="20"/>
    <n v="44.5"/>
    <n v="0"/>
    <n v="31.6"/>
    <n v="0"/>
    <n v="0"/>
    <n v="12.3"/>
    <x v="3"/>
  </r>
  <r>
    <x v="878"/>
    <x v="878"/>
    <x v="0"/>
    <x v="0"/>
    <n v="196"/>
    <n v="667"/>
    <n v="1001"/>
    <n v="304"/>
    <n v="1001"/>
    <n v="868"/>
    <n v="505"/>
    <n v="673"/>
    <n v="70.5"/>
    <n v="39.783730400000003"/>
    <n v="-100.445882"/>
    <n v="13.3"/>
    <n v="20"/>
    <n v="0"/>
    <n v="0"/>
    <n v="0"/>
    <n v="49.6"/>
    <n v="32.800000000000004"/>
    <n v="12.2"/>
    <x v="3"/>
  </r>
  <r>
    <x v="879"/>
    <x v="879"/>
    <x v="17"/>
    <x v="2"/>
    <n v="88"/>
    <n v="667"/>
    <n v="1001"/>
    <n v="304"/>
    <n v="833"/>
    <n v="770"/>
    <n v="1001"/>
    <n v="898"/>
    <n v="70.5"/>
    <n v="30.047992000000001"/>
    <n v="-94.335743300000004"/>
    <n v="23.1"/>
    <n v="20"/>
    <n v="0"/>
    <n v="0"/>
    <n v="16.8"/>
    <n v="0"/>
    <n v="10.299999999999999"/>
    <n v="12.1"/>
    <x v="3"/>
  </r>
  <r>
    <x v="880"/>
    <x v="880"/>
    <x v="56"/>
    <x v="1"/>
    <n v="1"/>
    <n v="493"/>
    <n v="1001"/>
    <n v="304"/>
    <n v="824"/>
    <n v="964"/>
    <n v="962"/>
    <n v="673"/>
    <n v="70.5"/>
    <n v="46.788916899999997"/>
    <n v="23.618490900000001"/>
    <n v="3.6999999999999997"/>
    <n v="26.126126126126124"/>
    <n v="0"/>
    <n v="0"/>
    <n v="17.7"/>
    <n v="3.9"/>
    <n v="32.800000000000004"/>
    <n v="12"/>
    <x v="3"/>
  </r>
  <r>
    <x v="881"/>
    <x v="881"/>
    <x v="2"/>
    <x v="2"/>
    <n v="45"/>
    <n v="667"/>
    <n v="648"/>
    <n v="304"/>
    <n v="757"/>
    <n v="824"/>
    <n v="791"/>
    <n v="1001"/>
    <n v="70.5"/>
    <n v="36.5748441"/>
    <n v="139.23941790000001"/>
    <n v="17.7"/>
    <n v="20"/>
    <n v="35.299999999999997"/>
    <n v="0"/>
    <n v="24.4"/>
    <n v="21"/>
    <n v="0"/>
    <n v="11.899999999999999"/>
    <x v="3"/>
  </r>
  <r>
    <x v="882"/>
    <x v="882"/>
    <x v="40"/>
    <x v="2"/>
    <n v="15"/>
    <n v="667"/>
    <n v="1001"/>
    <n v="181"/>
    <n v="1001"/>
    <n v="1001"/>
    <n v="1001"/>
    <n v="1001"/>
    <n v="70.5"/>
    <n v="22.351114800000001"/>
    <n v="78.667742799999999"/>
    <n v="0"/>
    <n v="20"/>
    <n v="0"/>
    <n v="40.594059405940598"/>
    <n v="0"/>
    <n v="0"/>
    <n v="0"/>
    <n v="11.799999999999999"/>
    <x v="3"/>
  </r>
  <r>
    <x v="883"/>
    <x v="883"/>
    <x v="42"/>
    <x v="5"/>
    <n v="3"/>
    <n v="667"/>
    <n v="1001"/>
    <n v="304"/>
    <n v="731"/>
    <n v="942"/>
    <n v="971"/>
    <n v="898"/>
    <n v="70.5"/>
    <n v="35.868129799999998"/>
    <n v="-90.945675100000003"/>
    <n v="5.8999999999999995"/>
    <n v="20"/>
    <n v="0"/>
    <n v="0"/>
    <n v="27"/>
    <n v="3"/>
    <n v="10.299999999999999"/>
    <n v="11.700000000000001"/>
    <x v="3"/>
  </r>
  <r>
    <x v="884"/>
    <x v="884"/>
    <x v="0"/>
    <x v="0"/>
    <n v="197"/>
    <n v="667"/>
    <n v="1001"/>
    <n v="304"/>
    <n v="1001"/>
    <n v="978"/>
    <n v="517"/>
    <n v="541"/>
    <n v="70.5"/>
    <n v="39.783730400000003"/>
    <n v="-100.445882"/>
    <n v="2.2999999999999998"/>
    <n v="20"/>
    <n v="0"/>
    <n v="0"/>
    <n v="0"/>
    <n v="48.4"/>
    <n v="46"/>
    <n v="11.600000000000001"/>
    <x v="3"/>
  </r>
  <r>
    <x v="885"/>
    <x v="885"/>
    <x v="15"/>
    <x v="4"/>
    <n v="16"/>
    <n v="667"/>
    <n v="1001"/>
    <n v="304"/>
    <n v="843"/>
    <n v="1001"/>
    <n v="820"/>
    <n v="673"/>
    <n v="70.5"/>
    <n v="-10.3333333"/>
    <n v="-53.2"/>
    <n v="0"/>
    <n v="20"/>
    <n v="0"/>
    <n v="0"/>
    <n v="15.8"/>
    <n v="18.099999999999998"/>
    <n v="32.800000000000004"/>
    <n v="11.5"/>
    <x v="3"/>
  </r>
  <r>
    <x v="886"/>
    <x v="886"/>
    <x v="2"/>
    <x v="2"/>
    <n v="46"/>
    <n v="667"/>
    <n v="1001"/>
    <n v="232"/>
    <n v="998"/>
    <n v="1001"/>
    <n v="956"/>
    <n v="1001"/>
    <n v="70.5"/>
    <n v="36.5748441"/>
    <n v="139.23941790000001"/>
    <n v="0"/>
    <n v="20"/>
    <n v="0"/>
    <n v="23.762376237623762"/>
    <n v="0.3"/>
    <n v="4.5"/>
    <n v="0"/>
    <n v="11.4"/>
    <x v="3"/>
  </r>
  <r>
    <x v="887"/>
    <x v="887"/>
    <x v="11"/>
    <x v="2"/>
    <n v="32"/>
    <n v="667"/>
    <n v="1001"/>
    <n v="304"/>
    <n v="658"/>
    <n v="851"/>
    <n v="1001"/>
    <n v="1001"/>
    <n v="70.5"/>
    <n v="36.638392000000003"/>
    <n v="127.69611879999999"/>
    <n v="15"/>
    <n v="20"/>
    <n v="0"/>
    <n v="0"/>
    <n v="34.300000000000004"/>
    <n v="0"/>
    <n v="0"/>
    <n v="11.3"/>
    <x v="3"/>
  </r>
  <r>
    <x v="888"/>
    <x v="888"/>
    <x v="15"/>
    <x v="4"/>
    <n v="17"/>
    <n v="667"/>
    <n v="857"/>
    <n v="304"/>
    <n v="653"/>
    <n v="818"/>
    <n v="1001"/>
    <n v="1001"/>
    <n v="70.5"/>
    <n v="-10.3333333"/>
    <n v="-53.2"/>
    <n v="18.3"/>
    <n v="20"/>
    <n v="14.399999999999999"/>
    <n v="0"/>
    <n v="34.799999999999997"/>
    <n v="0"/>
    <n v="0"/>
    <n v="11.200000000000001"/>
    <x v="3"/>
  </r>
  <r>
    <x v="889"/>
    <x v="889"/>
    <x v="17"/>
    <x v="2"/>
    <n v="89"/>
    <n v="667"/>
    <n v="1001"/>
    <n v="304"/>
    <n v="672"/>
    <n v="826"/>
    <n v="1001"/>
    <n v="1001"/>
    <n v="70.5"/>
    <n v="30.047992000000001"/>
    <n v="-94.335743300000004"/>
    <n v="17.5"/>
    <n v="20"/>
    <n v="0"/>
    <n v="0"/>
    <n v="32.9"/>
    <n v="0"/>
    <n v="0"/>
    <n v="11.1"/>
    <x v="3"/>
  </r>
  <r>
    <x v="890"/>
    <x v="890"/>
    <x v="1"/>
    <x v="1"/>
    <n v="56"/>
    <n v="667"/>
    <n v="309"/>
    <n v="304"/>
    <n v="912"/>
    <n v="784"/>
    <n v="1001"/>
    <n v="898"/>
    <n v="70.5"/>
    <n v="54.702354499999998"/>
    <n v="-3.2765753000000002"/>
    <n v="21.7"/>
    <n v="20"/>
    <n v="69.199999999999989"/>
    <n v="0"/>
    <n v="8.9"/>
    <n v="0"/>
    <n v="10.299999999999999"/>
    <n v="11"/>
    <x v="3"/>
  </r>
  <r>
    <x v="891"/>
    <x v="891"/>
    <x v="15"/>
    <x v="4"/>
    <n v="18"/>
    <n v="667"/>
    <n v="1001"/>
    <n v="304"/>
    <n v="782"/>
    <n v="997"/>
    <n v="1001"/>
    <n v="673"/>
    <n v="70.5"/>
    <n v="-10.3333333"/>
    <n v="-53.2"/>
    <n v="0.4"/>
    <n v="20"/>
    <n v="0"/>
    <n v="0"/>
    <n v="21.9"/>
    <n v="0"/>
    <n v="32.800000000000004"/>
    <n v="10.9"/>
    <x v="3"/>
  </r>
  <r>
    <x v="892"/>
    <x v="892"/>
    <x v="1"/>
    <x v="1"/>
    <n v="57"/>
    <n v="314"/>
    <n v="1001"/>
    <n v="304"/>
    <n v="1001"/>
    <n v="910"/>
    <n v="587"/>
    <n v="673"/>
    <n v="70.5"/>
    <n v="54.702354499999998"/>
    <n v="-3.2765753000000002"/>
    <n v="9.1"/>
    <n v="53.003003003003002"/>
    <n v="0"/>
    <n v="0"/>
    <n v="0"/>
    <n v="41.4"/>
    <n v="32.800000000000004"/>
    <n v="10.8"/>
    <x v="3"/>
  </r>
  <r>
    <x v="893"/>
    <x v="893"/>
    <x v="17"/>
    <x v="2"/>
    <n v="90"/>
    <n v="667"/>
    <n v="502"/>
    <n v="304"/>
    <n v="623"/>
    <n v="842"/>
    <n v="1001"/>
    <n v="1001"/>
    <n v="70.400000000000006"/>
    <n v="30.047992000000001"/>
    <n v="-94.335743300000004"/>
    <n v="15.9"/>
    <n v="20"/>
    <n v="49.9"/>
    <n v="0"/>
    <n v="37.799999999999997"/>
    <n v="0"/>
    <n v="0"/>
    <n v="10.7"/>
    <x v="3"/>
  </r>
  <r>
    <x v="894"/>
    <x v="894"/>
    <x v="17"/>
    <x v="2"/>
    <n v="91"/>
    <n v="667"/>
    <n v="1001"/>
    <n v="304"/>
    <n v="697"/>
    <n v="789"/>
    <n v="1001"/>
    <n v="1001"/>
    <n v="70.400000000000006"/>
    <n v="30.047992000000001"/>
    <n v="-94.335743300000004"/>
    <n v="21.2"/>
    <n v="20"/>
    <n v="0"/>
    <n v="0"/>
    <n v="30.4"/>
    <n v="0"/>
    <n v="0"/>
    <n v="10.6"/>
    <x v="3"/>
  </r>
  <r>
    <x v="895"/>
    <x v="895"/>
    <x v="2"/>
    <x v="2"/>
    <n v="47"/>
    <n v="667"/>
    <n v="862"/>
    <n v="304"/>
    <n v="717"/>
    <n v="812"/>
    <n v="1001"/>
    <n v="1001"/>
    <n v="70.400000000000006"/>
    <n v="36.5748441"/>
    <n v="139.23941790000001"/>
    <n v="18.899999999999999"/>
    <n v="20"/>
    <n v="13.900000000000002"/>
    <n v="0"/>
    <n v="28.4"/>
    <n v="0"/>
    <n v="0"/>
    <n v="10.5"/>
    <x v="3"/>
  </r>
  <r>
    <x v="896"/>
    <x v="896"/>
    <x v="24"/>
    <x v="1"/>
    <n v="10"/>
    <n v="667"/>
    <n v="1001"/>
    <n v="304"/>
    <n v="986"/>
    <n v="863"/>
    <n v="643"/>
    <n v="898"/>
    <n v="70.400000000000006"/>
    <n v="47.593969999999999"/>
    <n v="14.124560000000001"/>
    <n v="13.8"/>
    <n v="20"/>
    <n v="0"/>
    <n v="0"/>
    <n v="1.5"/>
    <n v="35.799999999999997"/>
    <n v="10.299999999999999"/>
    <n v="10.4"/>
    <x v="3"/>
  </r>
  <r>
    <x v="897"/>
    <x v="897"/>
    <x v="2"/>
    <x v="2"/>
    <n v="48"/>
    <n v="667"/>
    <n v="1001"/>
    <n v="304"/>
    <n v="850"/>
    <n v="887"/>
    <n v="863"/>
    <n v="898"/>
    <n v="70.400000000000006"/>
    <n v="36.5748441"/>
    <n v="139.23941790000001"/>
    <n v="11.4"/>
    <n v="20"/>
    <n v="0"/>
    <n v="0"/>
    <n v="15.1"/>
    <n v="13.8"/>
    <n v="10.299999999999999"/>
    <n v="10.299999999999999"/>
    <x v="3"/>
  </r>
  <r>
    <x v="898"/>
    <x v="898"/>
    <x v="31"/>
    <x v="1"/>
    <n v="9"/>
    <n v="667"/>
    <n v="1001"/>
    <n v="304"/>
    <n v="806"/>
    <n v="955"/>
    <n v="1001"/>
    <n v="673"/>
    <n v="70.400000000000006"/>
    <n v="52.215933"/>
    <n v="19.134422000000001"/>
    <n v="4.5999999999999996"/>
    <n v="20"/>
    <n v="0"/>
    <n v="0"/>
    <n v="19.5"/>
    <n v="0"/>
    <n v="32.800000000000004"/>
    <n v="10.199999999999999"/>
    <x v="3"/>
  </r>
  <r>
    <x v="899"/>
    <x v="899"/>
    <x v="16"/>
    <x v="1"/>
    <n v="34"/>
    <n v="667"/>
    <n v="1001"/>
    <n v="304"/>
    <n v="1000"/>
    <n v="969"/>
    <n v="1001"/>
    <n v="460"/>
    <n v="70.400000000000006"/>
    <n v="39.326068499999998"/>
    <n v="-4.8379791000000001"/>
    <n v="3.2"/>
    <n v="20"/>
    <n v="0"/>
    <n v="0"/>
    <n v="0.1"/>
    <n v="0"/>
    <n v="54.1"/>
    <n v="10.100000000000001"/>
    <x v="3"/>
  </r>
  <r>
    <x v="900"/>
    <x v="900"/>
    <x v="2"/>
    <x v="2"/>
    <n v="49"/>
    <n v="667"/>
    <n v="1001"/>
    <n v="304"/>
    <n v="834"/>
    <n v="877"/>
    <n v="993"/>
    <n v="898"/>
    <n v="70.400000000000006"/>
    <n v="36.5748441"/>
    <n v="139.23941790000001"/>
    <n v="12.4"/>
    <n v="20"/>
    <n v="0"/>
    <n v="0"/>
    <n v="16.7"/>
    <n v="0.8"/>
    <n v="10.299999999999999"/>
    <n v="10"/>
    <x v="3"/>
  </r>
  <r>
    <x v="901"/>
    <x v="901"/>
    <x v="17"/>
    <x v="2"/>
    <n v="92"/>
    <n v="667"/>
    <n v="1001"/>
    <n v="304"/>
    <n v="712"/>
    <n v="751"/>
    <n v="1001"/>
    <n v="1001"/>
    <n v="70.400000000000006"/>
    <n v="30.047992000000001"/>
    <n v="-94.335743300000004"/>
    <n v="25"/>
    <n v="20"/>
    <n v="0"/>
    <n v="0"/>
    <n v="28.9"/>
    <n v="0"/>
    <n v="0"/>
    <n v="9.9"/>
    <x v="3"/>
  </r>
  <r>
    <x v="902"/>
    <x v="902"/>
    <x v="42"/>
    <x v="5"/>
    <n v="4"/>
    <n v="500"/>
    <n v="1001"/>
    <n v="304"/>
    <n v="768"/>
    <n v="923"/>
    <n v="1001"/>
    <n v="898"/>
    <n v="70.400000000000006"/>
    <n v="35.868129799999998"/>
    <n v="-90.945675100000003"/>
    <n v="7.8"/>
    <n v="25.075075075075077"/>
    <n v="0"/>
    <n v="0"/>
    <n v="23.3"/>
    <n v="0"/>
    <n v="10.299999999999999"/>
    <n v="9.8000000000000007"/>
    <x v="3"/>
  </r>
  <r>
    <x v="903"/>
    <x v="903"/>
    <x v="20"/>
    <x v="1"/>
    <n v="8"/>
    <n v="667"/>
    <n v="1001"/>
    <n v="304"/>
    <n v="1001"/>
    <n v="876"/>
    <n v="773"/>
    <n v="673"/>
    <n v="70.400000000000006"/>
    <n v="50.6402809"/>
    <n v="4.6667145000000003"/>
    <n v="12.5"/>
    <n v="20"/>
    <n v="0"/>
    <n v="0"/>
    <n v="0"/>
    <n v="22.8"/>
    <n v="32.800000000000004"/>
    <n v="9.7000000000000011"/>
    <x v="3"/>
  </r>
  <r>
    <x v="904"/>
    <x v="904"/>
    <x v="57"/>
    <x v="1"/>
    <n v="1"/>
    <n v="667"/>
    <n v="1001"/>
    <n v="304"/>
    <n v="979"/>
    <n v="845"/>
    <n v="1001"/>
    <n v="673"/>
    <n v="70.400000000000006"/>
    <n v="34.917415900000002"/>
    <s v="32.889902651331866"/>
    <n v="15.6"/>
    <n v="20"/>
    <n v="0"/>
    <n v="0"/>
    <n v="2.1999999999999997"/>
    <n v="0"/>
    <n v="32.800000000000004"/>
    <n v="9.6"/>
    <x v="3"/>
  </r>
  <r>
    <x v="905"/>
    <x v="905"/>
    <x v="12"/>
    <x v="1"/>
    <n v="45"/>
    <n v="667"/>
    <n v="1001"/>
    <n v="304"/>
    <n v="802"/>
    <n v="770"/>
    <n v="942"/>
    <n v="1001"/>
    <n v="70.400000000000006"/>
    <n v="42.638426099999997"/>
    <n v="12.674296999999999"/>
    <n v="23.1"/>
    <n v="20"/>
    <n v="0"/>
    <n v="0"/>
    <n v="19.900000000000002"/>
    <n v="5.8999999999999995"/>
    <n v="0"/>
    <n v="9.5"/>
    <x v="3"/>
  </r>
  <r>
    <x v="906"/>
    <x v="906"/>
    <x v="2"/>
    <x v="2"/>
    <n v="50"/>
    <n v="667"/>
    <n v="16"/>
    <n v="304"/>
    <n v="1001"/>
    <n v="1001"/>
    <n v="1001"/>
    <n v="1001"/>
    <n v="70.400000000000006"/>
    <n v="36.5748441"/>
    <n v="139.23941790000001"/>
    <n v="0"/>
    <n v="20"/>
    <n v="98.5"/>
    <n v="0"/>
    <n v="0"/>
    <n v="0"/>
    <n v="0"/>
    <n v="9.4"/>
    <x v="3"/>
  </r>
  <r>
    <x v="907"/>
    <x v="907"/>
    <x v="58"/>
    <x v="2"/>
    <n v="1"/>
    <n v="667"/>
    <n v="1001"/>
    <n v="304"/>
    <n v="641"/>
    <n v="946"/>
    <n v="1001"/>
    <n v="1001"/>
    <n v="70.400000000000006"/>
    <n v="36.800206799999998"/>
    <n v="10.185775700000001"/>
    <n v="5.5"/>
    <n v="20"/>
    <n v="0"/>
    <n v="0"/>
    <n v="36"/>
    <n v="0"/>
    <n v="0"/>
    <n v="9.3000000000000007"/>
    <x v="3"/>
  </r>
  <r>
    <x v="908"/>
    <x v="908"/>
    <x v="17"/>
    <x v="2"/>
    <n v="93"/>
    <n v="667"/>
    <n v="801"/>
    <n v="304"/>
    <n v="680"/>
    <n v="805"/>
    <n v="1001"/>
    <n v="1001"/>
    <n v="70.3"/>
    <n v="30.047992000000001"/>
    <n v="-94.335743300000004"/>
    <n v="19.600000000000001"/>
    <n v="20"/>
    <n v="20"/>
    <n v="0"/>
    <n v="32.1"/>
    <n v="0"/>
    <n v="0"/>
    <n v="9.1999999999999993"/>
    <x v="3"/>
  </r>
  <r>
    <x v="909"/>
    <x v="909"/>
    <x v="1"/>
    <x v="1"/>
    <n v="58"/>
    <n v="667"/>
    <n v="1001"/>
    <n v="304"/>
    <n v="893"/>
    <n v="807"/>
    <n v="1001"/>
    <n v="898"/>
    <n v="70.3"/>
    <n v="54.702354499999998"/>
    <n v="-3.2765753000000002"/>
    <n v="19.400000000000002"/>
    <n v="20"/>
    <n v="0"/>
    <n v="0"/>
    <n v="10.8"/>
    <n v="0"/>
    <n v="10.299999999999999"/>
    <n v="9.1"/>
    <x v="3"/>
  </r>
  <r>
    <x v="910"/>
    <x v="910"/>
    <x v="17"/>
    <x v="2"/>
    <n v="94"/>
    <n v="667"/>
    <n v="133"/>
    <n v="304"/>
    <n v="915"/>
    <n v="869"/>
    <n v="1001"/>
    <n v="1001"/>
    <n v="70.3"/>
    <n v="30.047992000000001"/>
    <n v="-94.335743300000004"/>
    <n v="13.200000000000001"/>
    <n v="20"/>
    <n v="86.8"/>
    <n v="0"/>
    <n v="8.6"/>
    <n v="0"/>
    <n v="0"/>
    <n v="9"/>
    <x v="3"/>
  </r>
  <r>
    <x v="911"/>
    <x v="911"/>
    <x v="0"/>
    <x v="0"/>
    <n v="198"/>
    <n v="667"/>
    <n v="545"/>
    <n v="304"/>
    <n v="1001"/>
    <n v="1001"/>
    <n v="925"/>
    <n v="327"/>
    <n v="70.3"/>
    <n v="39.783730400000003"/>
    <n v="-100.445882"/>
    <n v="0"/>
    <n v="20"/>
    <n v="45.6"/>
    <n v="0"/>
    <n v="0"/>
    <n v="7.6"/>
    <n v="67.400000000000006"/>
    <n v="8.9"/>
    <x v="3"/>
  </r>
  <r>
    <x v="912"/>
    <x v="912"/>
    <x v="2"/>
    <x v="2"/>
    <n v="51"/>
    <n v="667"/>
    <n v="1001"/>
    <n v="304"/>
    <n v="1001"/>
    <n v="961"/>
    <n v="887"/>
    <n v="541"/>
    <n v="70.3"/>
    <n v="36.5748441"/>
    <n v="139.23941790000001"/>
    <n v="4"/>
    <n v="20"/>
    <n v="0"/>
    <n v="0"/>
    <n v="0"/>
    <n v="11.4"/>
    <n v="46"/>
    <n v="8.7999999999999989"/>
    <x v="3"/>
  </r>
  <r>
    <x v="913"/>
    <x v="913"/>
    <x v="17"/>
    <x v="2"/>
    <n v="95"/>
    <n v="667"/>
    <n v="1001"/>
    <n v="304"/>
    <n v="814"/>
    <n v="905"/>
    <n v="1001"/>
    <n v="898"/>
    <n v="70.3"/>
    <n v="30.047992000000001"/>
    <n v="-94.335743300000004"/>
    <n v="9.6"/>
    <n v="20"/>
    <n v="0"/>
    <n v="0"/>
    <n v="18.7"/>
    <n v="0"/>
    <n v="10.299999999999999"/>
    <n v="8.6999999999999993"/>
    <x v="3"/>
  </r>
  <r>
    <x v="914"/>
    <x v="914"/>
    <x v="41"/>
    <x v="2"/>
    <n v="5"/>
    <n v="667"/>
    <n v="1001"/>
    <n v="304"/>
    <n v="608"/>
    <n v="879"/>
    <n v="1001"/>
    <n v="1001"/>
    <n v="70.3"/>
    <n v="4.5693754000000002"/>
    <n v="102.26568229999999"/>
    <n v="12.2"/>
    <n v="20"/>
    <n v="0"/>
    <n v="0"/>
    <n v="39.300000000000004"/>
    <n v="0"/>
    <n v="0"/>
    <n v="8.6"/>
    <x v="3"/>
  </r>
  <r>
    <x v="915"/>
    <x v="915"/>
    <x v="11"/>
    <x v="2"/>
    <n v="33"/>
    <n v="667"/>
    <n v="1001"/>
    <n v="304"/>
    <n v="709"/>
    <n v="834"/>
    <n v="1001"/>
    <n v="1001"/>
    <n v="70.3"/>
    <n v="36.638392000000003"/>
    <n v="127.69611879999999"/>
    <n v="16.7"/>
    <n v="20"/>
    <n v="0"/>
    <n v="0"/>
    <n v="29.2"/>
    <n v="0"/>
    <n v="0"/>
    <n v="8.5"/>
    <x v="3"/>
  </r>
  <r>
    <x v="916"/>
    <x v="916"/>
    <x v="54"/>
    <x v="2"/>
    <n v="2"/>
    <n v="667"/>
    <n v="1001"/>
    <n v="304"/>
    <n v="714"/>
    <n v="945"/>
    <n v="1001"/>
    <n v="898"/>
    <n v="70.3"/>
    <n v="30.3308401"/>
    <n v="71.247499000000005"/>
    <n v="5.6000000000000005"/>
    <n v="20"/>
    <n v="0"/>
    <n v="0"/>
    <n v="28.7"/>
    <n v="0"/>
    <n v="10.299999999999999"/>
    <n v="8.4"/>
    <x v="3"/>
  </r>
  <r>
    <x v="917"/>
    <x v="917"/>
    <x v="5"/>
    <x v="1"/>
    <n v="50"/>
    <n v="667"/>
    <n v="1001"/>
    <n v="164"/>
    <n v="1001"/>
    <n v="1001"/>
    <n v="1001"/>
    <n v="898"/>
    <n v="70.3"/>
    <n v="46.603354000000003"/>
    <n v="1.8883335000000001"/>
    <n v="0"/>
    <n v="20"/>
    <n v="0"/>
    <n v="46.204620462046201"/>
    <n v="0"/>
    <n v="0"/>
    <n v="10.299999999999999"/>
    <n v="8.3000000000000007"/>
    <x v="3"/>
  </r>
  <r>
    <x v="918"/>
    <x v="918"/>
    <x v="40"/>
    <x v="2"/>
    <n v="16"/>
    <n v="667"/>
    <n v="14"/>
    <n v="304"/>
    <n v="1001"/>
    <n v="1001"/>
    <n v="1001"/>
    <n v="1001"/>
    <n v="70.3"/>
    <n v="22.351114800000001"/>
    <n v="78.667742799999999"/>
    <n v="0"/>
    <n v="20"/>
    <n v="98.7"/>
    <n v="0"/>
    <n v="0"/>
    <n v="0"/>
    <n v="0"/>
    <n v="8.2000000000000011"/>
    <x v="3"/>
  </r>
  <r>
    <x v="919"/>
    <x v="919"/>
    <x v="1"/>
    <x v="1"/>
    <n v="59"/>
    <n v="667"/>
    <n v="888"/>
    <n v="304"/>
    <n v="1001"/>
    <n v="907"/>
    <n v="732"/>
    <n v="673"/>
    <n v="70.3"/>
    <n v="54.702354499999998"/>
    <n v="-3.2765753000000002"/>
    <n v="9.4"/>
    <n v="20"/>
    <n v="11.3"/>
    <n v="0"/>
    <n v="0"/>
    <n v="26.900000000000002"/>
    <n v="32.800000000000004"/>
    <n v="8.1"/>
    <x v="3"/>
  </r>
  <r>
    <x v="920"/>
    <x v="920"/>
    <x v="17"/>
    <x v="2"/>
    <n v="96"/>
    <n v="667"/>
    <n v="1001"/>
    <n v="304"/>
    <n v="728"/>
    <n v="787"/>
    <n v="1001"/>
    <n v="1001"/>
    <n v="70.3"/>
    <n v="30.047992000000001"/>
    <n v="-94.335743300000004"/>
    <n v="21.4"/>
    <n v="20"/>
    <n v="0"/>
    <n v="0"/>
    <n v="27.3"/>
    <n v="0"/>
    <n v="0"/>
    <n v="8"/>
    <x v="3"/>
  </r>
  <r>
    <x v="921"/>
    <x v="921"/>
    <x v="0"/>
    <x v="0"/>
    <n v="199"/>
    <n v="326"/>
    <n v="1001"/>
    <n v="304"/>
    <n v="909"/>
    <n v="834"/>
    <n v="1001"/>
    <n v="898"/>
    <n v="70.3"/>
    <n v="39.783730400000003"/>
    <n v="-100.445882"/>
    <n v="16.7"/>
    <n v="51.201201201201194"/>
    <n v="0"/>
    <n v="0"/>
    <n v="9.1999999999999993"/>
    <n v="0"/>
    <n v="10.299999999999999"/>
    <n v="7.9"/>
    <x v="3"/>
  </r>
  <r>
    <x v="922"/>
    <x v="922"/>
    <x v="5"/>
    <x v="1"/>
    <n v="51"/>
    <n v="473"/>
    <n v="518"/>
    <n v="125"/>
    <n v="1001"/>
    <n v="1001"/>
    <n v="1001"/>
    <n v="1001"/>
    <n v="70.3"/>
    <n v="46.603354000000003"/>
    <n v="1.8883335000000001"/>
    <n v="0"/>
    <n v="29.129129129129126"/>
    <n v="48.3"/>
    <n v="59.07590759075908"/>
    <n v="0"/>
    <n v="0"/>
    <n v="0"/>
    <n v="7.8"/>
    <x v="3"/>
  </r>
  <r>
    <x v="923"/>
    <x v="923"/>
    <x v="5"/>
    <x v="1"/>
    <n v="52"/>
    <n v="661"/>
    <n v="1001"/>
    <n v="304"/>
    <n v="896"/>
    <n v="747"/>
    <n v="838"/>
    <n v="1001"/>
    <n v="70.2"/>
    <n v="46.603354000000003"/>
    <n v="1.8883335000000001"/>
    <n v="25.4"/>
    <n v="20"/>
    <n v="0"/>
    <n v="0"/>
    <n v="10.5"/>
    <n v="16.3"/>
    <n v="0"/>
    <n v="7.7"/>
    <x v="3"/>
  </r>
  <r>
    <x v="924"/>
    <x v="924"/>
    <x v="16"/>
    <x v="1"/>
    <n v="35"/>
    <n v="667"/>
    <n v="1001"/>
    <n v="304"/>
    <n v="944"/>
    <n v="888"/>
    <n v="1001"/>
    <n v="673"/>
    <n v="70.2"/>
    <n v="39.326068499999998"/>
    <n v="-4.8379791000000001"/>
    <n v="11.3"/>
    <n v="20"/>
    <n v="0"/>
    <n v="0"/>
    <n v="5.7"/>
    <n v="0"/>
    <n v="32.800000000000004"/>
    <n v="7.6"/>
    <x v="3"/>
  </r>
  <r>
    <x v="925"/>
    <x v="925"/>
    <x v="2"/>
    <x v="2"/>
    <n v="52"/>
    <n v="667"/>
    <n v="594"/>
    <n v="304"/>
    <n v="1001"/>
    <n v="976"/>
    <n v="1001"/>
    <n v="541"/>
    <n v="70.2"/>
    <n v="36.5748441"/>
    <n v="139.23941790000001"/>
    <n v="2.5"/>
    <n v="20"/>
    <n v="40.699999999999996"/>
    <n v="0"/>
    <n v="0"/>
    <n v="0"/>
    <n v="46"/>
    <n v="7.5"/>
    <x v="3"/>
  </r>
  <r>
    <x v="926"/>
    <x v="926"/>
    <x v="15"/>
    <x v="4"/>
    <n v="19"/>
    <n v="667"/>
    <n v="773"/>
    <n v="304"/>
    <n v="578"/>
    <n v="937"/>
    <n v="1001"/>
    <n v="1001"/>
    <n v="70.2"/>
    <n v="-10.3333333"/>
    <n v="-53.2"/>
    <n v="6.4"/>
    <n v="20"/>
    <n v="22.8"/>
    <n v="0"/>
    <n v="42.3"/>
    <n v="0"/>
    <n v="0"/>
    <n v="7.3999999999999995"/>
    <x v="3"/>
  </r>
  <r>
    <x v="927"/>
    <x v="927"/>
    <x v="3"/>
    <x v="0"/>
    <n v="27"/>
    <n v="667"/>
    <n v="741"/>
    <n v="304"/>
    <n v="890"/>
    <n v="848"/>
    <n v="1001"/>
    <n v="898"/>
    <n v="70.2"/>
    <n v="61.066692199999999"/>
    <n v="-107.99170700000001"/>
    <n v="15.299999999999999"/>
    <n v="20"/>
    <n v="26"/>
    <n v="0"/>
    <n v="11.1"/>
    <n v="0"/>
    <n v="10.299999999999999"/>
    <n v="7.3"/>
    <x v="3"/>
  </r>
  <r>
    <x v="928"/>
    <x v="928"/>
    <x v="5"/>
    <x v="1"/>
    <n v="53"/>
    <n v="435"/>
    <n v="1001"/>
    <n v="304"/>
    <n v="906"/>
    <n v="730"/>
    <n v="916"/>
    <n v="1001"/>
    <n v="70.2"/>
    <n v="46.603354000000003"/>
    <n v="1.8883335000000001"/>
    <n v="27.1"/>
    <n v="34.83483483483483"/>
    <n v="0"/>
    <n v="0"/>
    <n v="9.5"/>
    <n v="8.5"/>
    <n v="0"/>
    <n v="7.1999999999999993"/>
    <x v="3"/>
  </r>
  <r>
    <x v="929"/>
    <x v="929"/>
    <x v="25"/>
    <x v="1"/>
    <n v="5"/>
    <n v="667"/>
    <n v="1001"/>
    <n v="304"/>
    <n v="971"/>
    <n v="995"/>
    <n v="590"/>
    <n v="898"/>
    <n v="70.2"/>
    <n v="49.743904700000002"/>
    <n v="15.338106099999999"/>
    <n v="0.6"/>
    <n v="20"/>
    <n v="0"/>
    <n v="0"/>
    <n v="3"/>
    <n v="41.099999999999994"/>
    <n v="10.299999999999999"/>
    <n v="7.1"/>
    <x v="3"/>
  </r>
  <r>
    <x v="930"/>
    <x v="930"/>
    <x v="2"/>
    <x v="2"/>
    <n v="53"/>
    <n v="667"/>
    <n v="580"/>
    <n v="304"/>
    <n v="804"/>
    <n v="804"/>
    <n v="1001"/>
    <n v="1001"/>
    <n v="70.2"/>
    <n v="36.5748441"/>
    <n v="139.23941790000001"/>
    <n v="19.7"/>
    <n v="20"/>
    <n v="42.1"/>
    <n v="0"/>
    <n v="19.7"/>
    <n v="0"/>
    <n v="0"/>
    <n v="7.0000000000000009"/>
    <x v="3"/>
  </r>
  <r>
    <x v="931"/>
    <x v="931"/>
    <x v="47"/>
    <x v="2"/>
    <n v="11"/>
    <n v="667"/>
    <n v="1001"/>
    <n v="304"/>
    <n v="800"/>
    <n v="1001"/>
    <n v="955"/>
    <n v="673"/>
    <n v="70.2"/>
    <n v="38.959759400000003"/>
    <n v="34.924965299999997"/>
    <n v="0"/>
    <n v="20"/>
    <n v="0"/>
    <n v="0"/>
    <n v="20.100000000000001"/>
    <n v="4.5999999999999996"/>
    <n v="32.800000000000004"/>
    <n v="6.9"/>
    <x v="3"/>
  </r>
  <r>
    <x v="932"/>
    <x v="932"/>
    <x v="5"/>
    <x v="1"/>
    <n v="54"/>
    <n v="467"/>
    <n v="632"/>
    <n v="99"/>
    <n v="1001"/>
    <n v="1001"/>
    <n v="1001"/>
    <n v="1001"/>
    <n v="70.2"/>
    <n v="46.603354000000003"/>
    <n v="1.8883335000000001"/>
    <n v="0"/>
    <n v="30.03003003003003"/>
    <n v="36.9"/>
    <n v="67.656765676567659"/>
    <n v="0"/>
    <n v="0"/>
    <n v="0"/>
    <n v="6.8000000000000007"/>
    <x v="3"/>
  </r>
  <r>
    <x v="933"/>
    <x v="933"/>
    <x v="0"/>
    <x v="0"/>
    <n v="200"/>
    <n v="667"/>
    <n v="1001"/>
    <n v="304"/>
    <n v="1001"/>
    <n v="1001"/>
    <n v="461"/>
    <n v="673"/>
    <n v="70.2"/>
    <n v="39.783730400000003"/>
    <n v="-100.445882"/>
    <n v="0"/>
    <n v="20"/>
    <n v="0"/>
    <n v="0"/>
    <n v="0"/>
    <n v="54"/>
    <n v="32.800000000000004"/>
    <n v="6.7"/>
    <x v="3"/>
  </r>
  <r>
    <x v="934"/>
    <x v="934"/>
    <x v="0"/>
    <x v="0"/>
    <n v="201"/>
    <n v="667"/>
    <n v="944"/>
    <n v="304"/>
    <n v="1001"/>
    <n v="975"/>
    <n v="689"/>
    <n v="541"/>
    <n v="70.2"/>
    <n v="39.783730400000003"/>
    <n v="-100.445882"/>
    <n v="2.6"/>
    <n v="20"/>
    <n v="5.7"/>
    <n v="0"/>
    <n v="0"/>
    <n v="31.2"/>
    <n v="46"/>
    <n v="6.6000000000000005"/>
    <x v="3"/>
  </r>
  <r>
    <x v="935"/>
    <x v="935"/>
    <x v="28"/>
    <x v="1"/>
    <n v="5"/>
    <n v="667"/>
    <n v="914"/>
    <n v="304"/>
    <n v="968"/>
    <n v="875"/>
    <n v="1001"/>
    <n v="673"/>
    <n v="70.2"/>
    <n v="52.865195999999997"/>
    <n v="-7.9794599000000002"/>
    <n v="12.6"/>
    <n v="20"/>
    <n v="8.6999999999999993"/>
    <n v="0"/>
    <n v="3.3000000000000003"/>
    <n v="0"/>
    <n v="32.800000000000004"/>
    <n v="6.5"/>
    <x v="3"/>
  </r>
  <r>
    <x v="936"/>
    <x v="936"/>
    <x v="20"/>
    <x v="1"/>
    <n v="9"/>
    <n v="667"/>
    <n v="534"/>
    <n v="304"/>
    <n v="973"/>
    <n v="806"/>
    <n v="1001"/>
    <n v="898"/>
    <n v="70.2"/>
    <n v="50.6402809"/>
    <n v="4.6667145000000003"/>
    <n v="19.5"/>
    <n v="20"/>
    <n v="46.7"/>
    <n v="0"/>
    <n v="2.8000000000000003"/>
    <n v="0"/>
    <n v="10.299999999999999"/>
    <n v="6.4"/>
    <x v="3"/>
  </r>
  <r>
    <x v="937"/>
    <x v="937"/>
    <x v="47"/>
    <x v="2"/>
    <n v="12"/>
    <n v="667"/>
    <n v="1001"/>
    <n v="304"/>
    <n v="707"/>
    <n v="1001"/>
    <n v="1001"/>
    <n v="898"/>
    <n v="70.2"/>
    <n v="38.959759400000003"/>
    <n v="34.924965299999997"/>
    <n v="0"/>
    <n v="20"/>
    <n v="0"/>
    <n v="0"/>
    <n v="29.4"/>
    <n v="0"/>
    <n v="10.299999999999999"/>
    <n v="6.3"/>
    <x v="3"/>
  </r>
  <r>
    <x v="938"/>
    <x v="938"/>
    <x v="0"/>
    <x v="0"/>
    <n v="202"/>
    <n v="667"/>
    <n v="1001"/>
    <n v="304"/>
    <n v="1001"/>
    <n v="850"/>
    <n v="672"/>
    <n v="898"/>
    <n v="70.099999999999994"/>
    <n v="39.783730400000003"/>
    <n v="-100.445882"/>
    <n v="15.1"/>
    <n v="20"/>
    <n v="0"/>
    <n v="0"/>
    <n v="0"/>
    <n v="32.9"/>
    <n v="10.299999999999999"/>
    <n v="6.2"/>
    <x v="3"/>
  </r>
  <r>
    <x v="939"/>
    <x v="939"/>
    <x v="16"/>
    <x v="1"/>
    <n v="36"/>
    <n v="667"/>
    <n v="1001"/>
    <n v="304"/>
    <n v="922"/>
    <n v="801"/>
    <n v="1001"/>
    <n v="898"/>
    <n v="70.099999999999994"/>
    <n v="39.326068499999998"/>
    <n v="-4.8379791000000001"/>
    <n v="20"/>
    <n v="20"/>
    <n v="0"/>
    <n v="0"/>
    <n v="7.9"/>
    <n v="0"/>
    <n v="10.299999999999999"/>
    <n v="6.1"/>
    <x v="3"/>
  </r>
  <r>
    <x v="940"/>
    <x v="940"/>
    <x v="17"/>
    <x v="2"/>
    <n v="97"/>
    <n v="667"/>
    <n v="1001"/>
    <n v="304"/>
    <n v="766"/>
    <n v="883"/>
    <n v="1001"/>
    <n v="1001"/>
    <n v="70.099999999999994"/>
    <n v="30.047992000000001"/>
    <n v="-94.335743300000004"/>
    <n v="11.799999999999999"/>
    <n v="20"/>
    <n v="0"/>
    <n v="0"/>
    <n v="23.5"/>
    <n v="0"/>
    <n v="0"/>
    <n v="6"/>
    <x v="3"/>
  </r>
  <r>
    <x v="941"/>
    <x v="941"/>
    <x v="5"/>
    <x v="1"/>
    <n v="55"/>
    <n v="298"/>
    <n v="47"/>
    <n v="304"/>
    <n v="1001"/>
    <n v="1001"/>
    <n v="1001"/>
    <n v="541"/>
    <n v="70.099999999999994"/>
    <n v="46.603354000000003"/>
    <n v="1.8883335000000001"/>
    <n v="0"/>
    <n v="55.405405405405403"/>
    <n v="95.399999999999991"/>
    <n v="0"/>
    <n v="0"/>
    <n v="0"/>
    <n v="46"/>
    <n v="5.8999999999999995"/>
    <x v="3"/>
  </r>
  <r>
    <x v="942"/>
    <x v="942"/>
    <x v="0"/>
    <x v="0"/>
    <n v="203"/>
    <n v="516"/>
    <n v="1001"/>
    <n v="275"/>
    <n v="1001"/>
    <n v="974"/>
    <n v="703"/>
    <n v="898"/>
    <n v="70.099999999999994"/>
    <n v="39.783730400000003"/>
    <n v="-100.445882"/>
    <n v="2.7"/>
    <n v="22.672672672672672"/>
    <n v="0"/>
    <n v="9.5709570957095718"/>
    <n v="0"/>
    <n v="29.799999999999997"/>
    <n v="10.299999999999999"/>
    <n v="5.8000000000000007"/>
    <x v="3"/>
  </r>
  <r>
    <x v="943"/>
    <x v="943"/>
    <x v="17"/>
    <x v="2"/>
    <n v="98"/>
    <n v="667"/>
    <n v="1001"/>
    <n v="304"/>
    <n v="852"/>
    <n v="857"/>
    <n v="1001"/>
    <n v="898"/>
    <n v="70.099999999999994"/>
    <n v="30.047992000000001"/>
    <n v="-94.335743300000004"/>
    <n v="14.399999999999999"/>
    <n v="20"/>
    <n v="0"/>
    <n v="0"/>
    <n v="14.899999999999999"/>
    <n v="0"/>
    <n v="10.299999999999999"/>
    <n v="5.7"/>
    <x v="3"/>
  </r>
  <r>
    <x v="944"/>
    <x v="944"/>
    <x v="17"/>
    <x v="2"/>
    <n v="99"/>
    <n v="605"/>
    <n v="1001"/>
    <n v="304"/>
    <n v="844"/>
    <n v="860"/>
    <n v="1001"/>
    <n v="898"/>
    <n v="70.099999999999994"/>
    <n v="30.047992000000001"/>
    <n v="-94.335743300000004"/>
    <n v="14.099999999999998"/>
    <n v="20"/>
    <n v="0"/>
    <n v="0"/>
    <n v="15.7"/>
    <n v="0"/>
    <n v="10.299999999999999"/>
    <n v="5.6000000000000005"/>
    <x v="3"/>
  </r>
  <r>
    <x v="945"/>
    <x v="945"/>
    <x v="8"/>
    <x v="1"/>
    <n v="53"/>
    <n v="667"/>
    <n v="1001"/>
    <n v="304"/>
    <n v="1001"/>
    <n v="969"/>
    <n v="817"/>
    <n v="460"/>
    <n v="70.099999999999994"/>
    <n v="40.420347900000003"/>
    <n v="-79.116698299999996"/>
    <n v="3.2"/>
    <n v="20"/>
    <n v="0"/>
    <n v="0"/>
    <n v="0"/>
    <n v="18.399999999999999"/>
    <n v="54.1"/>
    <n v="5.5"/>
    <x v="3"/>
  </r>
  <r>
    <x v="946"/>
    <x v="946"/>
    <x v="0"/>
    <x v="0"/>
    <n v="204"/>
    <n v="327"/>
    <n v="1001"/>
    <n v="304"/>
    <n v="1001"/>
    <n v="1001"/>
    <n v="744"/>
    <n v="541"/>
    <n v="70.099999999999994"/>
    <n v="39.783730400000003"/>
    <n v="-100.445882"/>
    <n v="0"/>
    <n v="51.051051051051054"/>
    <n v="0"/>
    <n v="0"/>
    <n v="0"/>
    <n v="25.7"/>
    <n v="46"/>
    <n v="5.4"/>
    <x v="3"/>
  </r>
  <r>
    <x v="947"/>
    <x v="947"/>
    <x v="39"/>
    <x v="1"/>
    <n v="6"/>
    <n v="667"/>
    <n v="1001"/>
    <n v="304"/>
    <n v="1001"/>
    <n v="1001"/>
    <n v="992"/>
    <n v="541"/>
    <n v="70.099999999999994"/>
    <n v="41.976762899999997"/>
    <n v="-72.778984199999996"/>
    <n v="0"/>
    <n v="20"/>
    <n v="0"/>
    <n v="0"/>
    <n v="0"/>
    <n v="0.89999999999999991"/>
    <n v="46"/>
    <n v="5.3"/>
    <x v="3"/>
  </r>
  <r>
    <x v="948"/>
    <x v="948"/>
    <x v="28"/>
    <x v="1"/>
    <n v="6"/>
    <n v="667"/>
    <n v="863"/>
    <n v="304"/>
    <n v="927"/>
    <n v="867"/>
    <n v="1001"/>
    <n v="898"/>
    <n v="70.099999999999994"/>
    <n v="52.865195999999997"/>
    <n v="-7.9794599000000002"/>
    <n v="13.4"/>
    <n v="20"/>
    <n v="13.8"/>
    <n v="0"/>
    <n v="7.3999999999999995"/>
    <n v="0"/>
    <n v="10.299999999999999"/>
    <n v="5.2"/>
    <x v="3"/>
  </r>
  <r>
    <x v="949"/>
    <x v="949"/>
    <x v="2"/>
    <x v="2"/>
    <n v="54"/>
    <n v="667"/>
    <n v="616"/>
    <n v="304"/>
    <n v="932"/>
    <n v="1001"/>
    <n v="984"/>
    <n v="673"/>
    <n v="70.099999999999994"/>
    <n v="36.5748441"/>
    <n v="139.23941790000001"/>
    <n v="0"/>
    <n v="20"/>
    <n v="38.5"/>
    <n v="0"/>
    <n v="6.9"/>
    <n v="1.7000000000000002"/>
    <n v="32.800000000000004"/>
    <n v="5.0999999999999996"/>
    <x v="3"/>
  </r>
  <r>
    <x v="950"/>
    <x v="950"/>
    <x v="5"/>
    <x v="1"/>
    <n v="56"/>
    <n v="296"/>
    <n v="60"/>
    <n v="168"/>
    <n v="1001"/>
    <n v="1001"/>
    <n v="1001"/>
    <n v="898"/>
    <n v="70.099999999999994"/>
    <n v="46.603354000000003"/>
    <n v="1.8883335000000001"/>
    <n v="0"/>
    <n v="55.705705705705711"/>
    <n v="94.1"/>
    <n v="44.884488448844884"/>
    <n v="0"/>
    <n v="0"/>
    <n v="10.299999999999999"/>
    <n v="5"/>
    <x v="3"/>
  </r>
  <r>
    <x v="951"/>
    <x v="951"/>
    <x v="3"/>
    <x v="0"/>
    <n v="28"/>
    <n v="667"/>
    <n v="167"/>
    <n v="304"/>
    <n v="933"/>
    <n v="849"/>
    <n v="1001"/>
    <n v="1001"/>
    <n v="70.099999999999994"/>
    <n v="61.066692199999999"/>
    <n v="-107.99170700000001"/>
    <n v="15.2"/>
    <n v="20"/>
    <n v="83.399999999999991"/>
    <n v="0"/>
    <n v="6.8000000000000007"/>
    <n v="0"/>
    <n v="0"/>
    <n v="4.9000000000000004"/>
    <x v="3"/>
  </r>
  <r>
    <x v="952"/>
    <x v="952"/>
    <x v="2"/>
    <x v="2"/>
    <n v="55"/>
    <n v="667"/>
    <n v="1001"/>
    <n v="304"/>
    <n v="929"/>
    <n v="966"/>
    <n v="1001"/>
    <n v="673"/>
    <n v="70.099999999999994"/>
    <n v="36.5748441"/>
    <n v="139.23941790000001"/>
    <n v="3.5000000000000004"/>
    <n v="20"/>
    <n v="0"/>
    <n v="0"/>
    <n v="7.1999999999999993"/>
    <n v="0"/>
    <n v="32.800000000000004"/>
    <n v="4.8"/>
    <x v="3"/>
  </r>
  <r>
    <x v="953"/>
    <x v="953"/>
    <x v="31"/>
    <x v="1"/>
    <n v="10"/>
    <n v="667"/>
    <n v="1001"/>
    <n v="304"/>
    <n v="778"/>
    <n v="953"/>
    <n v="796"/>
    <n v="1001"/>
    <n v="70.099999999999994"/>
    <n v="52.215933"/>
    <n v="19.134422000000001"/>
    <n v="4.8"/>
    <n v="20"/>
    <n v="0"/>
    <n v="0"/>
    <n v="22.3"/>
    <n v="20.5"/>
    <n v="0"/>
    <n v="4.7"/>
    <x v="3"/>
  </r>
  <r>
    <x v="954"/>
    <x v="954"/>
    <x v="17"/>
    <x v="2"/>
    <n v="100"/>
    <n v="667"/>
    <n v="1001"/>
    <n v="304"/>
    <n v="679"/>
    <n v="892"/>
    <n v="1001"/>
    <n v="1001"/>
    <n v="70"/>
    <n v="30.047992000000001"/>
    <n v="-94.335743300000004"/>
    <n v="10.9"/>
    <n v="20"/>
    <n v="0"/>
    <n v="0"/>
    <n v="32.200000000000003"/>
    <n v="0"/>
    <n v="0"/>
    <n v="4.5999999999999996"/>
    <x v="3"/>
  </r>
  <r>
    <x v="955"/>
    <x v="955"/>
    <x v="16"/>
    <x v="1"/>
    <n v="37"/>
    <n v="667"/>
    <n v="1001"/>
    <n v="304"/>
    <n v="914"/>
    <n v="898"/>
    <n v="1001"/>
    <n v="898"/>
    <n v="70"/>
    <n v="39.326068499999998"/>
    <n v="-4.8379791000000001"/>
    <n v="10.299999999999999"/>
    <n v="20"/>
    <n v="0"/>
    <n v="0"/>
    <n v="8.6999999999999993"/>
    <n v="0"/>
    <n v="10.299999999999999"/>
    <n v="4.5"/>
    <x v="3"/>
  </r>
  <r>
    <x v="956"/>
    <x v="956"/>
    <x v="28"/>
    <x v="1"/>
    <n v="7"/>
    <n v="667"/>
    <n v="1001"/>
    <n v="304"/>
    <n v="1001"/>
    <n v="925"/>
    <n v="667"/>
    <n v="673"/>
    <n v="70"/>
    <n v="52.865195999999997"/>
    <n v="-7.9794599000000002"/>
    <n v="7.6"/>
    <n v="20"/>
    <n v="0"/>
    <n v="0"/>
    <n v="0"/>
    <n v="33.4"/>
    <n v="32.800000000000004"/>
    <n v="4.3999999999999995"/>
    <x v="3"/>
  </r>
  <r>
    <x v="957"/>
    <x v="957"/>
    <x v="8"/>
    <x v="1"/>
    <n v="54"/>
    <n v="667"/>
    <n v="1001"/>
    <n v="304"/>
    <n v="1001"/>
    <n v="931"/>
    <n v="714"/>
    <n v="673"/>
    <n v="70"/>
    <n v="40.420347900000003"/>
    <n v="-79.116698299999996"/>
    <n v="7.0000000000000009"/>
    <n v="20"/>
    <n v="0"/>
    <n v="0"/>
    <n v="0"/>
    <n v="28.7"/>
    <n v="32.800000000000004"/>
    <n v="4.3"/>
    <x v="3"/>
  </r>
  <r>
    <x v="958"/>
    <x v="958"/>
    <x v="5"/>
    <x v="1"/>
    <n v="57"/>
    <n v="272"/>
    <n v="1001"/>
    <n v="304"/>
    <n v="1001"/>
    <n v="1001"/>
    <n v="726"/>
    <n v="541"/>
    <n v="70"/>
    <n v="46.603354000000003"/>
    <n v="1.8883335000000001"/>
    <n v="0"/>
    <n v="59.309309309309313"/>
    <n v="0"/>
    <n v="0"/>
    <n v="0"/>
    <n v="27.500000000000004"/>
    <n v="46"/>
    <n v="4.2"/>
    <x v="3"/>
  </r>
  <r>
    <x v="959"/>
    <x v="959"/>
    <x v="17"/>
    <x v="2"/>
    <n v="101"/>
    <n v="667"/>
    <n v="1001"/>
    <n v="304"/>
    <n v="722"/>
    <n v="886"/>
    <n v="1001"/>
    <n v="1001"/>
    <n v="70"/>
    <n v="30.047992000000001"/>
    <n v="-94.335743300000004"/>
    <n v="11.5"/>
    <n v="20"/>
    <n v="0"/>
    <n v="0"/>
    <n v="27.900000000000002"/>
    <n v="0"/>
    <n v="0"/>
    <n v="4.1000000000000005"/>
    <x v="3"/>
  </r>
  <r>
    <x v="960"/>
    <x v="960"/>
    <x v="11"/>
    <x v="2"/>
    <n v="34"/>
    <n v="667"/>
    <n v="653"/>
    <n v="304"/>
    <n v="838"/>
    <n v="885"/>
    <n v="978"/>
    <n v="1001"/>
    <n v="70"/>
    <n v="36.638392000000003"/>
    <n v="127.69611879999999"/>
    <n v="11.600000000000001"/>
    <n v="20"/>
    <n v="34.799999999999997"/>
    <n v="0"/>
    <n v="16.3"/>
    <n v="2.2999999999999998"/>
    <n v="0"/>
    <n v="4"/>
    <x v="3"/>
  </r>
  <r>
    <x v="961"/>
    <x v="961"/>
    <x v="0"/>
    <x v="0"/>
    <n v="205"/>
    <n v="667"/>
    <n v="500"/>
    <n v="304"/>
    <n v="918"/>
    <n v="831"/>
    <n v="899"/>
    <n v="1001"/>
    <n v="70"/>
    <n v="39.783730400000003"/>
    <n v="-100.445882"/>
    <n v="17"/>
    <n v="20"/>
    <n v="50.1"/>
    <n v="0"/>
    <n v="8.3000000000000007"/>
    <n v="10.199999999999999"/>
    <n v="0"/>
    <n v="3.9"/>
    <x v="3"/>
  </r>
  <r>
    <x v="962"/>
    <x v="962"/>
    <x v="0"/>
    <x v="0"/>
    <n v="206"/>
    <n v="395"/>
    <n v="1001"/>
    <n v="304"/>
    <n v="1001"/>
    <n v="884"/>
    <n v="702"/>
    <n v="898"/>
    <n v="70"/>
    <n v="39.783730400000003"/>
    <n v="-100.445882"/>
    <n v="11.700000000000001"/>
    <n v="40.840840840840841"/>
    <n v="0"/>
    <n v="0"/>
    <n v="0"/>
    <n v="29.9"/>
    <n v="10.299999999999999"/>
    <n v="3.8"/>
    <x v="3"/>
  </r>
  <r>
    <x v="963"/>
    <x v="963"/>
    <x v="27"/>
    <x v="5"/>
    <n v="7"/>
    <n v="591"/>
    <n v="1001"/>
    <n v="304"/>
    <n v="823"/>
    <n v="1001"/>
    <n v="681"/>
    <n v="1001"/>
    <n v="70"/>
    <n v="-28.8166236"/>
    <n v="24.991638999999999"/>
    <n v="0"/>
    <n v="20"/>
    <n v="0"/>
    <n v="0"/>
    <n v="17.8"/>
    <n v="32"/>
    <n v="0"/>
    <n v="3.6999999999999997"/>
    <x v="3"/>
  </r>
  <r>
    <x v="964"/>
    <x v="964"/>
    <x v="17"/>
    <x v="2"/>
    <n v="102"/>
    <n v="667"/>
    <n v="1001"/>
    <n v="304"/>
    <n v="765"/>
    <n v="837"/>
    <n v="1001"/>
    <n v="1001"/>
    <n v="70"/>
    <n v="30.047992000000001"/>
    <n v="-94.335743300000004"/>
    <n v="16.400000000000002"/>
    <n v="20"/>
    <n v="0"/>
    <n v="0"/>
    <n v="23.599999999999998"/>
    <n v="0"/>
    <n v="0"/>
    <n v="3.5999999999999996"/>
    <x v="3"/>
  </r>
  <r>
    <x v="965"/>
    <x v="965"/>
    <x v="38"/>
    <x v="2"/>
    <n v="11"/>
    <n v="667"/>
    <n v="1001"/>
    <n v="304"/>
    <n v="644"/>
    <n v="1001"/>
    <n v="949"/>
    <n v="1001"/>
    <n v="70"/>
    <n v="2.9368696000000001"/>
    <n v="115.4443356"/>
    <n v="0"/>
    <n v="20"/>
    <n v="0"/>
    <n v="0"/>
    <n v="35.699999999999996"/>
    <n v="5.2"/>
    <n v="0"/>
    <n v="3.5000000000000004"/>
    <x v="3"/>
  </r>
  <r>
    <x v="966"/>
    <x v="966"/>
    <x v="21"/>
    <x v="2"/>
    <n v="16"/>
    <n v="667"/>
    <n v="893"/>
    <n v="304"/>
    <n v="930"/>
    <n v="911"/>
    <n v="1001"/>
    <n v="898"/>
    <n v="70"/>
    <n v="23.598322700000001"/>
    <s v="120.83537694479215"/>
    <n v="9"/>
    <n v="20"/>
    <n v="10.8"/>
    <n v="0"/>
    <n v="7.1"/>
    <n v="0"/>
    <n v="10.299999999999999"/>
    <n v="3.4000000000000004"/>
    <x v="3"/>
  </r>
  <r>
    <x v="967"/>
    <x v="967"/>
    <x v="5"/>
    <x v="1"/>
    <n v="58"/>
    <n v="667"/>
    <n v="659"/>
    <n v="304"/>
    <n v="1001"/>
    <n v="871"/>
    <n v="777"/>
    <n v="898"/>
    <n v="70"/>
    <n v="46.603354000000003"/>
    <n v="1.8883335000000001"/>
    <n v="13"/>
    <n v="20"/>
    <n v="34.200000000000003"/>
    <n v="0"/>
    <n v="0"/>
    <n v="22.400000000000002"/>
    <n v="10.299999999999999"/>
    <n v="3.3000000000000003"/>
    <x v="3"/>
  </r>
  <r>
    <x v="968"/>
    <x v="968"/>
    <x v="51"/>
    <x v="4"/>
    <n v="3"/>
    <n v="667"/>
    <n v="1001"/>
    <n v="304"/>
    <n v="936"/>
    <n v="1001"/>
    <n v="783"/>
    <n v="898"/>
    <n v="70"/>
    <n v="4.0999169999999996"/>
    <n v="-72.908813300000006"/>
    <n v="0"/>
    <n v="20"/>
    <n v="0"/>
    <n v="0"/>
    <n v="6.5"/>
    <n v="21.8"/>
    <n v="10.299999999999999"/>
    <n v="3.2"/>
    <x v="3"/>
  </r>
  <r>
    <x v="969"/>
    <x v="969"/>
    <x v="17"/>
    <x v="2"/>
    <n v="103"/>
    <n v="667"/>
    <n v="1001"/>
    <n v="304"/>
    <n v="1001"/>
    <n v="1001"/>
    <n v="814"/>
    <n v="673"/>
    <n v="70"/>
    <n v="30.047992000000001"/>
    <n v="-94.335743300000004"/>
    <n v="0"/>
    <n v="20"/>
    <n v="0"/>
    <n v="0"/>
    <n v="0"/>
    <n v="18.7"/>
    <n v="32.800000000000004"/>
    <n v="3.1"/>
    <x v="3"/>
  </r>
  <r>
    <x v="970"/>
    <x v="970"/>
    <x v="21"/>
    <x v="2"/>
    <n v="17"/>
    <n v="460"/>
    <n v="526"/>
    <n v="304"/>
    <n v="924"/>
    <n v="891"/>
    <n v="1001"/>
    <n v="898"/>
    <n v="69.900000000000006"/>
    <n v="23.598322700000001"/>
    <s v="120.83537694479215"/>
    <n v="11"/>
    <n v="31.081081081081081"/>
    <n v="47.5"/>
    <n v="0"/>
    <n v="7.7"/>
    <n v="0"/>
    <n v="10.299999999999999"/>
    <n v="3"/>
    <x v="3"/>
  </r>
  <r>
    <x v="971"/>
    <x v="971"/>
    <x v="17"/>
    <x v="2"/>
    <n v="104"/>
    <n v="667"/>
    <n v="1001"/>
    <n v="304"/>
    <n v="864"/>
    <n v="913"/>
    <n v="880"/>
    <n v="1001"/>
    <n v="69.900000000000006"/>
    <n v="30.047992000000001"/>
    <n v="-94.335743300000004"/>
    <n v="8.7999999999999989"/>
    <n v="20"/>
    <n v="0"/>
    <n v="0"/>
    <n v="13.700000000000001"/>
    <n v="12.1"/>
    <n v="0"/>
    <n v="2.9000000000000004"/>
    <x v="3"/>
  </r>
  <r>
    <x v="972"/>
    <x v="972"/>
    <x v="0"/>
    <x v="0"/>
    <n v="207"/>
    <n v="21"/>
    <n v="66"/>
    <n v="304"/>
    <n v="1001"/>
    <n v="1001"/>
    <n v="983"/>
    <n v="1001"/>
    <n v="69.900000000000006"/>
    <n v="39.783730400000003"/>
    <n v="-100.445882"/>
    <n v="0"/>
    <n v="96.996996996996998"/>
    <n v="93.5"/>
    <n v="0"/>
    <n v="0"/>
    <n v="1.7999999999999998"/>
    <n v="0"/>
    <n v="2.8000000000000003"/>
    <x v="3"/>
  </r>
  <r>
    <x v="973"/>
    <x v="973"/>
    <x v="17"/>
    <x v="2"/>
    <n v="105"/>
    <n v="667"/>
    <n v="1001"/>
    <n v="304"/>
    <n v="867"/>
    <n v="951"/>
    <n v="759"/>
    <n v="1001"/>
    <n v="69.900000000000006"/>
    <n v="30.047992000000001"/>
    <n v="-94.335743300000004"/>
    <n v="5"/>
    <n v="20"/>
    <n v="0"/>
    <n v="0"/>
    <n v="13.4"/>
    <n v="24.2"/>
    <n v="0"/>
    <n v="2.7"/>
    <x v="3"/>
  </r>
  <r>
    <x v="974"/>
    <x v="974"/>
    <x v="24"/>
    <x v="1"/>
    <n v="11"/>
    <n v="667"/>
    <n v="1001"/>
    <n v="304"/>
    <n v="947"/>
    <n v="853"/>
    <n v="825"/>
    <n v="1001"/>
    <n v="69.900000000000006"/>
    <n v="47.593969999999999"/>
    <n v="14.124560000000001"/>
    <n v="14.799999999999999"/>
    <n v="20"/>
    <n v="0"/>
    <n v="0"/>
    <n v="5.4"/>
    <n v="17.599999999999998"/>
    <n v="0"/>
    <n v="2.6"/>
    <x v="3"/>
  </r>
  <r>
    <x v="975"/>
    <x v="975"/>
    <x v="0"/>
    <x v="0"/>
    <n v="208"/>
    <n v="667"/>
    <n v="1001"/>
    <n v="304"/>
    <n v="1001"/>
    <n v="913"/>
    <n v="719"/>
    <n v="898"/>
    <n v="69.900000000000006"/>
    <n v="39.783730400000003"/>
    <n v="-100.445882"/>
    <n v="8.7999999999999989"/>
    <n v="20"/>
    <n v="0"/>
    <n v="0"/>
    <n v="0"/>
    <n v="28.199999999999996"/>
    <n v="10.299999999999999"/>
    <n v="2.5"/>
    <x v="3"/>
  </r>
  <r>
    <x v="976"/>
    <x v="976"/>
    <x v="0"/>
    <x v="0"/>
    <n v="209"/>
    <n v="667"/>
    <n v="392"/>
    <n v="304"/>
    <n v="916"/>
    <n v="827"/>
    <n v="1001"/>
    <n v="1001"/>
    <n v="69.900000000000006"/>
    <n v="39.783730400000003"/>
    <n v="-100.445882"/>
    <n v="17.399999999999999"/>
    <n v="20"/>
    <n v="60.9"/>
    <n v="0"/>
    <n v="8.5"/>
    <n v="0"/>
    <n v="0"/>
    <n v="2.4"/>
    <x v="3"/>
  </r>
  <r>
    <x v="977"/>
    <x v="977"/>
    <x v="37"/>
    <x v="1"/>
    <n v="2"/>
    <n v="667"/>
    <n v="1001"/>
    <n v="304"/>
    <n v="871"/>
    <n v="1001"/>
    <n v="1001"/>
    <n v="898"/>
    <n v="69.900000000000006"/>
    <n v="46.119944400000001"/>
    <n v="14.815333300000001"/>
    <n v="0"/>
    <n v="20"/>
    <n v="0"/>
    <n v="0"/>
    <n v="13"/>
    <n v="0"/>
    <n v="10.299999999999999"/>
    <n v="2.2999999999999998"/>
    <x v="3"/>
  </r>
  <r>
    <x v="978"/>
    <x v="978"/>
    <x v="47"/>
    <x v="2"/>
    <n v="13"/>
    <n v="667"/>
    <n v="1001"/>
    <n v="304"/>
    <n v="674"/>
    <n v="1001"/>
    <n v="1001"/>
    <n v="898"/>
    <n v="69.900000000000006"/>
    <n v="38.959759400000003"/>
    <n v="34.924965299999997"/>
    <n v="0"/>
    <n v="20"/>
    <n v="0"/>
    <n v="0"/>
    <n v="32.700000000000003"/>
    <n v="0"/>
    <n v="10.299999999999999"/>
    <n v="2.1999999999999997"/>
    <x v="3"/>
  </r>
  <r>
    <x v="979"/>
    <x v="979"/>
    <x v="0"/>
    <x v="0"/>
    <n v="210"/>
    <n v="667"/>
    <n v="1001"/>
    <n v="304"/>
    <n v="1001"/>
    <n v="1001"/>
    <n v="792"/>
    <n v="327"/>
    <n v="69.900000000000006"/>
    <n v="39.783730400000003"/>
    <n v="-100.445882"/>
    <n v="0"/>
    <n v="20"/>
    <n v="0"/>
    <n v="0"/>
    <n v="0"/>
    <n v="20.9"/>
    <n v="67.400000000000006"/>
    <n v="2.1"/>
    <x v="3"/>
  </r>
  <r>
    <x v="980"/>
    <x v="980"/>
    <x v="0"/>
    <x v="0"/>
    <n v="211"/>
    <n v="667"/>
    <n v="1001"/>
    <n v="304"/>
    <n v="1001"/>
    <n v="938"/>
    <n v="1001"/>
    <n v="673"/>
    <n v="69.900000000000006"/>
    <n v="39.783730400000003"/>
    <n v="-100.445882"/>
    <n v="6.3"/>
    <n v="20"/>
    <n v="0"/>
    <n v="0"/>
    <n v="0"/>
    <n v="0"/>
    <n v="32.800000000000004"/>
    <n v="2"/>
    <x v="3"/>
  </r>
  <r>
    <x v="981"/>
    <x v="981"/>
    <x v="17"/>
    <x v="2"/>
    <n v="106"/>
    <n v="667"/>
    <n v="1001"/>
    <n v="304"/>
    <n v="837"/>
    <n v="840"/>
    <n v="1001"/>
    <n v="1001"/>
    <n v="69.900000000000006"/>
    <n v="30.047992000000001"/>
    <n v="-94.335743300000004"/>
    <n v="16.100000000000001"/>
    <n v="20"/>
    <n v="0"/>
    <n v="0"/>
    <n v="16.400000000000002"/>
    <n v="0"/>
    <n v="0"/>
    <n v="1.9"/>
    <x v="3"/>
  </r>
  <r>
    <x v="982"/>
    <x v="982"/>
    <x v="1"/>
    <x v="1"/>
    <n v="60"/>
    <n v="667"/>
    <n v="1001"/>
    <n v="304"/>
    <n v="1001"/>
    <n v="920"/>
    <n v="508"/>
    <n v="898"/>
    <n v="69.900000000000006"/>
    <n v="54.702354499999998"/>
    <n v="-3.2765753000000002"/>
    <n v="8.1"/>
    <n v="20"/>
    <n v="0"/>
    <n v="0"/>
    <n v="0"/>
    <n v="49.3"/>
    <n v="10.299999999999999"/>
    <n v="1.7999999999999998"/>
    <x v="3"/>
  </r>
  <r>
    <x v="983"/>
    <x v="983"/>
    <x v="1"/>
    <x v="1"/>
    <n v="61"/>
    <n v="667"/>
    <n v="1001"/>
    <n v="304"/>
    <n v="1001"/>
    <n v="873"/>
    <n v="727"/>
    <n v="1001"/>
    <n v="69.900000000000006"/>
    <n v="54.702354499999998"/>
    <n v="-3.2765753000000002"/>
    <n v="12.8"/>
    <n v="20"/>
    <n v="0"/>
    <n v="0"/>
    <n v="0"/>
    <n v="27.400000000000002"/>
    <n v="0"/>
    <n v="1.7000000000000002"/>
    <x v="3"/>
  </r>
  <r>
    <x v="984"/>
    <x v="984"/>
    <x v="15"/>
    <x v="4"/>
    <n v="20"/>
    <n v="602"/>
    <n v="1001"/>
    <n v="304"/>
    <n v="793"/>
    <n v="981"/>
    <n v="985"/>
    <n v="1001"/>
    <n v="69.900000000000006"/>
    <n v="-10.3333333"/>
    <n v="-53.2"/>
    <n v="2"/>
    <n v="20"/>
    <n v="0"/>
    <n v="0"/>
    <n v="20.8"/>
    <n v="1.6"/>
    <n v="0"/>
    <n v="1.6"/>
    <x v="3"/>
  </r>
  <r>
    <x v="985"/>
    <x v="985"/>
    <x v="4"/>
    <x v="1"/>
    <n v="9"/>
    <n v="667"/>
    <n v="32"/>
    <n v="304"/>
    <n v="1001"/>
    <n v="1001"/>
    <n v="1001"/>
    <n v="898"/>
    <n v="69.900000000000006"/>
    <n v="46.798562400000002"/>
    <n v="8.2319735999999999"/>
    <n v="0"/>
    <n v="20"/>
    <n v="96.899999999999991"/>
    <n v="0"/>
    <n v="0"/>
    <n v="0"/>
    <n v="10.299999999999999"/>
    <n v="1.5"/>
    <x v="3"/>
  </r>
  <r>
    <x v="986"/>
    <x v="986"/>
    <x v="17"/>
    <x v="2"/>
    <n v="107"/>
    <n v="667"/>
    <n v="915"/>
    <n v="304"/>
    <n v="861"/>
    <n v="818"/>
    <n v="1001"/>
    <n v="1001"/>
    <n v="69.8"/>
    <n v="30.047992000000001"/>
    <n v="-94.335743300000004"/>
    <n v="18.3"/>
    <n v="20"/>
    <n v="8.6"/>
    <n v="0"/>
    <n v="14.000000000000002"/>
    <n v="0"/>
    <n v="0"/>
    <n v="1.4000000000000001"/>
    <x v="3"/>
  </r>
  <r>
    <x v="987"/>
    <x v="987"/>
    <x v="1"/>
    <x v="1"/>
    <n v="62"/>
    <n v="667"/>
    <n v="960"/>
    <n v="304"/>
    <n v="1001"/>
    <n v="1001"/>
    <n v="856"/>
    <n v="673"/>
    <n v="69.8"/>
    <n v="54.702354499999998"/>
    <n v="-3.2765753000000002"/>
    <n v="0"/>
    <n v="20"/>
    <n v="4.1000000000000005"/>
    <n v="0"/>
    <n v="0"/>
    <n v="14.499999999999998"/>
    <n v="32.800000000000004"/>
    <n v="1.3"/>
    <x v="3"/>
  </r>
  <r>
    <x v="988"/>
    <x v="988"/>
    <x v="16"/>
    <x v="1"/>
    <n v="38"/>
    <n v="667"/>
    <n v="1001"/>
    <n v="304"/>
    <n v="847"/>
    <n v="832"/>
    <n v="1001"/>
    <n v="1001"/>
    <n v="69.8"/>
    <n v="39.326068499999998"/>
    <n v="-4.8379791000000001"/>
    <n v="16.900000000000002"/>
    <n v="20"/>
    <n v="0"/>
    <n v="0"/>
    <n v="15.4"/>
    <n v="0"/>
    <n v="0"/>
    <n v="1.2"/>
    <x v="3"/>
  </r>
  <r>
    <x v="989"/>
    <x v="989"/>
    <x v="44"/>
    <x v="2"/>
    <n v="4"/>
    <n v="667"/>
    <n v="1001"/>
    <n v="304"/>
    <n v="879"/>
    <n v="1001"/>
    <n v="1001"/>
    <n v="898"/>
    <n v="69.8"/>
    <n v="13.03876215"/>
    <s v="101.70017611907599"/>
    <n v="0"/>
    <n v="20"/>
    <n v="0"/>
    <n v="0"/>
    <n v="12.2"/>
    <n v="0"/>
    <n v="10.299999999999999"/>
    <n v="1.0999999999999999"/>
    <x v="3"/>
  </r>
  <r>
    <x v="990"/>
    <x v="990"/>
    <x v="59"/>
    <x v="5"/>
    <n v="1"/>
    <n v="540"/>
    <n v="1001"/>
    <n v="265"/>
    <n v="1001"/>
    <n v="1001"/>
    <n v="774"/>
    <n v="898"/>
    <n v="69.8"/>
    <n v="9.6000359"/>
    <n v="7.9999720999999999"/>
    <n v="0"/>
    <n v="20"/>
    <n v="0"/>
    <n v="12.871287128712872"/>
    <n v="0"/>
    <n v="22.7"/>
    <n v="10.299999999999999"/>
    <n v="1"/>
    <x v="3"/>
  </r>
  <r>
    <x v="991"/>
    <x v="991"/>
    <x v="38"/>
    <x v="2"/>
    <n v="12"/>
    <n v="667"/>
    <n v="1001"/>
    <n v="304"/>
    <n v="815"/>
    <n v="1001"/>
    <n v="1001"/>
    <n v="673"/>
    <n v="69.8"/>
    <n v="2.9368696000000001"/>
    <n v="115.4443356"/>
    <n v="0"/>
    <n v="20"/>
    <n v="0"/>
    <n v="0"/>
    <n v="18.600000000000001"/>
    <n v="0"/>
    <n v="32.800000000000004"/>
    <n v="0.89999999999999991"/>
    <x v="3"/>
  </r>
  <r>
    <x v="992"/>
    <x v="992"/>
    <x v="0"/>
    <x v="0"/>
    <n v="212"/>
    <n v="667"/>
    <n v="930"/>
    <n v="304"/>
    <n v="1001"/>
    <n v="989"/>
    <n v="1001"/>
    <n v="541"/>
    <n v="69.8"/>
    <n v="39.783730400000003"/>
    <n v="-100.445882"/>
    <n v="1.2"/>
    <n v="20"/>
    <n v="7.1"/>
    <n v="0"/>
    <n v="0"/>
    <n v="0"/>
    <n v="46"/>
    <n v="0.8"/>
    <x v="3"/>
  </r>
  <r>
    <x v="993"/>
    <x v="993"/>
    <x v="0"/>
    <x v="0"/>
    <n v="213"/>
    <n v="180"/>
    <n v="1001"/>
    <n v="304"/>
    <n v="1001"/>
    <n v="949"/>
    <n v="890"/>
    <n v="898"/>
    <n v="69.8"/>
    <n v="39.783730400000003"/>
    <n v="-100.445882"/>
    <n v="5.2"/>
    <n v="73.123123123123122"/>
    <n v="0"/>
    <n v="0"/>
    <n v="0"/>
    <n v="11.1"/>
    <n v="10.299999999999999"/>
    <n v="0.70000000000000007"/>
    <x v="3"/>
  </r>
  <r>
    <x v="994"/>
    <x v="994"/>
    <x v="60"/>
    <x v="2"/>
    <n v="1"/>
    <n v="667"/>
    <n v="512"/>
    <n v="304"/>
    <n v="883"/>
    <n v="816"/>
    <n v="1001"/>
    <n v="1001"/>
    <n v="69.8"/>
    <n v="22.189944799999999"/>
    <n v="113.5380454"/>
    <n v="18.5"/>
    <n v="20"/>
    <n v="48.9"/>
    <n v="0"/>
    <n v="11.799999999999999"/>
    <n v="0"/>
    <n v="0"/>
    <n v="0.6"/>
    <x v="3"/>
  </r>
  <r>
    <x v="995"/>
    <x v="995"/>
    <x v="54"/>
    <x v="2"/>
    <n v="3"/>
    <n v="667"/>
    <n v="1001"/>
    <n v="304"/>
    <n v="1001"/>
    <n v="1001"/>
    <n v="464"/>
    <n v="673"/>
    <n v="69.8"/>
    <n v="30.3308401"/>
    <n v="71.247499000000005"/>
    <n v="0"/>
    <n v="20"/>
    <n v="0"/>
    <n v="0"/>
    <n v="0"/>
    <n v="53.7"/>
    <n v="32.800000000000004"/>
    <n v="0.5"/>
    <x v="3"/>
  </r>
  <r>
    <x v="996"/>
    <x v="996"/>
    <x v="40"/>
    <x v="2"/>
    <n v="17"/>
    <n v="353"/>
    <n v="716"/>
    <n v="296"/>
    <n v="798"/>
    <n v="966"/>
    <n v="1001"/>
    <n v="1001"/>
    <n v="69.8"/>
    <n v="22.351114800000001"/>
    <n v="78.667742799999999"/>
    <n v="3.5000000000000004"/>
    <n v="47.147147147147145"/>
    <n v="28.499999999999996"/>
    <n v="2.6402640264026402"/>
    <n v="20.3"/>
    <n v="0"/>
    <n v="0"/>
    <n v="0.4"/>
    <x v="3"/>
  </r>
  <r>
    <x v="997"/>
    <x v="997"/>
    <x v="2"/>
    <x v="2"/>
    <n v="56"/>
    <n v="667"/>
    <n v="1001"/>
    <n v="304"/>
    <n v="1001"/>
    <n v="1001"/>
    <n v="811"/>
    <n v="673"/>
    <n v="69.8"/>
    <n v="36.5748441"/>
    <n v="139.23941790000001"/>
    <n v="0"/>
    <n v="20"/>
    <n v="0"/>
    <n v="0"/>
    <n v="0"/>
    <n v="19"/>
    <n v="32.800000000000004"/>
    <n v="0.3"/>
    <x v="3"/>
  </r>
  <r>
    <x v="998"/>
    <x v="998"/>
    <x v="11"/>
    <x v="2"/>
    <n v="35"/>
    <n v="667"/>
    <n v="1001"/>
    <n v="304"/>
    <n v="881"/>
    <n v="1001"/>
    <n v="1001"/>
    <n v="898"/>
    <n v="69.8"/>
    <n v="36.638392000000003"/>
    <n v="127.69611879999999"/>
    <n v="0"/>
    <n v="20"/>
    <n v="0"/>
    <n v="0"/>
    <n v="12"/>
    <n v="0"/>
    <n v="10.299999999999999"/>
    <n v="0.2"/>
    <x v="3"/>
  </r>
  <r>
    <x v="999"/>
    <x v="999"/>
    <x v="17"/>
    <x v="2"/>
    <n v="108"/>
    <n v="667"/>
    <n v="869"/>
    <n v="304"/>
    <n v="923"/>
    <n v="904"/>
    <n v="889"/>
    <n v="1001"/>
    <n v="69.8"/>
    <n v="30.047992000000001"/>
    <n v="-94.335743300000004"/>
    <n v="9.7000000000000011"/>
    <n v="20"/>
    <n v="13.200000000000001"/>
    <n v="0"/>
    <n v="7.8"/>
    <n v="11.200000000000001"/>
    <n v="0"/>
    <n v="0.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F58100-73BF-2448-8980-9C3B67CD450E}"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Country">
  <location ref="I3:J9" firstHeaderRow="1" firstDataRow="1" firstDataCol="1"/>
  <pivotFields count="24">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ascending">
      <items count="7">
        <item x="4"/>
        <item x="3"/>
        <item x="0"/>
        <item x="1"/>
        <item x="2"/>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numFmtId="2" showAll="0"/>
    <pivotField numFmtId="2" showAll="0"/>
    <pivotField showAll="0"/>
    <pivotField showAll="0"/>
    <pivotField showAll="0"/>
    <pivotField showAll="0"/>
    <pivotField showAll="0"/>
    <pivotField showAll="0"/>
    <pivotField showAll="0">
      <items count="5">
        <item x="0"/>
        <item x="1"/>
        <item x="2"/>
        <item x="3"/>
        <item t="default"/>
      </items>
    </pivotField>
  </pivotFields>
  <rowFields count="1">
    <field x="3"/>
  </rowFields>
  <rowItems count="6">
    <i>
      <x/>
    </i>
    <i>
      <x v="5"/>
    </i>
    <i>
      <x v="4"/>
    </i>
    <i>
      <x v="3"/>
    </i>
    <i>
      <x v="1"/>
    </i>
    <i>
      <x v="2"/>
    </i>
  </rowItems>
  <colItems count="1">
    <i/>
  </colItems>
  <dataFields count="1">
    <dataField name="Average of Score" fld="12" subtotal="average"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C41A24-0D73-D345-8FC8-B48CD387D93A}" name="PivotTable6"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T4:V8" firstHeaderRow="0" firstDataRow="1" firstDataCol="1"/>
  <pivotFields count="24">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items count="7">
        <item x="5"/>
        <item x="2"/>
        <item x="1"/>
        <item x="0"/>
        <item x="3"/>
        <item x="4"/>
        <item t="default"/>
      </items>
    </pivotField>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showAll="0"/>
    <pivotField showAll="0"/>
    <pivotField showAll="0"/>
    <pivotField dataField="1" showAll="0"/>
    <pivotField dataField="1" showAll="0"/>
    <pivotField showAll="0"/>
    <pivotField axis="axisRow" showAll="0">
      <items count="5">
        <item x="0"/>
        <item x="1"/>
        <item x="2"/>
        <item x="3"/>
        <item t="default"/>
      </items>
    </pivotField>
  </pivotFields>
  <rowFields count="1">
    <field x="23"/>
  </rowFields>
  <rowItems count="4">
    <i>
      <x/>
    </i>
    <i>
      <x v="1"/>
    </i>
    <i>
      <x v="2"/>
    </i>
    <i>
      <x v="3"/>
    </i>
  </rowItems>
  <colFields count="1">
    <field x="-2"/>
  </colFields>
  <colItems count="2">
    <i>
      <x/>
    </i>
    <i i="1">
      <x v="1"/>
    </i>
  </colItems>
  <dataFields count="2">
    <dataField name="Average of Citation Score " fld="21" subtotal="average" baseField="0" baseItem="0"/>
    <dataField name="Average of Influence Score" fld="20" subtotal="average" baseField="0" baseItem="0"/>
  </dataFields>
  <pivotTableStyleInfo name="PivotStyleLight16" showRowHeaders="1" showColHeaders="1" showRowStripes="0" showColStripes="0" showLastColumn="1"/>
  <filters count="1">
    <filter fld="1" type="count" evalOrder="-1" id="1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5F53E0-293F-2744-B8D9-A5232B692693}" name="PivotTable5"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A3:AC7" firstHeaderRow="0" firstDataRow="1" firstDataCol="1"/>
  <pivotFields count="24">
    <pivotField showAll="0"/>
    <pivotField showAll="0" measureFilter="1" sortType="ascending"/>
    <pivotField showAll="0"/>
    <pivotField showAll="0">
      <items count="7">
        <item x="5"/>
        <item x="2"/>
        <item x="1"/>
        <item x="0"/>
        <item x="3"/>
        <item x="4"/>
        <item t="default"/>
      </items>
    </pivotField>
    <pivotField showAll="0"/>
    <pivotField showAll="0"/>
    <pivotField showAll="0"/>
    <pivotField showAll="0"/>
    <pivotField showAll="0"/>
    <pivotField showAll="0"/>
    <pivotField showAll="0"/>
    <pivotField showAll="0"/>
    <pivotField showAll="0"/>
    <pivotField showAll="0"/>
    <pivotField showAll="0"/>
    <pivotField numFmtId="2" showAll="0"/>
    <pivotField dataField="1" numFmtId="2" showAll="0"/>
    <pivotField dataField="1" showAll="0"/>
    <pivotField showAll="0"/>
    <pivotField showAll="0"/>
    <pivotField showAll="0"/>
    <pivotField showAll="0"/>
    <pivotField showAll="0"/>
    <pivotField axis="axisRow" showAll="0">
      <items count="5">
        <item x="0"/>
        <item x="1"/>
        <item x="2"/>
        <item x="3"/>
        <item t="default"/>
      </items>
    </pivotField>
  </pivotFields>
  <rowFields count="1">
    <field x="23"/>
  </rowFields>
  <rowItems count="4">
    <i>
      <x/>
    </i>
    <i>
      <x v="1"/>
    </i>
    <i>
      <x v="2"/>
    </i>
    <i>
      <x v="3"/>
    </i>
  </rowItems>
  <colFields count="1">
    <field x="-2"/>
  </colFields>
  <colItems count="2">
    <i>
      <x/>
    </i>
    <i i="1">
      <x v="1"/>
    </i>
  </colItems>
  <dataFields count="2">
    <dataField name="Average of Alumni Score " fld="17" subtotal="average" baseField="0" baseItem="0"/>
    <dataField name="Average of Quality of Education Score" fld="16" subtotal="average" baseField="0" baseItem="0" numFmtId="2"/>
  </dataFields>
  <pivotTableStyleInfo name="PivotStyleLight16" showRowHeaders="1" showColHeaders="1" showRowStripes="0" showColStripes="0" showLastColumn="1"/>
  <filters count="1">
    <filter fld="1" type="count" evalOrder="-1" id="3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385F6C-864C-1A4B-A223-A847C18D2B75}" name="PivotTable3"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N3:O13" firstHeaderRow="1" firstDataRow="1" firstDataCol="1"/>
  <pivotFields count="24">
    <pivotField showAll="0"/>
    <pivotField axis="axisRow" showAll="0" measureFilter="1" sortType="descending">
      <items count="1001">
        <item x="589"/>
        <item x="818"/>
        <item x="156"/>
        <item x="943"/>
        <item x="973"/>
        <item x="387"/>
        <item x="221"/>
        <item x="817"/>
        <item x="596"/>
        <item x="793"/>
        <item x="194"/>
        <item x="894"/>
        <item x="900"/>
        <item x="897"/>
        <item x="10"/>
        <item x="721"/>
        <item x="986"/>
        <item x="368"/>
        <item x="264"/>
        <item x="645"/>
        <item x="334"/>
        <item x="843"/>
        <item x="197"/>
        <item x="563"/>
        <item x="477"/>
        <item x="870"/>
        <item x="803"/>
        <item x="44"/>
        <item x="252"/>
        <item x="35"/>
        <item x="276"/>
        <item x="302"/>
        <item x="575"/>
        <item x="238"/>
        <item x="167"/>
        <item x="126"/>
        <item x="320"/>
        <item x="442"/>
        <item x="274"/>
        <item x="245"/>
        <item x="747"/>
        <item x="574"/>
        <item x="309"/>
        <item x="63"/>
        <item x="71"/>
        <item x="516"/>
        <item x="85"/>
        <item x="751"/>
        <item x="922"/>
        <item x="68"/>
        <item x="448"/>
        <item x="462"/>
        <item x="278"/>
        <item x="498"/>
        <item x="838"/>
        <item x="775"/>
        <item x="396"/>
        <item x="571"/>
        <item x="26"/>
        <item x="951"/>
        <item x="848"/>
        <item x="144"/>
        <item x="267"/>
        <item x="18"/>
        <item x="162"/>
        <item x="259"/>
        <item x="213"/>
        <item x="78"/>
        <item x="730"/>
        <item x="171"/>
        <item x="362"/>
        <item x="896"/>
        <item x="469"/>
        <item x="375"/>
        <item x="868"/>
        <item x="270"/>
        <item x="82"/>
        <item x="443"/>
        <item x="629"/>
        <item x="394"/>
        <item x="338"/>
        <item x="207"/>
        <item x="237"/>
        <item x="488"/>
        <item x="391"/>
        <item x="478"/>
        <item x="844"/>
        <item x="804"/>
        <item x="16"/>
        <item x="764"/>
        <item x="11"/>
        <item x="229"/>
        <item x="724"/>
        <item x="358"/>
        <item x="819"/>
        <item x="805"/>
        <item x="65"/>
        <item x="758"/>
        <item x="468"/>
        <item x="88"/>
        <item x="315"/>
        <item x="193"/>
        <item x="648"/>
        <item x="303"/>
        <item x="30"/>
        <item x="557"/>
        <item x="253"/>
        <item x="622"/>
        <item x="460"/>
        <item x="914"/>
        <item x="561"/>
        <item x="398"/>
        <item x="489"/>
        <item x="513"/>
        <item x="131"/>
        <item x="757"/>
        <item x="70"/>
        <item x="210"/>
        <item x="503"/>
        <item x="344"/>
        <item x="423"/>
        <item x="134"/>
        <item x="776"/>
        <item x="985"/>
        <item x="331"/>
        <item x="771"/>
        <item x="337"/>
        <item x="50"/>
        <item x="136"/>
        <item x="261"/>
        <item x="281"/>
        <item x="929"/>
        <item x="569"/>
        <item x="898"/>
        <item x="444"/>
        <item x="865"/>
        <item x="467"/>
        <item x="161"/>
        <item x="413"/>
        <item x="565"/>
        <item x="182"/>
        <item x="208"/>
        <item x="502"/>
        <item x="457"/>
        <item x="811"/>
        <item x="410"/>
        <item x="425"/>
        <item x="610"/>
        <item x="733"/>
        <item x="552"/>
        <item x="76"/>
        <item x="573"/>
        <item x="282"/>
        <item x="104"/>
        <item x="680"/>
        <item x="408"/>
        <item x="841"/>
        <item x="326"/>
        <item x="406"/>
        <item x="73"/>
        <item x="583"/>
        <item x="437"/>
        <item x="506"/>
        <item x="709"/>
        <item x="226"/>
        <item x="515"/>
        <item x="536"/>
        <item x="72"/>
        <item x="284"/>
        <item x="860"/>
        <item x="313"/>
        <item x="958"/>
        <item x="12"/>
        <item x="365"/>
        <item x="669"/>
        <item x="474"/>
        <item x="53"/>
        <item x="508"/>
        <item x="149"/>
        <item x="947"/>
        <item x="4"/>
        <item x="439"/>
        <item x="364"/>
        <item x="204"/>
        <item x="308"/>
        <item x="957"/>
        <item x="74"/>
        <item x="824"/>
        <item x="427"/>
        <item x="392"/>
        <item x="568"/>
        <item x="117"/>
        <item x="159"/>
        <item x="681"/>
        <item x="980"/>
        <item x="772"/>
        <item x="32"/>
        <item x="446"/>
        <item x="424"/>
        <item x="118"/>
        <item x="256"/>
        <item x="372"/>
        <item x="927"/>
        <item x="598"/>
        <item x="745"/>
        <item x="312"/>
        <item x="482"/>
        <item x="652"/>
        <item x="752"/>
        <item x="246"/>
        <item x="512"/>
        <item x="639"/>
        <item x="109"/>
        <item x="140"/>
        <item x="601"/>
        <item x="903"/>
        <item x="461"/>
        <item x="728"/>
        <item x="189"/>
        <item x="458"/>
        <item x="34"/>
        <item x="521"/>
        <item x="403"/>
        <item x="147"/>
        <item x="17"/>
        <item x="196"/>
        <item x="748"/>
        <item x="961"/>
        <item x="56"/>
        <item x="181"/>
        <item x="992"/>
        <item x="938"/>
        <item x="183"/>
        <item x="46"/>
        <item x="638"/>
        <item x="209"/>
        <item x="977"/>
        <item x="379"/>
        <item x="230"/>
        <item x="43"/>
        <item x="450"/>
        <item x="549"/>
        <item x="994"/>
        <item x="185"/>
        <item x="682"/>
        <item x="404"/>
        <item x="665"/>
        <item x="306"/>
        <item x="369"/>
        <item x="178"/>
        <item x="219"/>
        <item x="948"/>
        <item x="241"/>
        <item x="205"/>
        <item x="265"/>
        <item x="163"/>
        <item x="145"/>
        <item x="445"/>
        <item x="605"/>
        <item x="768"/>
        <item x="401"/>
        <item x="416"/>
        <item x="232"/>
        <item x="258"/>
        <item x="618"/>
        <item x="223"/>
        <item x="781"/>
        <item x="602"/>
        <item x="789"/>
        <item x="920"/>
        <item x="316"/>
        <item x="899"/>
        <item x="133"/>
        <item x="711"/>
        <item x="831"/>
        <item x="300"/>
        <item x="31"/>
        <item x="216"/>
        <item x="664"/>
        <item x="475"/>
        <item x="990"/>
        <item x="840"/>
        <item x="522"/>
        <item x="298"/>
        <item x="170"/>
        <item x="778"/>
        <item x="808"/>
        <item x="92"/>
        <item x="305"/>
        <item x="936"/>
        <item x="473"/>
        <item x="124"/>
        <item x="619"/>
        <item x="325"/>
        <item x="99"/>
        <item x="630"/>
        <item x="646"/>
        <item x="317"/>
        <item x="165"/>
        <item x="157"/>
        <item x="707"/>
        <item x="352"/>
        <item x="179"/>
        <item x="348"/>
        <item x="54"/>
        <item x="154"/>
        <item x="710"/>
        <item x="164"/>
        <item x="667"/>
        <item x="61"/>
        <item x="184"/>
        <item x="455"/>
        <item x="866"/>
        <item x="280"/>
        <item x="767"/>
        <item x="215"/>
        <item x="483"/>
        <item x="33"/>
        <item x="685"/>
        <item x="417"/>
        <item x="271"/>
        <item x="319"/>
        <item x="289"/>
        <item x="829"/>
        <item x="725"/>
        <item x="287"/>
        <item x="695"/>
        <item x="293"/>
        <item x="904"/>
        <item x="604"/>
        <item x="38"/>
        <item x="192"/>
        <item x="790"/>
        <item x="132"/>
        <item x="49"/>
        <item x="212"/>
        <item x="402"/>
        <item x="593"/>
        <item x="203"/>
        <item x="188"/>
        <item x="383"/>
        <item x="9"/>
        <item x="454"/>
        <item x="510"/>
        <item x="703"/>
        <item x="222"/>
        <item x="449"/>
        <item x="620"/>
        <item x="359"/>
        <item x="662"/>
        <item x="3"/>
        <item x="110"/>
        <item x="69"/>
        <item x="21"/>
        <item x="19"/>
        <item x="244"/>
        <item x="878"/>
        <item x="14"/>
        <item x="58"/>
        <item x="41"/>
        <item x="5"/>
        <item x="195"/>
        <item x="996"/>
        <item x="660"/>
        <item x="621"/>
        <item x="928"/>
        <item x="661"/>
        <item x="924"/>
        <item x="519"/>
        <item x="292"/>
        <item x="826"/>
        <item x="37"/>
        <item x="64"/>
        <item x="983"/>
        <item x="702"/>
        <item x="422"/>
        <item x="736"/>
        <item x="453"/>
        <item x="114"/>
        <item x="200"/>
        <item x="168"/>
        <item x="107"/>
        <item x="251"/>
        <item x="342"/>
        <item x="476"/>
        <item x="390"/>
        <item x="98"/>
        <item x="430"/>
        <item x="86"/>
        <item x="550"/>
        <item x="235"/>
        <item x="603"/>
        <item x="566"/>
        <item x="51"/>
        <item x="291"/>
        <item x="968"/>
        <item x="727"/>
        <item x="122"/>
        <item x="766"/>
        <item x="807"/>
        <item x="95"/>
        <item x="562"/>
        <item x="933"/>
        <item x="190"/>
        <item x="490"/>
        <item x="676"/>
        <item x="228"/>
        <item x="242"/>
        <item x="988"/>
        <item x="20"/>
        <item x="224"/>
        <item x="472"/>
        <item x="272"/>
        <item x="351"/>
        <item x="175"/>
        <item x="160"/>
        <item x="828"/>
        <item x="371"/>
        <item x="254"/>
        <item x="909"/>
        <item x="774"/>
        <item x="239"/>
        <item x="907"/>
        <item x="428"/>
        <item x="153"/>
        <item x="400"/>
        <item x="206"/>
        <item x="456"/>
        <item x="97"/>
        <item x="227"/>
        <item x="917"/>
        <item x="949"/>
        <item x="311"/>
        <item x="837"/>
        <item x="722"/>
        <item x="787"/>
        <item x="580"/>
        <item x="504"/>
        <item x="139"/>
        <item x="796"/>
        <item x="849"/>
        <item x="119"/>
        <item x="812"/>
        <item x="501"/>
        <item x="346"/>
        <item x="701"/>
        <item x="329"/>
        <item x="436"/>
        <item x="77"/>
        <item x="340"/>
        <item x="84"/>
        <item x="546"/>
        <item x="146"/>
        <item x="111"/>
        <item x="538"/>
        <item x="214"/>
        <item x="409"/>
        <item x="518"/>
        <item x="755"/>
        <item x="786"/>
        <item x="653"/>
        <item x="941"/>
        <item x="554"/>
        <item x="642"/>
        <item x="367"/>
        <item x="528"/>
        <item x="590"/>
        <item x="217"/>
        <item x="201"/>
        <item x="127"/>
        <item x="158"/>
        <item x="643"/>
        <item x="447"/>
        <item x="1"/>
        <item x="523"/>
        <item x="656"/>
        <item x="908"/>
        <item x="480"/>
        <item x="625"/>
        <item x="742"/>
        <item x="366"/>
        <item x="318"/>
        <item x="734"/>
        <item x="823"/>
        <item x="28"/>
        <item x="998"/>
        <item x="360"/>
        <item x="960"/>
        <item x="880"/>
        <item x="310"/>
        <item x="295"/>
        <item x="886"/>
        <item x="856"/>
        <item x="616"/>
        <item x="684"/>
        <item x="591"/>
        <item x="879"/>
        <item x="969"/>
        <item x="535"/>
        <item x="135"/>
        <item x="269"/>
        <item x="965"/>
        <item x="991"/>
        <item x="901"/>
        <item x="59"/>
        <item x="657"/>
        <item x="832"/>
        <item x="553"/>
        <item x="421"/>
        <item x="950"/>
        <item x="66"/>
        <item x="942"/>
        <item x="485"/>
        <item x="540"/>
        <item x="440"/>
        <item x="493"/>
        <item x="800"/>
        <item x="211"/>
        <item x="668"/>
        <item x="40"/>
        <item x="434"/>
        <item x="290"/>
        <item x="892"/>
        <item x="155"/>
        <item x="539"/>
        <item x="956"/>
        <item x="663"/>
        <item x="923"/>
        <item x="698"/>
        <item x="75"/>
        <item x="934"/>
        <item x="633"/>
        <item x="925"/>
        <item x="658"/>
        <item x="128"/>
        <item x="429"/>
        <item x="910"/>
        <item x="129"/>
        <item x="240"/>
        <item x="314"/>
        <item x="260"/>
        <item x="186"/>
        <item x="798"/>
        <item x="959"/>
        <item x="741"/>
        <item x="381"/>
        <item x="62"/>
        <item x="6"/>
        <item x="814"/>
        <item x="324"/>
        <item x="355"/>
        <item x="471"/>
        <item x="613"/>
        <item x="363"/>
        <item x="572"/>
        <item x="414"/>
        <item x="816"/>
        <item x="821"/>
        <item x="347"/>
        <item x="42"/>
        <item x="91"/>
        <item x="715"/>
        <item x="198"/>
        <item x="932"/>
        <item x="83"/>
        <item x="180"/>
        <item x="505"/>
        <item x="785"/>
        <item x="806"/>
        <item x="609"/>
        <item x="599"/>
        <item x="52"/>
        <item x="930"/>
        <item x="674"/>
        <item x="250"/>
        <item x="150"/>
        <item x="497"/>
        <item x="756"/>
        <item x="526"/>
        <item x="388"/>
        <item x="802"/>
        <item x="39"/>
        <item x="696"/>
        <item x="517"/>
        <item x="594"/>
        <item x="262"/>
        <item x="712"/>
        <item x="22"/>
        <item x="542"/>
        <item x="691"/>
        <item x="644"/>
        <item x="726"/>
        <item x="884"/>
        <item x="706"/>
        <item x="343"/>
        <item x="799"/>
        <item x="963"/>
        <item x="921"/>
        <item x="872"/>
        <item x="166"/>
        <item x="964"/>
        <item x="617"/>
        <item x="697"/>
        <item x="953"/>
        <item x="187"/>
        <item x="24"/>
        <item x="975"/>
        <item x="438"/>
        <item x="769"/>
        <item x="859"/>
        <item x="466"/>
        <item x="102"/>
        <item x="825"/>
        <item x="544"/>
        <item x="753"/>
        <item x="765"/>
        <item x="761"/>
        <item x="377"/>
        <item x="626"/>
        <item x="795"/>
        <item x="108"/>
        <item x="966"/>
        <item x="845"/>
        <item x="592"/>
        <item x="732"/>
        <item x="529"/>
        <item x="558"/>
        <item x="520"/>
        <item x="426"/>
        <item x="296"/>
        <item x="500"/>
        <item x="257"/>
        <item x="304"/>
        <item x="858"/>
        <item x="172"/>
        <item x="336"/>
        <item x="586"/>
        <item x="940"/>
        <item x="635"/>
        <item x="199"/>
        <item x="720"/>
        <item x="744"/>
        <item x="576"/>
        <item x="548"/>
        <item x="777"/>
        <item x="112"/>
        <item x="867"/>
        <item x="628"/>
        <item x="869"/>
        <item x="125"/>
        <item x="555"/>
        <item x="577"/>
        <item x="123"/>
        <item x="976"/>
        <item x="637"/>
        <item x="330"/>
        <item x="863"/>
        <item x="952"/>
        <item x="595"/>
        <item x="854"/>
        <item x="143"/>
        <item x="750"/>
        <item x="847"/>
        <item x="578"/>
        <item x="852"/>
        <item x="833"/>
        <item x="266"/>
        <item x="332"/>
        <item x="465"/>
        <item x="612"/>
        <item x="373"/>
        <item x="120"/>
        <item x="36"/>
        <item x="530"/>
        <item x="2"/>
        <item x="570"/>
        <item x="411"/>
        <item x="794"/>
        <item x="883"/>
        <item x="987"/>
        <item x="770"/>
        <item x="470"/>
        <item x="323"/>
        <item x="248"/>
        <item x="94"/>
        <item x="47"/>
        <item x="525"/>
        <item x="218"/>
        <item x="611"/>
        <item x="255"/>
        <item x="273"/>
        <item x="993"/>
        <item x="982"/>
        <item x="694"/>
        <item x="356"/>
        <item x="286"/>
        <item x="89"/>
        <item x="499"/>
        <item x="268"/>
        <item x="459"/>
        <item x="385"/>
        <item x="533"/>
        <item x="225"/>
        <item x="407"/>
        <item x="384"/>
        <item x="25"/>
        <item x="912"/>
        <item x="627"/>
        <item x="106"/>
        <item x="236"/>
        <item x="543"/>
        <item x="285"/>
        <item x="600"/>
        <item x="67"/>
        <item x="420"/>
        <item x="955"/>
        <item x="783"/>
        <item x="433"/>
        <item x="322"/>
        <item x="677"/>
        <item x="989"/>
        <item x="686"/>
        <item x="174"/>
        <item x="713"/>
        <item x="48"/>
        <item x="231"/>
        <item x="654"/>
        <item x="361"/>
        <item x="623"/>
        <item x="560"/>
        <item x="294"/>
        <item x="881"/>
        <item x="997"/>
        <item x="700"/>
        <item x="15"/>
        <item x="974"/>
        <item x="233"/>
        <item x="690"/>
        <item x="333"/>
        <item x="864"/>
        <item x="723"/>
        <item x="679"/>
        <item x="754"/>
        <item x="882"/>
        <item x="780"/>
        <item x="939"/>
        <item x="389"/>
        <item x="380"/>
        <item x="760"/>
        <item x="945"/>
        <item x="559"/>
        <item x="647"/>
        <item x="370"/>
        <item x="641"/>
        <item x="759"/>
        <item x="176"/>
        <item x="649"/>
        <item x="435"/>
        <item x="967"/>
        <item x="683"/>
        <item x="887"/>
        <item x="608"/>
        <item x="142"/>
        <item x="234"/>
        <item x="857"/>
        <item x="650"/>
        <item x="675"/>
        <item x="797"/>
        <item x="670"/>
        <item x="614"/>
        <item x="419"/>
        <item x="918"/>
        <item x="29"/>
        <item x="749"/>
        <item x="152"/>
        <item x="962"/>
        <item x="495"/>
        <item x="100"/>
        <item x="275"/>
        <item x="587"/>
        <item x="946"/>
        <item x="339"/>
        <item x="341"/>
        <item x="743"/>
        <item x="173"/>
        <item x="954"/>
        <item x="906"/>
        <item x="376"/>
        <item x="763"/>
        <item x="45"/>
        <item x="875"/>
        <item x="588"/>
        <item x="60"/>
        <item x="0"/>
        <item x="762"/>
        <item x="299"/>
        <item x="850"/>
        <item x="335"/>
        <item x="349"/>
        <item x="915"/>
        <item x="524"/>
        <item x="689"/>
        <item x="659"/>
        <item x="815"/>
        <item x="971"/>
        <item x="944"/>
        <item x="350"/>
        <item x="328"/>
        <item x="96"/>
        <item x="717"/>
        <item x="719"/>
        <item x="148"/>
        <item x="895"/>
        <item x="103"/>
        <item x="479"/>
        <item x="138"/>
        <item x="288"/>
        <item x="307"/>
        <item x="321"/>
        <item x="678"/>
        <item x="851"/>
        <item x="905"/>
        <item x="671"/>
        <item x="169"/>
        <item x="80"/>
        <item x="631"/>
        <item x="888"/>
        <item x="247"/>
        <item x="531"/>
        <item x="911"/>
        <item x="492"/>
        <item x="871"/>
        <item x="853"/>
        <item x="738"/>
        <item x="926"/>
        <item x="693"/>
        <item x="441"/>
        <item x="846"/>
        <item x="397"/>
        <item x="297"/>
        <item x="839"/>
        <item x="885"/>
        <item x="708"/>
        <item x="405"/>
        <item x="891"/>
        <item x="813"/>
        <item x="984"/>
        <item x="537"/>
        <item x="27"/>
        <item x="651"/>
        <item x="873"/>
        <item x="105"/>
        <item x="79"/>
        <item x="378"/>
        <item x="746"/>
        <item x="615"/>
        <item x="979"/>
        <item x="496"/>
        <item x="532"/>
        <item x="834"/>
        <item x="412"/>
        <item x="191"/>
        <item x="23"/>
        <item x="935"/>
        <item x="353"/>
        <item x="704"/>
        <item x="877"/>
        <item x="937"/>
        <item x="283"/>
        <item x="386"/>
        <item x="121"/>
        <item x="809"/>
        <item x="345"/>
        <item x="277"/>
        <item x="666"/>
        <item x="399"/>
        <item x="861"/>
        <item x="820"/>
        <item x="13"/>
        <item x="718"/>
        <item x="916"/>
        <item x="263"/>
        <item x="672"/>
        <item x="7"/>
        <item x="243"/>
        <item x="527"/>
        <item x="581"/>
        <item x="494"/>
        <item x="220"/>
        <item x="890"/>
        <item x="357"/>
        <item x="705"/>
        <item x="584"/>
        <item x="606"/>
        <item x="810"/>
        <item x="607"/>
        <item x="970"/>
        <item x="874"/>
        <item x="487"/>
        <item x="431"/>
        <item x="534"/>
        <item x="889"/>
        <item x="579"/>
        <item x="177"/>
        <item x="301"/>
        <item x="634"/>
        <item x="791"/>
        <item x="464"/>
        <item x="876"/>
        <item x="547"/>
        <item x="784"/>
        <item x="836"/>
        <item x="395"/>
        <item x="481"/>
        <item x="792"/>
        <item x="202"/>
        <item x="509"/>
        <item x="463"/>
        <item x="585"/>
        <item x="327"/>
        <item x="692"/>
        <item x="415"/>
        <item x="551"/>
        <item x="141"/>
        <item x="90"/>
        <item x="827"/>
        <item x="556"/>
        <item x="716"/>
        <item x="130"/>
        <item x="999"/>
        <item x="432"/>
        <item x="8"/>
        <item x="451"/>
        <item x="822"/>
        <item x="673"/>
        <item x="57"/>
        <item x="507"/>
        <item x="582"/>
        <item x="249"/>
        <item x="55"/>
        <item x="511"/>
        <item x="739"/>
        <item x="564"/>
        <item x="842"/>
        <item x="788"/>
        <item x="541"/>
        <item x="393"/>
        <item x="830"/>
        <item x="893"/>
        <item x="597"/>
        <item x="382"/>
        <item x="835"/>
        <item x="514"/>
        <item x="981"/>
        <item x="484"/>
        <item x="567"/>
        <item x="93"/>
        <item x="491"/>
        <item x="737"/>
        <item x="773"/>
        <item x="801"/>
        <item x="279"/>
        <item x="151"/>
        <item x="81"/>
        <item x="640"/>
        <item x="545"/>
        <item x="978"/>
        <item x="687"/>
        <item x="113"/>
        <item x="374"/>
        <item x="624"/>
        <item x="913"/>
        <item x="688"/>
        <item x="972"/>
        <item x="782"/>
        <item x="731"/>
        <item x="902"/>
        <item x="699"/>
        <item x="137"/>
        <item x="714"/>
        <item x="486"/>
        <item x="632"/>
        <item x="995"/>
        <item x="740"/>
        <item x="919"/>
        <item x="87"/>
        <item x="354"/>
        <item x="452"/>
        <item x="862"/>
        <item x="729"/>
        <item x="931"/>
        <item x="735"/>
        <item x="101"/>
        <item x="115"/>
        <item x="655"/>
        <item x="418"/>
        <item x="116"/>
        <item x="636"/>
        <item x="779"/>
        <item x="855"/>
        <item t="default"/>
      </items>
      <autoSortScope>
        <pivotArea dataOnly="0" outline="0" fieldPosition="0">
          <references count="1">
            <reference field="4294967294" count="1" selected="0">
              <x v="0"/>
            </reference>
          </references>
        </pivotArea>
      </autoSortScope>
    </pivotField>
    <pivotField showAll="0"/>
    <pivotField showAll="0">
      <items count="7">
        <item x="5"/>
        <item x="2"/>
        <item x="1"/>
        <item x="0"/>
        <item x="3"/>
        <item x="4"/>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2" showAll="0"/>
    <pivotField numFmtId="2" showAll="0"/>
    <pivotField showAll="0"/>
    <pivotField showAll="0"/>
    <pivotField showAll="0"/>
    <pivotField showAll="0"/>
    <pivotField showAll="0"/>
    <pivotField showAll="0"/>
    <pivotField showAll="0">
      <items count="5">
        <item x="0"/>
        <item x="1"/>
        <item x="2"/>
        <item x="3"/>
        <item t="default"/>
      </items>
    </pivotField>
  </pivotFields>
  <rowFields count="1">
    <field x="1"/>
  </rowFields>
  <rowItems count="10">
    <i>
      <x v="793"/>
    </i>
    <i>
      <x v="88"/>
    </i>
    <i>
      <x v="224"/>
    </i>
    <i>
      <x v="473"/>
    </i>
    <i>
      <x v="180"/>
    </i>
    <i>
      <x v="734"/>
    </i>
    <i>
      <x v="409"/>
    </i>
    <i>
      <x v="350"/>
    </i>
    <i>
      <x v="63"/>
    </i>
    <i>
      <x v="357"/>
    </i>
  </rowItems>
  <colItems count="1">
    <i/>
  </colItems>
  <dataFields count="1">
    <dataField name="Max. of Quality of Publications Score" fld="15" subtotal="max" baseField="0" baseItem="0"/>
  </dataFields>
  <chartFormats count="2">
    <chartFormat chart="1"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4A5EAC-299E-D342-974F-12BBA5DFAC8B}" name="PivotTable1"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B64" firstHeaderRow="1" firstDataRow="1" firstDataCol="1"/>
  <pivotFields count="24">
    <pivotField showAll="0"/>
    <pivotField dataField="1" showAll="0"/>
    <pivotField axis="axisRow" showAll="0" sortType="descending">
      <items count="62">
        <item x="0"/>
        <item x="49"/>
        <item x="1"/>
        <item x="52"/>
        <item x="47"/>
        <item x="58"/>
        <item x="44"/>
        <item x="21"/>
        <item x="4"/>
        <item x="9"/>
        <item x="16"/>
        <item x="11"/>
        <item x="27"/>
        <item x="37"/>
        <item x="48"/>
        <item x="19"/>
        <item x="36"/>
        <item x="34"/>
        <item x="22"/>
        <item x="55"/>
        <item x="26"/>
        <item x="31"/>
        <item x="54"/>
        <item x="14"/>
        <item x="59"/>
        <item x="29"/>
        <item x="13"/>
        <item x="30"/>
        <item x="41"/>
        <item x="60"/>
        <item x="50"/>
        <item x="53"/>
        <item x="2"/>
        <item x="12"/>
        <item x="7"/>
        <item x="28"/>
        <item x="38"/>
        <item x="40"/>
        <item x="45"/>
        <item x="39"/>
        <item x="23"/>
        <item x="33"/>
        <item x="8"/>
        <item x="5"/>
        <item x="18"/>
        <item x="46"/>
        <item x="42"/>
        <item x="6"/>
        <item x="25"/>
        <item x="57"/>
        <item x="43"/>
        <item x="51"/>
        <item x="17"/>
        <item x="35"/>
        <item x="3"/>
        <item x="56"/>
        <item x="15"/>
        <item x="20"/>
        <item x="24"/>
        <item x="10"/>
        <item x="32"/>
        <item t="default"/>
      </items>
      <autoSortScope>
        <pivotArea dataOnly="0" outline="0" fieldPosition="0">
          <references count="1">
            <reference field="4294967294" count="1" selected="0">
              <x v="0"/>
            </reference>
          </references>
        </pivotArea>
      </autoSortScope>
    </pivotField>
    <pivotField showAll="0">
      <items count="7">
        <item x="5"/>
        <item x="2"/>
        <item x="1"/>
        <item x="0"/>
        <item x="3"/>
        <item x="4"/>
        <item t="default"/>
      </items>
    </pivotField>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showAll="0"/>
    <pivotField showAll="0"/>
    <pivotField showAll="0"/>
    <pivotField showAll="0"/>
    <pivotField showAll="0"/>
    <pivotField showAll="0"/>
    <pivotField showAll="0">
      <items count="5">
        <item x="0"/>
        <item x="1"/>
        <item x="2"/>
        <item x="3"/>
        <item t="default"/>
      </items>
    </pivotField>
  </pivotFields>
  <rowFields count="1">
    <field x="2"/>
  </rowFields>
  <rowItems count="61">
    <i>
      <x/>
    </i>
    <i>
      <x v="52"/>
    </i>
    <i>
      <x v="2"/>
    </i>
    <i>
      <x v="43"/>
    </i>
    <i>
      <x v="32"/>
    </i>
    <i>
      <x v="42"/>
    </i>
    <i>
      <x v="33"/>
    </i>
    <i>
      <x v="10"/>
    </i>
    <i>
      <x v="11"/>
    </i>
    <i>
      <x v="54"/>
    </i>
    <i>
      <x v="59"/>
    </i>
    <i>
      <x v="56"/>
    </i>
    <i>
      <x v="37"/>
    </i>
    <i>
      <x v="7"/>
    </i>
    <i>
      <x v="4"/>
    </i>
    <i>
      <x v="26"/>
    </i>
    <i>
      <x v="9"/>
    </i>
    <i>
      <x v="36"/>
    </i>
    <i>
      <x v="58"/>
    </i>
    <i>
      <x v="21"/>
    </i>
    <i>
      <x v="8"/>
    </i>
    <i>
      <x v="44"/>
    </i>
    <i>
      <x v="57"/>
    </i>
    <i>
      <x v="12"/>
    </i>
    <i>
      <x v="35"/>
    </i>
    <i>
      <x v="34"/>
    </i>
    <i>
      <x v="41"/>
    </i>
    <i>
      <x v="39"/>
    </i>
    <i>
      <x v="20"/>
    </i>
    <i>
      <x v="40"/>
    </i>
    <i>
      <x v="18"/>
    </i>
    <i>
      <x v="25"/>
    </i>
    <i>
      <x v="48"/>
    </i>
    <i>
      <x v="28"/>
    </i>
    <i>
      <x v="23"/>
    </i>
    <i>
      <x v="47"/>
    </i>
    <i>
      <x v="27"/>
    </i>
    <i>
      <x v="17"/>
    </i>
    <i>
      <x v="53"/>
    </i>
    <i>
      <x v="6"/>
    </i>
    <i>
      <x v="46"/>
    </i>
    <i>
      <x v="51"/>
    </i>
    <i>
      <x v="19"/>
    </i>
    <i>
      <x v="22"/>
    </i>
    <i>
      <x v="60"/>
    </i>
    <i>
      <x v="13"/>
    </i>
    <i>
      <x v="15"/>
    </i>
    <i>
      <x v="50"/>
    </i>
    <i>
      <x v="55"/>
    </i>
    <i>
      <x v="3"/>
    </i>
    <i>
      <x v="5"/>
    </i>
    <i>
      <x v="49"/>
    </i>
    <i>
      <x v="31"/>
    </i>
    <i>
      <x v="24"/>
    </i>
    <i>
      <x v="16"/>
    </i>
    <i>
      <x v="1"/>
    </i>
    <i>
      <x v="14"/>
    </i>
    <i>
      <x v="45"/>
    </i>
    <i>
      <x v="38"/>
    </i>
    <i>
      <x v="29"/>
    </i>
    <i>
      <x v="30"/>
    </i>
  </rowItems>
  <colItems count="1">
    <i/>
  </colItems>
  <dataFields count="1">
    <dataField name="Count of Institution"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E6CE4D-B91D-ED42-8C39-DA00A41C88C8}" name="PivotTable7"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J4:AK2005" firstHeaderRow="1" firstDataRow="1" firstDataCol="1"/>
  <pivotFields count="24">
    <pivotField axis="axisRow"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axis="axisRow" showAll="0" sortType="descending">
      <items count="1001">
        <item x="589"/>
        <item x="818"/>
        <item x="156"/>
        <item x="943"/>
        <item x="973"/>
        <item x="387"/>
        <item x="221"/>
        <item x="817"/>
        <item x="596"/>
        <item x="793"/>
        <item x="194"/>
        <item x="894"/>
        <item x="900"/>
        <item x="897"/>
        <item x="10"/>
        <item x="721"/>
        <item x="986"/>
        <item x="368"/>
        <item x="264"/>
        <item x="645"/>
        <item x="334"/>
        <item x="843"/>
        <item x="197"/>
        <item x="563"/>
        <item x="477"/>
        <item x="870"/>
        <item x="803"/>
        <item x="44"/>
        <item x="252"/>
        <item x="35"/>
        <item x="276"/>
        <item x="302"/>
        <item x="575"/>
        <item x="238"/>
        <item x="167"/>
        <item x="126"/>
        <item x="320"/>
        <item x="442"/>
        <item x="274"/>
        <item x="245"/>
        <item x="747"/>
        <item x="574"/>
        <item x="309"/>
        <item x="63"/>
        <item x="71"/>
        <item x="516"/>
        <item x="85"/>
        <item x="751"/>
        <item x="922"/>
        <item x="68"/>
        <item x="448"/>
        <item x="462"/>
        <item x="278"/>
        <item x="498"/>
        <item x="838"/>
        <item x="775"/>
        <item x="396"/>
        <item x="571"/>
        <item x="26"/>
        <item x="951"/>
        <item x="848"/>
        <item x="144"/>
        <item x="267"/>
        <item x="18"/>
        <item x="162"/>
        <item x="259"/>
        <item x="213"/>
        <item x="78"/>
        <item x="730"/>
        <item x="171"/>
        <item x="362"/>
        <item x="896"/>
        <item x="469"/>
        <item x="375"/>
        <item x="868"/>
        <item x="270"/>
        <item x="82"/>
        <item x="443"/>
        <item x="629"/>
        <item x="394"/>
        <item x="338"/>
        <item x="207"/>
        <item x="237"/>
        <item x="488"/>
        <item x="391"/>
        <item x="478"/>
        <item x="844"/>
        <item x="804"/>
        <item x="16"/>
        <item x="764"/>
        <item x="11"/>
        <item x="229"/>
        <item x="724"/>
        <item x="358"/>
        <item x="819"/>
        <item x="805"/>
        <item x="65"/>
        <item x="758"/>
        <item x="468"/>
        <item x="88"/>
        <item x="315"/>
        <item x="193"/>
        <item x="648"/>
        <item x="303"/>
        <item x="30"/>
        <item x="557"/>
        <item x="253"/>
        <item x="622"/>
        <item x="460"/>
        <item x="914"/>
        <item x="561"/>
        <item x="398"/>
        <item x="489"/>
        <item x="513"/>
        <item x="131"/>
        <item x="757"/>
        <item x="70"/>
        <item x="210"/>
        <item x="503"/>
        <item x="344"/>
        <item x="423"/>
        <item x="134"/>
        <item x="776"/>
        <item x="985"/>
        <item x="331"/>
        <item x="771"/>
        <item x="337"/>
        <item x="50"/>
        <item x="136"/>
        <item x="261"/>
        <item x="281"/>
        <item x="929"/>
        <item x="569"/>
        <item x="898"/>
        <item x="444"/>
        <item x="865"/>
        <item x="467"/>
        <item x="161"/>
        <item x="413"/>
        <item x="565"/>
        <item x="182"/>
        <item x="208"/>
        <item x="502"/>
        <item x="457"/>
        <item x="811"/>
        <item x="410"/>
        <item x="425"/>
        <item x="610"/>
        <item x="733"/>
        <item x="552"/>
        <item x="76"/>
        <item x="573"/>
        <item x="282"/>
        <item x="104"/>
        <item x="680"/>
        <item x="408"/>
        <item x="841"/>
        <item x="326"/>
        <item x="406"/>
        <item x="73"/>
        <item x="583"/>
        <item x="437"/>
        <item x="506"/>
        <item x="709"/>
        <item x="226"/>
        <item x="515"/>
        <item x="536"/>
        <item x="72"/>
        <item x="284"/>
        <item x="860"/>
        <item x="313"/>
        <item x="958"/>
        <item x="12"/>
        <item x="365"/>
        <item x="669"/>
        <item x="474"/>
        <item x="53"/>
        <item x="508"/>
        <item x="149"/>
        <item x="947"/>
        <item x="4"/>
        <item x="439"/>
        <item x="364"/>
        <item x="204"/>
        <item x="308"/>
        <item x="957"/>
        <item x="74"/>
        <item x="824"/>
        <item x="427"/>
        <item x="392"/>
        <item x="568"/>
        <item x="117"/>
        <item x="159"/>
        <item x="681"/>
        <item x="980"/>
        <item x="772"/>
        <item x="32"/>
        <item x="446"/>
        <item x="424"/>
        <item x="118"/>
        <item x="256"/>
        <item x="372"/>
        <item x="927"/>
        <item x="598"/>
        <item x="745"/>
        <item x="312"/>
        <item x="482"/>
        <item x="652"/>
        <item x="752"/>
        <item x="246"/>
        <item x="512"/>
        <item x="639"/>
        <item x="109"/>
        <item x="140"/>
        <item x="601"/>
        <item x="903"/>
        <item x="461"/>
        <item x="728"/>
        <item x="189"/>
        <item x="458"/>
        <item x="34"/>
        <item x="521"/>
        <item x="403"/>
        <item x="147"/>
        <item x="17"/>
        <item x="196"/>
        <item x="748"/>
        <item x="961"/>
        <item x="56"/>
        <item x="181"/>
        <item x="992"/>
        <item x="938"/>
        <item x="183"/>
        <item x="46"/>
        <item x="638"/>
        <item x="209"/>
        <item x="977"/>
        <item x="379"/>
        <item x="230"/>
        <item x="43"/>
        <item x="450"/>
        <item x="549"/>
        <item x="994"/>
        <item x="185"/>
        <item x="682"/>
        <item x="404"/>
        <item x="665"/>
        <item x="306"/>
        <item x="369"/>
        <item x="178"/>
        <item x="219"/>
        <item x="948"/>
        <item x="241"/>
        <item x="205"/>
        <item x="265"/>
        <item x="163"/>
        <item x="145"/>
        <item x="445"/>
        <item x="605"/>
        <item x="768"/>
        <item x="401"/>
        <item x="416"/>
        <item x="232"/>
        <item x="258"/>
        <item x="618"/>
        <item x="223"/>
        <item x="781"/>
        <item x="602"/>
        <item x="789"/>
        <item x="920"/>
        <item x="316"/>
        <item x="899"/>
        <item x="133"/>
        <item x="711"/>
        <item x="831"/>
        <item x="300"/>
        <item x="31"/>
        <item x="216"/>
        <item x="664"/>
        <item x="475"/>
        <item x="990"/>
        <item x="840"/>
        <item x="522"/>
        <item x="298"/>
        <item x="170"/>
        <item x="778"/>
        <item x="808"/>
        <item x="92"/>
        <item x="305"/>
        <item x="936"/>
        <item x="473"/>
        <item x="124"/>
        <item x="619"/>
        <item x="325"/>
        <item x="99"/>
        <item x="630"/>
        <item x="646"/>
        <item x="317"/>
        <item x="165"/>
        <item x="157"/>
        <item x="707"/>
        <item x="352"/>
        <item x="179"/>
        <item x="348"/>
        <item x="54"/>
        <item x="154"/>
        <item x="710"/>
        <item x="164"/>
        <item x="667"/>
        <item x="61"/>
        <item x="184"/>
        <item x="455"/>
        <item x="866"/>
        <item x="280"/>
        <item x="767"/>
        <item x="215"/>
        <item x="483"/>
        <item x="33"/>
        <item x="685"/>
        <item x="417"/>
        <item x="271"/>
        <item x="319"/>
        <item x="289"/>
        <item x="829"/>
        <item x="725"/>
        <item x="287"/>
        <item x="695"/>
        <item x="293"/>
        <item x="904"/>
        <item x="604"/>
        <item x="38"/>
        <item x="192"/>
        <item x="790"/>
        <item x="132"/>
        <item x="49"/>
        <item x="212"/>
        <item x="402"/>
        <item x="593"/>
        <item x="203"/>
        <item x="188"/>
        <item x="383"/>
        <item x="9"/>
        <item x="454"/>
        <item x="510"/>
        <item x="703"/>
        <item x="222"/>
        <item x="449"/>
        <item x="620"/>
        <item x="359"/>
        <item x="662"/>
        <item x="3"/>
        <item x="110"/>
        <item x="69"/>
        <item x="21"/>
        <item x="19"/>
        <item x="244"/>
        <item x="878"/>
        <item x="14"/>
        <item x="58"/>
        <item x="41"/>
        <item x="5"/>
        <item x="195"/>
        <item x="996"/>
        <item x="660"/>
        <item x="621"/>
        <item x="928"/>
        <item x="661"/>
        <item x="924"/>
        <item x="519"/>
        <item x="292"/>
        <item x="826"/>
        <item x="37"/>
        <item x="64"/>
        <item x="983"/>
        <item x="702"/>
        <item x="422"/>
        <item x="736"/>
        <item x="453"/>
        <item x="114"/>
        <item x="200"/>
        <item x="168"/>
        <item x="107"/>
        <item x="251"/>
        <item x="342"/>
        <item x="476"/>
        <item x="390"/>
        <item x="98"/>
        <item x="430"/>
        <item x="86"/>
        <item x="550"/>
        <item x="235"/>
        <item x="603"/>
        <item x="566"/>
        <item x="51"/>
        <item x="291"/>
        <item x="968"/>
        <item x="727"/>
        <item x="122"/>
        <item x="766"/>
        <item x="807"/>
        <item x="95"/>
        <item x="562"/>
        <item x="933"/>
        <item x="190"/>
        <item x="490"/>
        <item x="676"/>
        <item x="228"/>
        <item x="242"/>
        <item x="988"/>
        <item x="20"/>
        <item x="224"/>
        <item x="472"/>
        <item x="272"/>
        <item x="351"/>
        <item x="175"/>
        <item x="160"/>
        <item x="828"/>
        <item x="371"/>
        <item x="254"/>
        <item x="909"/>
        <item x="774"/>
        <item x="239"/>
        <item x="907"/>
        <item x="428"/>
        <item x="153"/>
        <item x="400"/>
        <item x="206"/>
        <item x="456"/>
        <item x="97"/>
        <item x="227"/>
        <item x="917"/>
        <item x="949"/>
        <item x="311"/>
        <item x="837"/>
        <item x="722"/>
        <item x="787"/>
        <item x="580"/>
        <item x="504"/>
        <item x="139"/>
        <item x="796"/>
        <item x="849"/>
        <item x="119"/>
        <item x="812"/>
        <item x="501"/>
        <item x="346"/>
        <item x="701"/>
        <item x="329"/>
        <item x="436"/>
        <item x="77"/>
        <item x="340"/>
        <item x="84"/>
        <item x="546"/>
        <item x="146"/>
        <item x="111"/>
        <item x="538"/>
        <item x="214"/>
        <item x="409"/>
        <item x="518"/>
        <item x="755"/>
        <item x="786"/>
        <item x="653"/>
        <item x="941"/>
        <item x="554"/>
        <item x="642"/>
        <item x="367"/>
        <item x="528"/>
        <item x="590"/>
        <item x="217"/>
        <item x="201"/>
        <item x="127"/>
        <item x="158"/>
        <item x="643"/>
        <item x="447"/>
        <item x="1"/>
        <item x="523"/>
        <item x="656"/>
        <item x="908"/>
        <item x="480"/>
        <item x="625"/>
        <item x="742"/>
        <item x="366"/>
        <item x="318"/>
        <item x="734"/>
        <item x="823"/>
        <item x="28"/>
        <item x="998"/>
        <item x="360"/>
        <item x="960"/>
        <item x="880"/>
        <item x="310"/>
        <item x="295"/>
        <item x="886"/>
        <item x="856"/>
        <item x="616"/>
        <item x="684"/>
        <item x="591"/>
        <item x="879"/>
        <item x="969"/>
        <item x="535"/>
        <item x="135"/>
        <item x="269"/>
        <item x="965"/>
        <item x="991"/>
        <item x="901"/>
        <item x="59"/>
        <item x="657"/>
        <item x="832"/>
        <item x="553"/>
        <item x="421"/>
        <item x="950"/>
        <item x="66"/>
        <item x="942"/>
        <item x="485"/>
        <item x="540"/>
        <item x="440"/>
        <item x="493"/>
        <item x="800"/>
        <item x="211"/>
        <item x="668"/>
        <item x="40"/>
        <item x="434"/>
        <item x="290"/>
        <item x="892"/>
        <item x="155"/>
        <item x="539"/>
        <item x="956"/>
        <item x="663"/>
        <item x="923"/>
        <item x="698"/>
        <item x="75"/>
        <item x="934"/>
        <item x="633"/>
        <item x="925"/>
        <item x="658"/>
        <item x="128"/>
        <item x="429"/>
        <item x="910"/>
        <item x="129"/>
        <item x="240"/>
        <item x="314"/>
        <item x="260"/>
        <item x="186"/>
        <item x="798"/>
        <item x="959"/>
        <item x="741"/>
        <item x="381"/>
        <item x="62"/>
        <item x="6"/>
        <item x="814"/>
        <item x="324"/>
        <item x="355"/>
        <item x="471"/>
        <item x="613"/>
        <item x="363"/>
        <item x="572"/>
        <item x="414"/>
        <item x="816"/>
        <item x="821"/>
        <item x="347"/>
        <item x="42"/>
        <item x="91"/>
        <item x="715"/>
        <item x="198"/>
        <item x="932"/>
        <item x="83"/>
        <item x="180"/>
        <item x="505"/>
        <item x="785"/>
        <item x="806"/>
        <item x="609"/>
        <item x="599"/>
        <item x="52"/>
        <item x="930"/>
        <item x="674"/>
        <item x="250"/>
        <item x="150"/>
        <item x="497"/>
        <item x="756"/>
        <item x="526"/>
        <item x="388"/>
        <item x="802"/>
        <item x="39"/>
        <item x="696"/>
        <item x="517"/>
        <item x="594"/>
        <item x="262"/>
        <item x="712"/>
        <item x="22"/>
        <item x="542"/>
        <item x="691"/>
        <item x="644"/>
        <item x="726"/>
        <item x="884"/>
        <item x="706"/>
        <item x="343"/>
        <item x="799"/>
        <item x="963"/>
        <item x="921"/>
        <item x="872"/>
        <item x="166"/>
        <item x="964"/>
        <item x="617"/>
        <item x="697"/>
        <item x="953"/>
        <item x="187"/>
        <item x="24"/>
        <item x="975"/>
        <item x="438"/>
        <item x="769"/>
        <item x="859"/>
        <item x="466"/>
        <item x="102"/>
        <item x="825"/>
        <item x="544"/>
        <item x="753"/>
        <item x="765"/>
        <item x="761"/>
        <item x="377"/>
        <item x="626"/>
        <item x="795"/>
        <item x="108"/>
        <item x="966"/>
        <item x="845"/>
        <item x="592"/>
        <item x="732"/>
        <item x="529"/>
        <item x="558"/>
        <item x="520"/>
        <item x="426"/>
        <item x="296"/>
        <item x="500"/>
        <item x="257"/>
        <item x="304"/>
        <item x="858"/>
        <item x="172"/>
        <item x="336"/>
        <item x="586"/>
        <item x="940"/>
        <item x="635"/>
        <item x="199"/>
        <item x="720"/>
        <item x="744"/>
        <item x="576"/>
        <item x="548"/>
        <item x="777"/>
        <item x="112"/>
        <item x="867"/>
        <item x="628"/>
        <item x="869"/>
        <item x="125"/>
        <item x="555"/>
        <item x="577"/>
        <item x="123"/>
        <item x="976"/>
        <item x="637"/>
        <item x="330"/>
        <item x="863"/>
        <item x="952"/>
        <item x="595"/>
        <item x="854"/>
        <item x="143"/>
        <item x="750"/>
        <item x="847"/>
        <item x="578"/>
        <item x="852"/>
        <item x="833"/>
        <item x="266"/>
        <item x="332"/>
        <item x="465"/>
        <item x="612"/>
        <item x="373"/>
        <item x="120"/>
        <item x="36"/>
        <item x="530"/>
        <item x="2"/>
        <item x="570"/>
        <item x="411"/>
        <item x="794"/>
        <item x="883"/>
        <item x="987"/>
        <item x="770"/>
        <item x="470"/>
        <item x="323"/>
        <item x="248"/>
        <item x="94"/>
        <item x="47"/>
        <item x="525"/>
        <item x="218"/>
        <item x="611"/>
        <item x="255"/>
        <item x="273"/>
        <item x="993"/>
        <item x="982"/>
        <item x="694"/>
        <item x="356"/>
        <item x="286"/>
        <item x="89"/>
        <item x="499"/>
        <item x="268"/>
        <item x="459"/>
        <item x="385"/>
        <item x="533"/>
        <item x="225"/>
        <item x="407"/>
        <item x="384"/>
        <item x="25"/>
        <item x="912"/>
        <item x="627"/>
        <item x="106"/>
        <item x="236"/>
        <item x="543"/>
        <item x="285"/>
        <item x="600"/>
        <item x="67"/>
        <item x="420"/>
        <item x="955"/>
        <item x="783"/>
        <item x="433"/>
        <item x="322"/>
        <item x="677"/>
        <item x="989"/>
        <item x="686"/>
        <item x="174"/>
        <item x="713"/>
        <item x="48"/>
        <item x="231"/>
        <item x="654"/>
        <item x="361"/>
        <item x="623"/>
        <item x="560"/>
        <item x="294"/>
        <item x="881"/>
        <item x="997"/>
        <item x="700"/>
        <item x="15"/>
        <item x="974"/>
        <item x="233"/>
        <item x="690"/>
        <item x="333"/>
        <item x="864"/>
        <item x="723"/>
        <item x="679"/>
        <item x="754"/>
        <item x="882"/>
        <item x="780"/>
        <item x="939"/>
        <item x="389"/>
        <item x="380"/>
        <item x="760"/>
        <item x="945"/>
        <item x="559"/>
        <item x="647"/>
        <item x="370"/>
        <item x="641"/>
        <item x="759"/>
        <item x="176"/>
        <item x="649"/>
        <item x="435"/>
        <item x="967"/>
        <item x="683"/>
        <item x="887"/>
        <item x="608"/>
        <item x="142"/>
        <item x="234"/>
        <item x="857"/>
        <item x="650"/>
        <item x="675"/>
        <item x="797"/>
        <item x="670"/>
        <item x="614"/>
        <item x="419"/>
        <item x="918"/>
        <item x="29"/>
        <item x="749"/>
        <item x="152"/>
        <item x="962"/>
        <item x="495"/>
        <item x="100"/>
        <item x="275"/>
        <item x="587"/>
        <item x="946"/>
        <item x="339"/>
        <item x="341"/>
        <item x="743"/>
        <item x="173"/>
        <item x="954"/>
        <item x="906"/>
        <item x="376"/>
        <item x="763"/>
        <item x="45"/>
        <item x="875"/>
        <item x="588"/>
        <item x="60"/>
        <item x="0"/>
        <item x="762"/>
        <item x="299"/>
        <item x="850"/>
        <item x="335"/>
        <item x="349"/>
        <item x="915"/>
        <item x="524"/>
        <item x="689"/>
        <item x="659"/>
        <item x="815"/>
        <item x="971"/>
        <item x="944"/>
        <item x="350"/>
        <item x="328"/>
        <item x="96"/>
        <item x="717"/>
        <item x="719"/>
        <item x="148"/>
        <item x="895"/>
        <item x="103"/>
        <item x="479"/>
        <item x="138"/>
        <item x="288"/>
        <item x="307"/>
        <item x="321"/>
        <item x="678"/>
        <item x="851"/>
        <item x="905"/>
        <item x="671"/>
        <item x="169"/>
        <item x="80"/>
        <item x="631"/>
        <item x="888"/>
        <item x="247"/>
        <item x="531"/>
        <item x="911"/>
        <item x="492"/>
        <item x="871"/>
        <item x="853"/>
        <item x="738"/>
        <item x="926"/>
        <item x="693"/>
        <item x="441"/>
        <item x="846"/>
        <item x="397"/>
        <item x="297"/>
        <item x="839"/>
        <item x="885"/>
        <item x="708"/>
        <item x="405"/>
        <item x="891"/>
        <item x="813"/>
        <item x="984"/>
        <item x="537"/>
        <item x="27"/>
        <item x="651"/>
        <item x="873"/>
        <item x="105"/>
        <item x="79"/>
        <item x="378"/>
        <item x="746"/>
        <item x="615"/>
        <item x="979"/>
        <item x="496"/>
        <item x="532"/>
        <item x="834"/>
        <item x="412"/>
        <item x="191"/>
        <item x="23"/>
        <item x="935"/>
        <item x="353"/>
        <item x="704"/>
        <item x="877"/>
        <item x="937"/>
        <item x="283"/>
        <item x="386"/>
        <item x="121"/>
        <item x="809"/>
        <item x="345"/>
        <item x="277"/>
        <item x="666"/>
        <item x="399"/>
        <item x="861"/>
        <item x="820"/>
        <item x="13"/>
        <item x="718"/>
        <item x="916"/>
        <item x="263"/>
        <item x="672"/>
        <item x="7"/>
        <item x="243"/>
        <item x="527"/>
        <item x="581"/>
        <item x="494"/>
        <item x="220"/>
        <item x="890"/>
        <item x="357"/>
        <item x="705"/>
        <item x="584"/>
        <item x="606"/>
        <item x="810"/>
        <item x="607"/>
        <item x="970"/>
        <item x="874"/>
        <item x="487"/>
        <item x="431"/>
        <item x="534"/>
        <item x="889"/>
        <item x="579"/>
        <item x="177"/>
        <item x="301"/>
        <item x="634"/>
        <item x="791"/>
        <item x="464"/>
        <item x="876"/>
        <item x="547"/>
        <item x="784"/>
        <item x="836"/>
        <item x="395"/>
        <item x="481"/>
        <item x="792"/>
        <item x="202"/>
        <item x="509"/>
        <item x="463"/>
        <item x="585"/>
        <item x="327"/>
        <item x="692"/>
        <item x="415"/>
        <item x="551"/>
        <item x="141"/>
        <item x="90"/>
        <item x="827"/>
        <item x="556"/>
        <item x="716"/>
        <item x="130"/>
        <item x="999"/>
        <item x="432"/>
        <item x="8"/>
        <item x="451"/>
        <item x="822"/>
        <item x="673"/>
        <item x="57"/>
        <item x="507"/>
        <item x="582"/>
        <item x="249"/>
        <item x="55"/>
        <item x="511"/>
        <item x="739"/>
        <item x="564"/>
        <item x="842"/>
        <item x="788"/>
        <item x="541"/>
        <item x="393"/>
        <item x="830"/>
        <item x="893"/>
        <item x="597"/>
        <item x="382"/>
        <item x="835"/>
        <item x="514"/>
        <item x="981"/>
        <item x="484"/>
        <item x="567"/>
        <item x="93"/>
        <item x="491"/>
        <item x="737"/>
        <item x="773"/>
        <item x="801"/>
        <item x="279"/>
        <item x="151"/>
        <item x="81"/>
        <item x="640"/>
        <item x="545"/>
        <item x="978"/>
        <item x="687"/>
        <item x="113"/>
        <item x="374"/>
        <item x="624"/>
        <item x="913"/>
        <item x="688"/>
        <item x="972"/>
        <item x="782"/>
        <item x="731"/>
        <item x="902"/>
        <item x="699"/>
        <item x="137"/>
        <item x="714"/>
        <item x="486"/>
        <item x="632"/>
        <item x="995"/>
        <item x="740"/>
        <item x="919"/>
        <item x="87"/>
        <item x="354"/>
        <item x="452"/>
        <item x="862"/>
        <item x="729"/>
        <item x="931"/>
        <item x="735"/>
        <item x="101"/>
        <item x="115"/>
        <item x="655"/>
        <item x="418"/>
        <item x="116"/>
        <item x="636"/>
        <item x="779"/>
        <item x="855"/>
        <item t="default"/>
      </items>
    </pivotField>
    <pivotField showAll="0"/>
    <pivotField showAll="0">
      <items count="7">
        <item x="5"/>
        <item x="2"/>
        <item x="1"/>
        <item x="0"/>
        <item x="3"/>
        <item x="4"/>
        <item t="default"/>
      </items>
    </pivotField>
    <pivotField showAll="0"/>
    <pivotField showAll="0"/>
    <pivotField showAll="0"/>
    <pivotField showAll="0"/>
    <pivotField showAll="0"/>
    <pivotField showAll="0"/>
    <pivotField showAll="0"/>
    <pivotField dataField="1" showAll="0"/>
    <pivotField showAll="0"/>
    <pivotField showAll="0"/>
    <pivotField showAll="0"/>
    <pivotField numFmtId="2" showAll="0"/>
    <pivotField numFmtId="2" showAll="0"/>
    <pivotField showAll="0"/>
    <pivotField showAll="0"/>
    <pivotField showAll="0"/>
    <pivotField showAll="0"/>
    <pivotField showAll="0"/>
    <pivotField showAll="0"/>
    <pivotField showAll="0">
      <items count="5">
        <item x="0"/>
        <item x="1"/>
        <item x="2"/>
        <item x="3"/>
        <item t="default"/>
      </items>
    </pivotField>
  </pivotFields>
  <rowFields count="2">
    <field x="1"/>
    <field x="0"/>
  </rowFields>
  <rowItems count="2001">
    <i>
      <x/>
    </i>
    <i r="1">
      <x v="589"/>
    </i>
    <i>
      <x v="1"/>
    </i>
    <i r="1">
      <x v="818"/>
    </i>
    <i>
      <x v="2"/>
    </i>
    <i r="1">
      <x v="156"/>
    </i>
    <i>
      <x v="3"/>
    </i>
    <i r="1">
      <x v="943"/>
    </i>
    <i>
      <x v="4"/>
    </i>
    <i r="1">
      <x v="973"/>
    </i>
    <i>
      <x v="5"/>
    </i>
    <i r="1">
      <x v="387"/>
    </i>
    <i>
      <x v="6"/>
    </i>
    <i r="1">
      <x v="221"/>
    </i>
    <i>
      <x v="7"/>
    </i>
    <i r="1">
      <x v="817"/>
    </i>
    <i>
      <x v="8"/>
    </i>
    <i r="1">
      <x v="596"/>
    </i>
    <i>
      <x v="9"/>
    </i>
    <i r="1">
      <x v="793"/>
    </i>
    <i>
      <x v="10"/>
    </i>
    <i r="1">
      <x v="194"/>
    </i>
    <i>
      <x v="11"/>
    </i>
    <i r="1">
      <x v="894"/>
    </i>
    <i>
      <x v="12"/>
    </i>
    <i r="1">
      <x v="900"/>
    </i>
    <i>
      <x v="13"/>
    </i>
    <i r="1">
      <x v="897"/>
    </i>
    <i>
      <x v="14"/>
    </i>
    <i r="1">
      <x v="10"/>
    </i>
    <i>
      <x v="15"/>
    </i>
    <i r="1">
      <x v="721"/>
    </i>
    <i>
      <x v="16"/>
    </i>
    <i r="1">
      <x v="986"/>
    </i>
    <i>
      <x v="17"/>
    </i>
    <i r="1">
      <x v="368"/>
    </i>
    <i>
      <x v="18"/>
    </i>
    <i r="1">
      <x v="264"/>
    </i>
    <i>
      <x v="19"/>
    </i>
    <i r="1">
      <x v="645"/>
    </i>
    <i>
      <x v="20"/>
    </i>
    <i r="1">
      <x v="334"/>
    </i>
    <i>
      <x v="21"/>
    </i>
    <i r="1">
      <x v="843"/>
    </i>
    <i>
      <x v="22"/>
    </i>
    <i r="1">
      <x v="197"/>
    </i>
    <i>
      <x v="23"/>
    </i>
    <i r="1">
      <x v="563"/>
    </i>
    <i>
      <x v="24"/>
    </i>
    <i r="1">
      <x v="477"/>
    </i>
    <i>
      <x v="25"/>
    </i>
    <i r="1">
      <x v="870"/>
    </i>
    <i>
      <x v="26"/>
    </i>
    <i r="1">
      <x v="803"/>
    </i>
    <i>
      <x v="27"/>
    </i>
    <i r="1">
      <x v="44"/>
    </i>
    <i>
      <x v="28"/>
    </i>
    <i r="1">
      <x v="252"/>
    </i>
    <i>
      <x v="29"/>
    </i>
    <i r="1">
      <x v="35"/>
    </i>
    <i>
      <x v="30"/>
    </i>
    <i r="1">
      <x v="276"/>
    </i>
    <i>
      <x v="31"/>
    </i>
    <i r="1">
      <x v="302"/>
    </i>
    <i>
      <x v="32"/>
    </i>
    <i r="1">
      <x v="575"/>
    </i>
    <i>
      <x v="33"/>
    </i>
    <i r="1">
      <x v="238"/>
    </i>
    <i>
      <x v="34"/>
    </i>
    <i r="1">
      <x v="167"/>
    </i>
    <i>
      <x v="35"/>
    </i>
    <i r="1">
      <x v="126"/>
    </i>
    <i>
      <x v="36"/>
    </i>
    <i r="1">
      <x v="320"/>
    </i>
    <i>
      <x v="37"/>
    </i>
    <i r="1">
      <x v="442"/>
    </i>
    <i>
      <x v="38"/>
    </i>
    <i r="1">
      <x v="274"/>
    </i>
    <i>
      <x v="39"/>
    </i>
    <i r="1">
      <x v="245"/>
    </i>
    <i>
      <x v="40"/>
    </i>
    <i r="1">
      <x v="747"/>
    </i>
    <i>
      <x v="41"/>
    </i>
    <i r="1">
      <x v="574"/>
    </i>
    <i>
      <x v="42"/>
    </i>
    <i r="1">
      <x v="309"/>
    </i>
    <i>
      <x v="43"/>
    </i>
    <i r="1">
      <x v="63"/>
    </i>
    <i>
      <x v="44"/>
    </i>
    <i r="1">
      <x v="71"/>
    </i>
    <i>
      <x v="45"/>
    </i>
    <i r="1">
      <x v="516"/>
    </i>
    <i>
      <x v="46"/>
    </i>
    <i r="1">
      <x v="85"/>
    </i>
    <i>
      <x v="47"/>
    </i>
    <i r="1">
      <x v="751"/>
    </i>
    <i>
      <x v="48"/>
    </i>
    <i r="1">
      <x v="922"/>
    </i>
    <i>
      <x v="49"/>
    </i>
    <i r="1">
      <x v="68"/>
    </i>
    <i>
      <x v="50"/>
    </i>
    <i r="1">
      <x v="448"/>
    </i>
    <i>
      <x v="51"/>
    </i>
    <i r="1">
      <x v="462"/>
    </i>
    <i>
      <x v="52"/>
    </i>
    <i r="1">
      <x v="278"/>
    </i>
    <i>
      <x v="53"/>
    </i>
    <i r="1">
      <x v="498"/>
    </i>
    <i>
      <x v="54"/>
    </i>
    <i r="1">
      <x v="838"/>
    </i>
    <i>
      <x v="55"/>
    </i>
    <i r="1">
      <x v="775"/>
    </i>
    <i>
      <x v="56"/>
    </i>
    <i r="1">
      <x v="396"/>
    </i>
    <i>
      <x v="57"/>
    </i>
    <i r="1">
      <x v="571"/>
    </i>
    <i>
      <x v="58"/>
    </i>
    <i r="1">
      <x v="26"/>
    </i>
    <i>
      <x v="59"/>
    </i>
    <i r="1">
      <x v="951"/>
    </i>
    <i>
      <x v="60"/>
    </i>
    <i r="1">
      <x v="848"/>
    </i>
    <i>
      <x v="61"/>
    </i>
    <i r="1">
      <x v="144"/>
    </i>
    <i>
      <x v="62"/>
    </i>
    <i r="1">
      <x v="267"/>
    </i>
    <i>
      <x v="63"/>
    </i>
    <i r="1">
      <x v="18"/>
    </i>
    <i>
      <x v="64"/>
    </i>
    <i r="1">
      <x v="162"/>
    </i>
    <i>
      <x v="65"/>
    </i>
    <i r="1">
      <x v="259"/>
    </i>
    <i>
      <x v="66"/>
    </i>
    <i r="1">
      <x v="213"/>
    </i>
    <i>
      <x v="67"/>
    </i>
    <i r="1">
      <x v="78"/>
    </i>
    <i>
      <x v="68"/>
    </i>
    <i r="1">
      <x v="730"/>
    </i>
    <i>
      <x v="69"/>
    </i>
    <i r="1">
      <x v="171"/>
    </i>
    <i>
      <x v="70"/>
    </i>
    <i r="1">
      <x v="362"/>
    </i>
    <i>
      <x v="71"/>
    </i>
    <i r="1">
      <x v="896"/>
    </i>
    <i>
      <x v="72"/>
    </i>
    <i r="1">
      <x v="469"/>
    </i>
    <i>
      <x v="73"/>
    </i>
    <i r="1">
      <x v="375"/>
    </i>
    <i>
      <x v="74"/>
    </i>
    <i r="1">
      <x v="868"/>
    </i>
    <i>
      <x v="75"/>
    </i>
    <i r="1">
      <x v="270"/>
    </i>
    <i>
      <x v="76"/>
    </i>
    <i r="1">
      <x v="82"/>
    </i>
    <i>
      <x v="77"/>
    </i>
    <i r="1">
      <x v="443"/>
    </i>
    <i>
      <x v="78"/>
    </i>
    <i r="1">
      <x v="629"/>
    </i>
    <i>
      <x v="79"/>
    </i>
    <i r="1">
      <x v="394"/>
    </i>
    <i>
      <x v="80"/>
    </i>
    <i r="1">
      <x v="338"/>
    </i>
    <i>
      <x v="81"/>
    </i>
    <i r="1">
      <x v="207"/>
    </i>
    <i>
      <x v="82"/>
    </i>
    <i r="1">
      <x v="237"/>
    </i>
    <i>
      <x v="83"/>
    </i>
    <i r="1">
      <x v="488"/>
    </i>
    <i>
      <x v="84"/>
    </i>
    <i r="1">
      <x v="391"/>
    </i>
    <i>
      <x v="85"/>
    </i>
    <i r="1">
      <x v="478"/>
    </i>
    <i>
      <x v="86"/>
    </i>
    <i r="1">
      <x v="844"/>
    </i>
    <i>
      <x v="87"/>
    </i>
    <i r="1">
      <x v="804"/>
    </i>
    <i>
      <x v="88"/>
    </i>
    <i r="1">
      <x v="16"/>
    </i>
    <i>
      <x v="89"/>
    </i>
    <i r="1">
      <x v="764"/>
    </i>
    <i>
      <x v="90"/>
    </i>
    <i r="1">
      <x v="11"/>
    </i>
    <i>
      <x v="91"/>
    </i>
    <i r="1">
      <x v="229"/>
    </i>
    <i>
      <x v="92"/>
    </i>
    <i r="1">
      <x v="724"/>
    </i>
    <i>
      <x v="93"/>
    </i>
    <i r="1">
      <x v="358"/>
    </i>
    <i>
      <x v="94"/>
    </i>
    <i r="1">
      <x v="819"/>
    </i>
    <i>
      <x v="95"/>
    </i>
    <i r="1">
      <x v="805"/>
    </i>
    <i>
      <x v="96"/>
    </i>
    <i r="1">
      <x v="65"/>
    </i>
    <i>
      <x v="97"/>
    </i>
    <i r="1">
      <x v="758"/>
    </i>
    <i>
      <x v="98"/>
    </i>
    <i r="1">
      <x v="468"/>
    </i>
    <i>
      <x v="99"/>
    </i>
    <i r="1">
      <x v="88"/>
    </i>
    <i>
      <x v="100"/>
    </i>
    <i r="1">
      <x v="315"/>
    </i>
    <i>
      <x v="101"/>
    </i>
    <i r="1">
      <x v="193"/>
    </i>
    <i>
      <x v="102"/>
    </i>
    <i r="1">
      <x v="648"/>
    </i>
    <i>
      <x v="103"/>
    </i>
    <i r="1">
      <x v="303"/>
    </i>
    <i>
      <x v="104"/>
    </i>
    <i r="1">
      <x v="30"/>
    </i>
    <i>
      <x v="105"/>
    </i>
    <i r="1">
      <x v="557"/>
    </i>
    <i>
      <x v="106"/>
    </i>
    <i r="1">
      <x v="253"/>
    </i>
    <i>
      <x v="107"/>
    </i>
    <i r="1">
      <x v="622"/>
    </i>
    <i>
      <x v="108"/>
    </i>
    <i r="1">
      <x v="460"/>
    </i>
    <i>
      <x v="109"/>
    </i>
    <i r="1">
      <x v="914"/>
    </i>
    <i>
      <x v="110"/>
    </i>
    <i r="1">
      <x v="561"/>
    </i>
    <i>
      <x v="111"/>
    </i>
    <i r="1">
      <x v="398"/>
    </i>
    <i>
      <x v="112"/>
    </i>
    <i r="1">
      <x v="489"/>
    </i>
    <i>
      <x v="113"/>
    </i>
    <i r="1">
      <x v="513"/>
    </i>
    <i>
      <x v="114"/>
    </i>
    <i r="1">
      <x v="131"/>
    </i>
    <i>
      <x v="115"/>
    </i>
    <i r="1">
      <x v="757"/>
    </i>
    <i>
      <x v="116"/>
    </i>
    <i r="1">
      <x v="70"/>
    </i>
    <i>
      <x v="117"/>
    </i>
    <i r="1">
      <x v="210"/>
    </i>
    <i>
      <x v="118"/>
    </i>
    <i r="1">
      <x v="503"/>
    </i>
    <i>
      <x v="119"/>
    </i>
    <i r="1">
      <x v="344"/>
    </i>
    <i>
      <x v="120"/>
    </i>
    <i r="1">
      <x v="423"/>
    </i>
    <i>
      <x v="121"/>
    </i>
    <i r="1">
      <x v="134"/>
    </i>
    <i>
      <x v="122"/>
    </i>
    <i r="1">
      <x v="776"/>
    </i>
    <i>
      <x v="123"/>
    </i>
    <i r="1">
      <x v="985"/>
    </i>
    <i>
      <x v="124"/>
    </i>
    <i r="1">
      <x v="331"/>
    </i>
    <i>
      <x v="125"/>
    </i>
    <i r="1">
      <x v="771"/>
    </i>
    <i>
      <x v="126"/>
    </i>
    <i r="1">
      <x v="337"/>
    </i>
    <i>
      <x v="127"/>
    </i>
    <i r="1">
      <x v="50"/>
    </i>
    <i>
      <x v="128"/>
    </i>
    <i r="1">
      <x v="136"/>
    </i>
    <i>
      <x v="129"/>
    </i>
    <i r="1">
      <x v="261"/>
    </i>
    <i>
      <x v="130"/>
    </i>
    <i r="1">
      <x v="281"/>
    </i>
    <i>
      <x v="131"/>
    </i>
    <i r="1">
      <x v="929"/>
    </i>
    <i>
      <x v="132"/>
    </i>
    <i r="1">
      <x v="569"/>
    </i>
    <i>
      <x v="133"/>
    </i>
    <i r="1">
      <x v="898"/>
    </i>
    <i>
      <x v="134"/>
    </i>
    <i r="1">
      <x v="444"/>
    </i>
    <i>
      <x v="135"/>
    </i>
    <i r="1">
      <x v="865"/>
    </i>
    <i>
      <x v="136"/>
    </i>
    <i r="1">
      <x v="467"/>
    </i>
    <i>
      <x v="137"/>
    </i>
    <i r="1">
      <x v="161"/>
    </i>
    <i>
      <x v="138"/>
    </i>
    <i r="1">
      <x v="413"/>
    </i>
    <i>
      <x v="139"/>
    </i>
    <i r="1">
      <x v="565"/>
    </i>
    <i>
      <x v="140"/>
    </i>
    <i r="1">
      <x v="182"/>
    </i>
    <i>
      <x v="141"/>
    </i>
    <i r="1">
      <x v="208"/>
    </i>
    <i>
      <x v="142"/>
    </i>
    <i r="1">
      <x v="502"/>
    </i>
    <i>
      <x v="143"/>
    </i>
    <i r="1">
      <x v="457"/>
    </i>
    <i>
      <x v="144"/>
    </i>
    <i r="1">
      <x v="811"/>
    </i>
    <i>
      <x v="145"/>
    </i>
    <i r="1">
      <x v="410"/>
    </i>
    <i>
      <x v="146"/>
    </i>
    <i r="1">
      <x v="425"/>
    </i>
    <i>
      <x v="147"/>
    </i>
    <i r="1">
      <x v="610"/>
    </i>
    <i>
      <x v="148"/>
    </i>
    <i r="1">
      <x v="733"/>
    </i>
    <i>
      <x v="149"/>
    </i>
    <i r="1">
      <x v="552"/>
    </i>
    <i>
      <x v="150"/>
    </i>
    <i r="1">
      <x v="76"/>
    </i>
    <i>
      <x v="151"/>
    </i>
    <i r="1">
      <x v="573"/>
    </i>
    <i>
      <x v="152"/>
    </i>
    <i r="1">
      <x v="282"/>
    </i>
    <i>
      <x v="153"/>
    </i>
    <i r="1">
      <x v="104"/>
    </i>
    <i>
      <x v="154"/>
    </i>
    <i r="1">
      <x v="680"/>
    </i>
    <i>
      <x v="155"/>
    </i>
    <i r="1">
      <x v="408"/>
    </i>
    <i>
      <x v="156"/>
    </i>
    <i r="1">
      <x v="841"/>
    </i>
    <i>
      <x v="157"/>
    </i>
    <i r="1">
      <x v="326"/>
    </i>
    <i>
      <x v="158"/>
    </i>
    <i r="1">
      <x v="406"/>
    </i>
    <i>
      <x v="159"/>
    </i>
    <i r="1">
      <x v="73"/>
    </i>
    <i>
      <x v="160"/>
    </i>
    <i r="1">
      <x v="583"/>
    </i>
    <i>
      <x v="161"/>
    </i>
    <i r="1">
      <x v="437"/>
    </i>
    <i>
      <x v="162"/>
    </i>
    <i r="1">
      <x v="506"/>
    </i>
    <i>
      <x v="163"/>
    </i>
    <i r="1">
      <x v="709"/>
    </i>
    <i>
      <x v="164"/>
    </i>
    <i r="1">
      <x v="226"/>
    </i>
    <i>
      <x v="165"/>
    </i>
    <i r="1">
      <x v="515"/>
    </i>
    <i>
      <x v="166"/>
    </i>
    <i r="1">
      <x v="536"/>
    </i>
    <i>
      <x v="167"/>
    </i>
    <i r="1">
      <x v="72"/>
    </i>
    <i>
      <x v="168"/>
    </i>
    <i r="1">
      <x v="284"/>
    </i>
    <i>
      <x v="169"/>
    </i>
    <i r="1">
      <x v="860"/>
    </i>
    <i>
      <x v="170"/>
    </i>
    <i r="1">
      <x v="313"/>
    </i>
    <i>
      <x v="171"/>
    </i>
    <i r="1">
      <x v="958"/>
    </i>
    <i>
      <x v="172"/>
    </i>
    <i r="1">
      <x v="12"/>
    </i>
    <i>
      <x v="173"/>
    </i>
    <i r="1">
      <x v="365"/>
    </i>
    <i>
      <x v="174"/>
    </i>
    <i r="1">
      <x v="669"/>
    </i>
    <i>
      <x v="175"/>
    </i>
    <i r="1">
      <x v="474"/>
    </i>
    <i>
      <x v="176"/>
    </i>
    <i r="1">
      <x v="53"/>
    </i>
    <i>
      <x v="177"/>
    </i>
    <i r="1">
      <x v="508"/>
    </i>
    <i>
      <x v="178"/>
    </i>
    <i r="1">
      <x v="149"/>
    </i>
    <i>
      <x v="179"/>
    </i>
    <i r="1">
      <x v="947"/>
    </i>
    <i>
      <x v="180"/>
    </i>
    <i r="1">
      <x v="4"/>
    </i>
    <i>
      <x v="181"/>
    </i>
    <i r="1">
      <x v="439"/>
    </i>
    <i>
      <x v="182"/>
    </i>
    <i r="1">
      <x v="364"/>
    </i>
    <i>
      <x v="183"/>
    </i>
    <i r="1">
      <x v="204"/>
    </i>
    <i>
      <x v="184"/>
    </i>
    <i r="1">
      <x v="308"/>
    </i>
    <i>
      <x v="185"/>
    </i>
    <i r="1">
      <x v="957"/>
    </i>
    <i>
      <x v="186"/>
    </i>
    <i r="1">
      <x v="74"/>
    </i>
    <i>
      <x v="187"/>
    </i>
    <i r="1">
      <x v="824"/>
    </i>
    <i>
      <x v="188"/>
    </i>
    <i r="1">
      <x v="427"/>
    </i>
    <i>
      <x v="189"/>
    </i>
    <i r="1">
      <x v="392"/>
    </i>
    <i>
      <x v="190"/>
    </i>
    <i r="1">
      <x v="568"/>
    </i>
    <i>
      <x v="191"/>
    </i>
    <i r="1">
      <x v="117"/>
    </i>
    <i>
      <x v="192"/>
    </i>
    <i r="1">
      <x v="159"/>
    </i>
    <i>
      <x v="193"/>
    </i>
    <i r="1">
      <x v="681"/>
    </i>
    <i>
      <x v="194"/>
    </i>
    <i r="1">
      <x v="980"/>
    </i>
    <i>
      <x v="195"/>
    </i>
    <i r="1">
      <x v="772"/>
    </i>
    <i>
      <x v="196"/>
    </i>
    <i r="1">
      <x v="32"/>
    </i>
    <i>
      <x v="197"/>
    </i>
    <i r="1">
      <x v="446"/>
    </i>
    <i>
      <x v="198"/>
    </i>
    <i r="1">
      <x v="424"/>
    </i>
    <i>
      <x v="199"/>
    </i>
    <i r="1">
      <x v="118"/>
    </i>
    <i>
      <x v="200"/>
    </i>
    <i r="1">
      <x v="256"/>
    </i>
    <i>
      <x v="201"/>
    </i>
    <i r="1">
      <x v="372"/>
    </i>
    <i>
      <x v="202"/>
    </i>
    <i r="1">
      <x v="927"/>
    </i>
    <i>
      <x v="203"/>
    </i>
    <i r="1">
      <x v="598"/>
    </i>
    <i>
      <x v="204"/>
    </i>
    <i r="1">
      <x v="745"/>
    </i>
    <i>
      <x v="205"/>
    </i>
    <i r="1">
      <x v="312"/>
    </i>
    <i>
      <x v="206"/>
    </i>
    <i r="1">
      <x v="482"/>
    </i>
    <i>
      <x v="207"/>
    </i>
    <i r="1">
      <x v="652"/>
    </i>
    <i>
      <x v="208"/>
    </i>
    <i r="1">
      <x v="752"/>
    </i>
    <i>
      <x v="209"/>
    </i>
    <i r="1">
      <x v="246"/>
    </i>
    <i>
      <x v="210"/>
    </i>
    <i r="1">
      <x v="512"/>
    </i>
    <i>
      <x v="211"/>
    </i>
    <i r="1">
      <x v="639"/>
    </i>
    <i>
      <x v="212"/>
    </i>
    <i r="1">
      <x v="109"/>
    </i>
    <i>
      <x v="213"/>
    </i>
    <i r="1">
      <x v="140"/>
    </i>
    <i>
      <x v="214"/>
    </i>
    <i r="1">
      <x v="601"/>
    </i>
    <i>
      <x v="215"/>
    </i>
    <i r="1">
      <x v="903"/>
    </i>
    <i>
      <x v="216"/>
    </i>
    <i r="1">
      <x v="461"/>
    </i>
    <i>
      <x v="217"/>
    </i>
    <i r="1">
      <x v="728"/>
    </i>
    <i>
      <x v="218"/>
    </i>
    <i r="1">
      <x v="189"/>
    </i>
    <i>
      <x v="219"/>
    </i>
    <i r="1">
      <x v="458"/>
    </i>
    <i>
      <x v="220"/>
    </i>
    <i r="1">
      <x v="34"/>
    </i>
    <i>
      <x v="221"/>
    </i>
    <i r="1">
      <x v="521"/>
    </i>
    <i>
      <x v="222"/>
    </i>
    <i r="1">
      <x v="403"/>
    </i>
    <i>
      <x v="223"/>
    </i>
    <i r="1">
      <x v="147"/>
    </i>
    <i>
      <x v="224"/>
    </i>
    <i r="1">
      <x v="17"/>
    </i>
    <i>
      <x v="225"/>
    </i>
    <i r="1">
      <x v="196"/>
    </i>
    <i>
      <x v="226"/>
    </i>
    <i r="1">
      <x v="748"/>
    </i>
    <i>
      <x v="227"/>
    </i>
    <i r="1">
      <x v="961"/>
    </i>
    <i>
      <x v="228"/>
    </i>
    <i r="1">
      <x v="56"/>
    </i>
    <i>
      <x v="229"/>
    </i>
    <i r="1">
      <x v="181"/>
    </i>
    <i>
      <x v="230"/>
    </i>
    <i r="1">
      <x v="992"/>
    </i>
    <i>
      <x v="231"/>
    </i>
    <i r="1">
      <x v="938"/>
    </i>
    <i>
      <x v="232"/>
    </i>
    <i r="1">
      <x v="183"/>
    </i>
    <i>
      <x v="233"/>
    </i>
    <i r="1">
      <x v="46"/>
    </i>
    <i>
      <x v="234"/>
    </i>
    <i r="1">
      <x v="638"/>
    </i>
    <i>
      <x v="235"/>
    </i>
    <i r="1">
      <x v="209"/>
    </i>
    <i>
      <x v="236"/>
    </i>
    <i r="1">
      <x v="977"/>
    </i>
    <i>
      <x v="237"/>
    </i>
    <i r="1">
      <x v="379"/>
    </i>
    <i>
      <x v="238"/>
    </i>
    <i r="1">
      <x v="230"/>
    </i>
    <i>
      <x v="239"/>
    </i>
    <i r="1">
      <x v="43"/>
    </i>
    <i>
      <x v="240"/>
    </i>
    <i r="1">
      <x v="450"/>
    </i>
    <i>
      <x v="241"/>
    </i>
    <i r="1">
      <x v="549"/>
    </i>
    <i>
      <x v="242"/>
    </i>
    <i r="1">
      <x v="994"/>
    </i>
    <i>
      <x v="243"/>
    </i>
    <i r="1">
      <x v="185"/>
    </i>
    <i>
      <x v="244"/>
    </i>
    <i r="1">
      <x v="682"/>
    </i>
    <i>
      <x v="245"/>
    </i>
    <i r="1">
      <x v="404"/>
    </i>
    <i>
      <x v="246"/>
    </i>
    <i r="1">
      <x v="665"/>
    </i>
    <i>
      <x v="247"/>
    </i>
    <i r="1">
      <x v="306"/>
    </i>
    <i>
      <x v="248"/>
    </i>
    <i r="1">
      <x v="369"/>
    </i>
    <i>
      <x v="249"/>
    </i>
    <i r="1">
      <x v="178"/>
    </i>
    <i>
      <x v="250"/>
    </i>
    <i r="1">
      <x v="219"/>
    </i>
    <i>
      <x v="251"/>
    </i>
    <i r="1">
      <x v="948"/>
    </i>
    <i>
      <x v="252"/>
    </i>
    <i r="1">
      <x v="241"/>
    </i>
    <i>
      <x v="253"/>
    </i>
    <i r="1">
      <x v="205"/>
    </i>
    <i>
      <x v="254"/>
    </i>
    <i r="1">
      <x v="265"/>
    </i>
    <i>
      <x v="255"/>
    </i>
    <i r="1">
      <x v="163"/>
    </i>
    <i>
      <x v="256"/>
    </i>
    <i r="1">
      <x v="145"/>
    </i>
    <i>
      <x v="257"/>
    </i>
    <i r="1">
      <x v="445"/>
    </i>
    <i>
      <x v="258"/>
    </i>
    <i r="1">
      <x v="605"/>
    </i>
    <i>
      <x v="259"/>
    </i>
    <i r="1">
      <x v="768"/>
    </i>
    <i>
      <x v="260"/>
    </i>
    <i r="1">
      <x v="401"/>
    </i>
    <i>
      <x v="261"/>
    </i>
    <i r="1">
      <x v="416"/>
    </i>
    <i>
      <x v="262"/>
    </i>
    <i r="1">
      <x v="232"/>
    </i>
    <i>
      <x v="263"/>
    </i>
    <i r="1">
      <x v="258"/>
    </i>
    <i>
      <x v="264"/>
    </i>
    <i r="1">
      <x v="618"/>
    </i>
    <i>
      <x v="265"/>
    </i>
    <i r="1">
      <x v="223"/>
    </i>
    <i>
      <x v="266"/>
    </i>
    <i r="1">
      <x v="781"/>
    </i>
    <i>
      <x v="267"/>
    </i>
    <i r="1">
      <x v="602"/>
    </i>
    <i>
      <x v="268"/>
    </i>
    <i r="1">
      <x v="789"/>
    </i>
    <i>
      <x v="269"/>
    </i>
    <i r="1">
      <x v="920"/>
    </i>
    <i>
      <x v="270"/>
    </i>
    <i r="1">
      <x v="316"/>
    </i>
    <i>
      <x v="271"/>
    </i>
    <i r="1">
      <x v="899"/>
    </i>
    <i>
      <x v="272"/>
    </i>
    <i r="1">
      <x v="133"/>
    </i>
    <i>
      <x v="273"/>
    </i>
    <i r="1">
      <x v="711"/>
    </i>
    <i>
      <x v="274"/>
    </i>
    <i r="1">
      <x v="831"/>
    </i>
    <i>
      <x v="275"/>
    </i>
    <i r="1">
      <x v="300"/>
    </i>
    <i>
      <x v="276"/>
    </i>
    <i r="1">
      <x v="31"/>
    </i>
    <i>
      <x v="277"/>
    </i>
    <i r="1">
      <x v="216"/>
    </i>
    <i>
      <x v="278"/>
    </i>
    <i r="1">
      <x v="664"/>
    </i>
    <i>
      <x v="279"/>
    </i>
    <i r="1">
      <x v="475"/>
    </i>
    <i>
      <x v="280"/>
    </i>
    <i r="1">
      <x v="990"/>
    </i>
    <i>
      <x v="281"/>
    </i>
    <i r="1">
      <x v="840"/>
    </i>
    <i>
      <x v="282"/>
    </i>
    <i r="1">
      <x v="522"/>
    </i>
    <i>
      <x v="283"/>
    </i>
    <i r="1">
      <x v="298"/>
    </i>
    <i>
      <x v="284"/>
    </i>
    <i r="1">
      <x v="170"/>
    </i>
    <i>
      <x v="285"/>
    </i>
    <i r="1">
      <x v="778"/>
    </i>
    <i>
      <x v="286"/>
    </i>
    <i r="1">
      <x v="808"/>
    </i>
    <i>
      <x v="287"/>
    </i>
    <i r="1">
      <x v="92"/>
    </i>
    <i>
      <x v="288"/>
    </i>
    <i r="1">
      <x v="305"/>
    </i>
    <i>
      <x v="289"/>
    </i>
    <i r="1">
      <x v="936"/>
    </i>
    <i>
      <x v="290"/>
    </i>
    <i r="1">
      <x v="473"/>
    </i>
    <i>
      <x v="291"/>
    </i>
    <i r="1">
      <x v="124"/>
    </i>
    <i>
      <x v="292"/>
    </i>
    <i r="1">
      <x v="619"/>
    </i>
    <i>
      <x v="293"/>
    </i>
    <i r="1">
      <x v="325"/>
    </i>
    <i>
      <x v="294"/>
    </i>
    <i r="1">
      <x v="99"/>
    </i>
    <i>
      <x v="295"/>
    </i>
    <i r="1">
      <x v="630"/>
    </i>
    <i>
      <x v="296"/>
    </i>
    <i r="1">
      <x v="646"/>
    </i>
    <i>
      <x v="297"/>
    </i>
    <i r="1">
      <x v="317"/>
    </i>
    <i>
      <x v="298"/>
    </i>
    <i r="1">
      <x v="165"/>
    </i>
    <i>
      <x v="299"/>
    </i>
    <i r="1">
      <x v="157"/>
    </i>
    <i>
      <x v="300"/>
    </i>
    <i r="1">
      <x v="707"/>
    </i>
    <i>
      <x v="301"/>
    </i>
    <i r="1">
      <x v="352"/>
    </i>
    <i>
      <x v="302"/>
    </i>
    <i r="1">
      <x v="179"/>
    </i>
    <i>
      <x v="303"/>
    </i>
    <i r="1">
      <x v="348"/>
    </i>
    <i>
      <x v="304"/>
    </i>
    <i r="1">
      <x v="54"/>
    </i>
    <i>
      <x v="305"/>
    </i>
    <i r="1">
      <x v="154"/>
    </i>
    <i>
      <x v="306"/>
    </i>
    <i r="1">
      <x v="710"/>
    </i>
    <i>
      <x v="307"/>
    </i>
    <i r="1">
      <x v="164"/>
    </i>
    <i>
      <x v="308"/>
    </i>
    <i r="1">
      <x v="667"/>
    </i>
    <i>
      <x v="309"/>
    </i>
    <i r="1">
      <x v="61"/>
    </i>
    <i>
      <x v="310"/>
    </i>
    <i r="1">
      <x v="184"/>
    </i>
    <i>
      <x v="311"/>
    </i>
    <i r="1">
      <x v="455"/>
    </i>
    <i>
      <x v="312"/>
    </i>
    <i r="1">
      <x v="866"/>
    </i>
    <i>
      <x v="313"/>
    </i>
    <i r="1">
      <x v="280"/>
    </i>
    <i>
      <x v="314"/>
    </i>
    <i r="1">
      <x v="767"/>
    </i>
    <i>
      <x v="315"/>
    </i>
    <i r="1">
      <x v="215"/>
    </i>
    <i>
      <x v="316"/>
    </i>
    <i r="1">
      <x v="483"/>
    </i>
    <i>
      <x v="317"/>
    </i>
    <i r="1">
      <x v="33"/>
    </i>
    <i>
      <x v="318"/>
    </i>
    <i r="1">
      <x v="685"/>
    </i>
    <i>
      <x v="319"/>
    </i>
    <i r="1">
      <x v="417"/>
    </i>
    <i>
      <x v="320"/>
    </i>
    <i r="1">
      <x v="271"/>
    </i>
    <i>
      <x v="321"/>
    </i>
    <i r="1">
      <x v="319"/>
    </i>
    <i>
      <x v="322"/>
    </i>
    <i r="1">
      <x v="289"/>
    </i>
    <i>
      <x v="323"/>
    </i>
    <i r="1">
      <x v="829"/>
    </i>
    <i>
      <x v="324"/>
    </i>
    <i r="1">
      <x v="725"/>
    </i>
    <i>
      <x v="325"/>
    </i>
    <i r="1">
      <x v="287"/>
    </i>
    <i>
      <x v="326"/>
    </i>
    <i r="1">
      <x v="695"/>
    </i>
    <i>
      <x v="327"/>
    </i>
    <i r="1">
      <x v="293"/>
    </i>
    <i>
      <x v="328"/>
    </i>
    <i r="1">
      <x v="904"/>
    </i>
    <i>
      <x v="329"/>
    </i>
    <i r="1">
      <x v="604"/>
    </i>
    <i>
      <x v="330"/>
    </i>
    <i r="1">
      <x v="38"/>
    </i>
    <i>
      <x v="331"/>
    </i>
    <i r="1">
      <x v="192"/>
    </i>
    <i>
      <x v="332"/>
    </i>
    <i r="1">
      <x v="790"/>
    </i>
    <i>
      <x v="333"/>
    </i>
    <i r="1">
      <x v="132"/>
    </i>
    <i>
      <x v="334"/>
    </i>
    <i r="1">
      <x v="49"/>
    </i>
    <i>
      <x v="335"/>
    </i>
    <i r="1">
      <x v="212"/>
    </i>
    <i>
      <x v="336"/>
    </i>
    <i r="1">
      <x v="402"/>
    </i>
    <i>
      <x v="337"/>
    </i>
    <i r="1">
      <x v="593"/>
    </i>
    <i>
      <x v="338"/>
    </i>
    <i r="1">
      <x v="203"/>
    </i>
    <i>
      <x v="339"/>
    </i>
    <i r="1">
      <x v="188"/>
    </i>
    <i>
      <x v="340"/>
    </i>
    <i r="1">
      <x v="383"/>
    </i>
    <i>
      <x v="341"/>
    </i>
    <i r="1">
      <x v="9"/>
    </i>
    <i>
      <x v="342"/>
    </i>
    <i r="1">
      <x v="454"/>
    </i>
    <i>
      <x v="343"/>
    </i>
    <i r="1">
      <x v="510"/>
    </i>
    <i>
      <x v="344"/>
    </i>
    <i r="1">
      <x v="703"/>
    </i>
    <i>
      <x v="345"/>
    </i>
    <i r="1">
      <x v="222"/>
    </i>
    <i>
      <x v="346"/>
    </i>
    <i r="1">
      <x v="449"/>
    </i>
    <i>
      <x v="347"/>
    </i>
    <i r="1">
      <x v="620"/>
    </i>
    <i>
      <x v="348"/>
    </i>
    <i r="1">
      <x v="359"/>
    </i>
    <i>
      <x v="349"/>
    </i>
    <i r="1">
      <x v="662"/>
    </i>
    <i>
      <x v="350"/>
    </i>
    <i r="1">
      <x v="3"/>
    </i>
    <i>
      <x v="351"/>
    </i>
    <i r="1">
      <x v="110"/>
    </i>
    <i>
      <x v="352"/>
    </i>
    <i r="1">
      <x v="69"/>
    </i>
    <i>
      <x v="353"/>
    </i>
    <i r="1">
      <x v="21"/>
    </i>
    <i>
      <x v="354"/>
    </i>
    <i r="1">
      <x v="19"/>
    </i>
    <i>
      <x v="355"/>
    </i>
    <i r="1">
      <x v="244"/>
    </i>
    <i>
      <x v="356"/>
    </i>
    <i r="1">
      <x v="878"/>
    </i>
    <i>
      <x v="357"/>
    </i>
    <i r="1">
      <x v="14"/>
    </i>
    <i>
      <x v="358"/>
    </i>
    <i r="1">
      <x v="58"/>
    </i>
    <i>
      <x v="359"/>
    </i>
    <i r="1">
      <x v="41"/>
    </i>
    <i>
      <x v="360"/>
    </i>
    <i r="1">
      <x v="5"/>
    </i>
    <i>
      <x v="361"/>
    </i>
    <i r="1">
      <x v="195"/>
    </i>
    <i>
      <x v="362"/>
    </i>
    <i r="1">
      <x v="996"/>
    </i>
    <i>
      <x v="363"/>
    </i>
    <i r="1">
      <x v="660"/>
    </i>
    <i>
      <x v="364"/>
    </i>
    <i r="1">
      <x v="621"/>
    </i>
    <i>
      <x v="365"/>
    </i>
    <i r="1">
      <x v="928"/>
    </i>
    <i>
      <x v="366"/>
    </i>
    <i r="1">
      <x v="661"/>
    </i>
    <i>
      <x v="367"/>
    </i>
    <i r="1">
      <x v="924"/>
    </i>
    <i>
      <x v="368"/>
    </i>
    <i r="1">
      <x v="519"/>
    </i>
    <i>
      <x v="369"/>
    </i>
    <i r="1">
      <x v="292"/>
    </i>
    <i>
      <x v="370"/>
    </i>
    <i r="1">
      <x v="826"/>
    </i>
    <i>
      <x v="371"/>
    </i>
    <i r="1">
      <x v="37"/>
    </i>
    <i>
      <x v="372"/>
    </i>
    <i r="1">
      <x v="64"/>
    </i>
    <i>
      <x v="373"/>
    </i>
    <i r="1">
      <x v="983"/>
    </i>
    <i>
      <x v="374"/>
    </i>
    <i r="1">
      <x v="702"/>
    </i>
    <i>
      <x v="375"/>
    </i>
    <i r="1">
      <x v="422"/>
    </i>
    <i>
      <x v="376"/>
    </i>
    <i r="1">
      <x v="736"/>
    </i>
    <i>
      <x v="377"/>
    </i>
    <i r="1">
      <x v="453"/>
    </i>
    <i>
      <x v="378"/>
    </i>
    <i r="1">
      <x v="114"/>
    </i>
    <i>
      <x v="379"/>
    </i>
    <i r="1">
      <x v="200"/>
    </i>
    <i>
      <x v="380"/>
    </i>
    <i r="1">
      <x v="168"/>
    </i>
    <i>
      <x v="381"/>
    </i>
    <i r="1">
      <x v="107"/>
    </i>
    <i>
      <x v="382"/>
    </i>
    <i r="1">
      <x v="251"/>
    </i>
    <i>
      <x v="383"/>
    </i>
    <i r="1">
      <x v="342"/>
    </i>
    <i>
      <x v="384"/>
    </i>
    <i r="1">
      <x v="476"/>
    </i>
    <i>
      <x v="385"/>
    </i>
    <i r="1">
      <x v="390"/>
    </i>
    <i>
      <x v="386"/>
    </i>
    <i r="1">
      <x v="98"/>
    </i>
    <i>
      <x v="387"/>
    </i>
    <i r="1">
      <x v="430"/>
    </i>
    <i>
      <x v="388"/>
    </i>
    <i r="1">
      <x v="86"/>
    </i>
    <i>
      <x v="389"/>
    </i>
    <i r="1">
      <x v="550"/>
    </i>
    <i>
      <x v="390"/>
    </i>
    <i r="1">
      <x v="235"/>
    </i>
    <i>
      <x v="391"/>
    </i>
    <i r="1">
      <x v="603"/>
    </i>
    <i>
      <x v="392"/>
    </i>
    <i r="1">
      <x v="566"/>
    </i>
    <i>
      <x v="393"/>
    </i>
    <i r="1">
      <x v="51"/>
    </i>
    <i>
      <x v="394"/>
    </i>
    <i r="1">
      <x v="291"/>
    </i>
    <i>
      <x v="395"/>
    </i>
    <i r="1">
      <x v="968"/>
    </i>
    <i>
      <x v="396"/>
    </i>
    <i r="1">
      <x v="727"/>
    </i>
    <i>
      <x v="397"/>
    </i>
    <i r="1">
      <x v="122"/>
    </i>
    <i>
      <x v="398"/>
    </i>
    <i r="1">
      <x v="766"/>
    </i>
    <i>
      <x v="399"/>
    </i>
    <i r="1">
      <x v="807"/>
    </i>
    <i>
      <x v="400"/>
    </i>
    <i r="1">
      <x v="95"/>
    </i>
    <i>
      <x v="401"/>
    </i>
    <i r="1">
      <x v="562"/>
    </i>
    <i>
      <x v="402"/>
    </i>
    <i r="1">
      <x v="933"/>
    </i>
    <i>
      <x v="403"/>
    </i>
    <i r="1">
      <x v="190"/>
    </i>
    <i>
      <x v="404"/>
    </i>
    <i r="1">
      <x v="490"/>
    </i>
    <i>
      <x v="405"/>
    </i>
    <i r="1">
      <x v="676"/>
    </i>
    <i>
      <x v="406"/>
    </i>
    <i r="1">
      <x v="228"/>
    </i>
    <i>
      <x v="407"/>
    </i>
    <i r="1">
      <x v="242"/>
    </i>
    <i>
      <x v="408"/>
    </i>
    <i r="1">
      <x v="988"/>
    </i>
    <i>
      <x v="409"/>
    </i>
    <i r="1">
      <x v="20"/>
    </i>
    <i>
      <x v="410"/>
    </i>
    <i r="1">
      <x v="224"/>
    </i>
    <i>
      <x v="411"/>
    </i>
    <i r="1">
      <x v="472"/>
    </i>
    <i>
      <x v="412"/>
    </i>
    <i r="1">
      <x v="272"/>
    </i>
    <i>
      <x v="413"/>
    </i>
    <i r="1">
      <x v="351"/>
    </i>
    <i>
      <x v="414"/>
    </i>
    <i r="1">
      <x v="175"/>
    </i>
    <i>
      <x v="415"/>
    </i>
    <i r="1">
      <x v="160"/>
    </i>
    <i>
      <x v="416"/>
    </i>
    <i r="1">
      <x v="828"/>
    </i>
    <i>
      <x v="417"/>
    </i>
    <i r="1">
      <x v="371"/>
    </i>
    <i>
      <x v="418"/>
    </i>
    <i r="1">
      <x v="254"/>
    </i>
    <i>
      <x v="419"/>
    </i>
    <i r="1">
      <x v="909"/>
    </i>
    <i>
      <x v="420"/>
    </i>
    <i r="1">
      <x v="774"/>
    </i>
    <i>
      <x v="421"/>
    </i>
    <i r="1">
      <x v="239"/>
    </i>
    <i>
      <x v="422"/>
    </i>
    <i r="1">
      <x v="907"/>
    </i>
    <i>
      <x v="423"/>
    </i>
    <i r="1">
      <x v="428"/>
    </i>
    <i>
      <x v="424"/>
    </i>
    <i r="1">
      <x v="153"/>
    </i>
    <i>
      <x v="425"/>
    </i>
    <i r="1">
      <x v="400"/>
    </i>
    <i>
      <x v="426"/>
    </i>
    <i r="1">
      <x v="206"/>
    </i>
    <i>
      <x v="427"/>
    </i>
    <i r="1">
      <x v="456"/>
    </i>
    <i>
      <x v="428"/>
    </i>
    <i r="1">
      <x v="97"/>
    </i>
    <i>
      <x v="429"/>
    </i>
    <i r="1">
      <x v="227"/>
    </i>
    <i>
      <x v="430"/>
    </i>
    <i r="1">
      <x v="917"/>
    </i>
    <i>
      <x v="431"/>
    </i>
    <i r="1">
      <x v="949"/>
    </i>
    <i>
      <x v="432"/>
    </i>
    <i r="1">
      <x v="311"/>
    </i>
    <i>
      <x v="433"/>
    </i>
    <i r="1">
      <x v="837"/>
    </i>
    <i>
      <x v="434"/>
    </i>
    <i r="1">
      <x v="722"/>
    </i>
    <i>
      <x v="435"/>
    </i>
    <i r="1">
      <x v="787"/>
    </i>
    <i>
      <x v="436"/>
    </i>
    <i r="1">
      <x v="580"/>
    </i>
    <i>
      <x v="437"/>
    </i>
    <i r="1">
      <x v="504"/>
    </i>
    <i>
      <x v="438"/>
    </i>
    <i r="1">
      <x v="139"/>
    </i>
    <i>
      <x v="439"/>
    </i>
    <i r="1">
      <x v="796"/>
    </i>
    <i>
      <x v="440"/>
    </i>
    <i r="1">
      <x v="849"/>
    </i>
    <i>
      <x v="441"/>
    </i>
    <i r="1">
      <x v="119"/>
    </i>
    <i>
      <x v="442"/>
    </i>
    <i r="1">
      <x v="812"/>
    </i>
    <i>
      <x v="443"/>
    </i>
    <i r="1">
      <x v="501"/>
    </i>
    <i>
      <x v="444"/>
    </i>
    <i r="1">
      <x v="346"/>
    </i>
    <i>
      <x v="445"/>
    </i>
    <i r="1">
      <x v="701"/>
    </i>
    <i>
      <x v="446"/>
    </i>
    <i r="1">
      <x v="329"/>
    </i>
    <i>
      <x v="447"/>
    </i>
    <i r="1">
      <x v="436"/>
    </i>
    <i>
      <x v="448"/>
    </i>
    <i r="1">
      <x v="77"/>
    </i>
    <i>
      <x v="449"/>
    </i>
    <i r="1">
      <x v="340"/>
    </i>
    <i>
      <x v="450"/>
    </i>
    <i r="1">
      <x v="84"/>
    </i>
    <i>
      <x v="451"/>
    </i>
    <i r="1">
      <x v="546"/>
    </i>
    <i>
      <x v="452"/>
    </i>
    <i r="1">
      <x v="146"/>
    </i>
    <i>
      <x v="453"/>
    </i>
    <i r="1">
      <x v="111"/>
    </i>
    <i>
      <x v="454"/>
    </i>
    <i r="1">
      <x v="538"/>
    </i>
    <i>
      <x v="455"/>
    </i>
    <i r="1">
      <x v="214"/>
    </i>
    <i>
      <x v="456"/>
    </i>
    <i r="1">
      <x v="409"/>
    </i>
    <i>
      <x v="457"/>
    </i>
    <i r="1">
      <x v="518"/>
    </i>
    <i>
      <x v="458"/>
    </i>
    <i r="1">
      <x v="755"/>
    </i>
    <i>
      <x v="459"/>
    </i>
    <i r="1">
      <x v="786"/>
    </i>
    <i>
      <x v="460"/>
    </i>
    <i r="1">
      <x v="653"/>
    </i>
    <i>
      <x v="461"/>
    </i>
    <i r="1">
      <x v="941"/>
    </i>
    <i>
      <x v="462"/>
    </i>
    <i r="1">
      <x v="554"/>
    </i>
    <i>
      <x v="463"/>
    </i>
    <i r="1">
      <x v="642"/>
    </i>
    <i>
      <x v="464"/>
    </i>
    <i r="1">
      <x v="367"/>
    </i>
    <i>
      <x v="465"/>
    </i>
    <i r="1">
      <x v="528"/>
    </i>
    <i>
      <x v="466"/>
    </i>
    <i r="1">
      <x v="590"/>
    </i>
    <i>
      <x v="467"/>
    </i>
    <i r="1">
      <x v="217"/>
    </i>
    <i>
      <x v="468"/>
    </i>
    <i r="1">
      <x v="201"/>
    </i>
    <i>
      <x v="469"/>
    </i>
    <i r="1">
      <x v="127"/>
    </i>
    <i>
      <x v="470"/>
    </i>
    <i r="1">
      <x v="158"/>
    </i>
    <i>
      <x v="471"/>
    </i>
    <i r="1">
      <x v="643"/>
    </i>
    <i>
      <x v="472"/>
    </i>
    <i r="1">
      <x v="447"/>
    </i>
    <i>
      <x v="473"/>
    </i>
    <i r="1">
      <x v="1"/>
    </i>
    <i>
      <x v="474"/>
    </i>
    <i r="1">
      <x v="523"/>
    </i>
    <i>
      <x v="475"/>
    </i>
    <i r="1">
      <x v="656"/>
    </i>
    <i>
      <x v="476"/>
    </i>
    <i r="1">
      <x v="908"/>
    </i>
    <i>
      <x v="477"/>
    </i>
    <i r="1">
      <x v="480"/>
    </i>
    <i>
      <x v="478"/>
    </i>
    <i r="1">
      <x v="625"/>
    </i>
    <i>
      <x v="479"/>
    </i>
    <i r="1">
      <x v="742"/>
    </i>
    <i>
      <x v="480"/>
    </i>
    <i r="1">
      <x v="366"/>
    </i>
    <i>
      <x v="481"/>
    </i>
    <i r="1">
      <x v="318"/>
    </i>
    <i>
      <x v="482"/>
    </i>
    <i r="1">
      <x v="734"/>
    </i>
    <i>
      <x v="483"/>
    </i>
    <i r="1">
      <x v="823"/>
    </i>
    <i>
      <x v="484"/>
    </i>
    <i r="1">
      <x v="28"/>
    </i>
    <i>
      <x v="485"/>
    </i>
    <i r="1">
      <x v="998"/>
    </i>
    <i>
      <x v="486"/>
    </i>
    <i r="1">
      <x v="360"/>
    </i>
    <i>
      <x v="487"/>
    </i>
    <i r="1">
      <x v="960"/>
    </i>
    <i>
      <x v="488"/>
    </i>
    <i r="1">
      <x v="880"/>
    </i>
    <i>
      <x v="489"/>
    </i>
    <i r="1">
      <x v="310"/>
    </i>
    <i>
      <x v="490"/>
    </i>
    <i r="1">
      <x v="295"/>
    </i>
    <i>
      <x v="491"/>
    </i>
    <i r="1">
      <x v="886"/>
    </i>
    <i>
      <x v="492"/>
    </i>
    <i r="1">
      <x v="856"/>
    </i>
    <i>
      <x v="493"/>
    </i>
    <i r="1">
      <x v="616"/>
    </i>
    <i>
      <x v="494"/>
    </i>
    <i r="1">
      <x v="684"/>
    </i>
    <i>
      <x v="495"/>
    </i>
    <i r="1">
      <x v="591"/>
    </i>
    <i>
      <x v="496"/>
    </i>
    <i r="1">
      <x v="879"/>
    </i>
    <i>
      <x v="497"/>
    </i>
    <i r="1">
      <x v="969"/>
    </i>
    <i>
      <x v="498"/>
    </i>
    <i r="1">
      <x v="535"/>
    </i>
    <i>
      <x v="499"/>
    </i>
    <i r="1">
      <x v="135"/>
    </i>
    <i>
      <x v="500"/>
    </i>
    <i r="1">
      <x v="269"/>
    </i>
    <i>
      <x v="501"/>
    </i>
    <i r="1">
      <x v="965"/>
    </i>
    <i>
      <x v="502"/>
    </i>
    <i r="1">
      <x v="991"/>
    </i>
    <i>
      <x v="503"/>
    </i>
    <i r="1">
      <x v="901"/>
    </i>
    <i>
      <x v="504"/>
    </i>
    <i r="1">
      <x v="59"/>
    </i>
    <i>
      <x v="505"/>
    </i>
    <i r="1">
      <x v="657"/>
    </i>
    <i>
      <x v="506"/>
    </i>
    <i r="1">
      <x v="832"/>
    </i>
    <i>
      <x v="507"/>
    </i>
    <i r="1">
      <x v="553"/>
    </i>
    <i>
      <x v="508"/>
    </i>
    <i r="1">
      <x v="421"/>
    </i>
    <i>
      <x v="509"/>
    </i>
    <i r="1">
      <x v="950"/>
    </i>
    <i>
      <x v="510"/>
    </i>
    <i r="1">
      <x v="66"/>
    </i>
    <i>
      <x v="511"/>
    </i>
    <i r="1">
      <x v="942"/>
    </i>
    <i>
      <x v="512"/>
    </i>
    <i r="1">
      <x v="485"/>
    </i>
    <i>
      <x v="513"/>
    </i>
    <i r="1">
      <x v="540"/>
    </i>
    <i>
      <x v="514"/>
    </i>
    <i r="1">
      <x v="440"/>
    </i>
    <i>
      <x v="515"/>
    </i>
    <i r="1">
      <x v="493"/>
    </i>
    <i>
      <x v="516"/>
    </i>
    <i r="1">
      <x v="800"/>
    </i>
    <i>
      <x v="517"/>
    </i>
    <i r="1">
      <x v="211"/>
    </i>
    <i>
      <x v="518"/>
    </i>
    <i r="1">
      <x v="668"/>
    </i>
    <i>
      <x v="519"/>
    </i>
    <i r="1">
      <x v="40"/>
    </i>
    <i>
      <x v="520"/>
    </i>
    <i r="1">
      <x v="434"/>
    </i>
    <i>
      <x v="521"/>
    </i>
    <i r="1">
      <x v="290"/>
    </i>
    <i>
      <x v="522"/>
    </i>
    <i r="1">
      <x v="892"/>
    </i>
    <i>
      <x v="523"/>
    </i>
    <i r="1">
      <x v="155"/>
    </i>
    <i>
      <x v="524"/>
    </i>
    <i r="1">
      <x v="539"/>
    </i>
    <i>
      <x v="525"/>
    </i>
    <i r="1">
      <x v="956"/>
    </i>
    <i>
      <x v="526"/>
    </i>
    <i r="1">
      <x v="663"/>
    </i>
    <i>
      <x v="527"/>
    </i>
    <i r="1">
      <x v="923"/>
    </i>
    <i>
      <x v="528"/>
    </i>
    <i r="1">
      <x v="698"/>
    </i>
    <i>
      <x v="529"/>
    </i>
    <i r="1">
      <x v="75"/>
    </i>
    <i>
      <x v="530"/>
    </i>
    <i r="1">
      <x v="934"/>
    </i>
    <i>
      <x v="531"/>
    </i>
    <i r="1">
      <x v="633"/>
    </i>
    <i>
      <x v="532"/>
    </i>
    <i r="1">
      <x v="925"/>
    </i>
    <i>
      <x v="533"/>
    </i>
    <i r="1">
      <x v="658"/>
    </i>
    <i>
      <x v="534"/>
    </i>
    <i r="1">
      <x v="128"/>
    </i>
    <i>
      <x v="535"/>
    </i>
    <i r="1">
      <x v="429"/>
    </i>
    <i>
      <x v="536"/>
    </i>
    <i r="1">
      <x v="910"/>
    </i>
    <i>
      <x v="537"/>
    </i>
    <i r="1">
      <x v="129"/>
    </i>
    <i>
      <x v="538"/>
    </i>
    <i r="1">
      <x v="240"/>
    </i>
    <i>
      <x v="539"/>
    </i>
    <i r="1">
      <x v="314"/>
    </i>
    <i>
      <x v="540"/>
    </i>
    <i r="1">
      <x v="260"/>
    </i>
    <i>
      <x v="541"/>
    </i>
    <i r="1">
      <x v="186"/>
    </i>
    <i>
      <x v="542"/>
    </i>
    <i r="1">
      <x v="798"/>
    </i>
    <i>
      <x v="543"/>
    </i>
    <i r="1">
      <x v="959"/>
    </i>
    <i>
      <x v="544"/>
    </i>
    <i r="1">
      <x v="741"/>
    </i>
    <i>
      <x v="545"/>
    </i>
    <i r="1">
      <x v="381"/>
    </i>
    <i>
      <x v="546"/>
    </i>
    <i r="1">
      <x v="62"/>
    </i>
    <i>
      <x v="547"/>
    </i>
    <i r="1">
      <x v="6"/>
    </i>
    <i>
      <x v="548"/>
    </i>
    <i r="1">
      <x v="814"/>
    </i>
    <i>
      <x v="549"/>
    </i>
    <i r="1">
      <x v="324"/>
    </i>
    <i>
      <x v="550"/>
    </i>
    <i r="1">
      <x v="355"/>
    </i>
    <i>
      <x v="551"/>
    </i>
    <i r="1">
      <x v="471"/>
    </i>
    <i>
      <x v="552"/>
    </i>
    <i r="1">
      <x v="613"/>
    </i>
    <i>
      <x v="553"/>
    </i>
    <i r="1">
      <x v="363"/>
    </i>
    <i>
      <x v="554"/>
    </i>
    <i r="1">
      <x v="572"/>
    </i>
    <i>
      <x v="555"/>
    </i>
    <i r="1">
      <x v="414"/>
    </i>
    <i>
      <x v="556"/>
    </i>
    <i r="1">
      <x v="816"/>
    </i>
    <i>
      <x v="557"/>
    </i>
    <i r="1">
      <x v="821"/>
    </i>
    <i>
      <x v="558"/>
    </i>
    <i r="1">
      <x v="347"/>
    </i>
    <i>
      <x v="559"/>
    </i>
    <i r="1">
      <x v="42"/>
    </i>
    <i>
      <x v="560"/>
    </i>
    <i r="1">
      <x v="91"/>
    </i>
    <i>
      <x v="561"/>
    </i>
    <i r="1">
      <x v="715"/>
    </i>
    <i>
      <x v="562"/>
    </i>
    <i r="1">
      <x v="198"/>
    </i>
    <i>
      <x v="563"/>
    </i>
    <i r="1">
      <x v="932"/>
    </i>
    <i>
      <x v="564"/>
    </i>
    <i r="1">
      <x v="83"/>
    </i>
    <i>
      <x v="565"/>
    </i>
    <i r="1">
      <x v="180"/>
    </i>
    <i>
      <x v="566"/>
    </i>
    <i r="1">
      <x v="505"/>
    </i>
    <i>
      <x v="567"/>
    </i>
    <i r="1">
      <x v="785"/>
    </i>
    <i>
      <x v="568"/>
    </i>
    <i r="1">
      <x v="806"/>
    </i>
    <i>
      <x v="569"/>
    </i>
    <i r="1">
      <x v="609"/>
    </i>
    <i>
      <x v="570"/>
    </i>
    <i r="1">
      <x v="599"/>
    </i>
    <i>
      <x v="571"/>
    </i>
    <i r="1">
      <x v="52"/>
    </i>
    <i>
      <x v="572"/>
    </i>
    <i r="1">
      <x v="930"/>
    </i>
    <i>
      <x v="573"/>
    </i>
    <i r="1">
      <x v="674"/>
    </i>
    <i>
      <x v="574"/>
    </i>
    <i r="1">
      <x v="250"/>
    </i>
    <i>
      <x v="575"/>
    </i>
    <i r="1">
      <x v="150"/>
    </i>
    <i>
      <x v="576"/>
    </i>
    <i r="1">
      <x v="497"/>
    </i>
    <i>
      <x v="577"/>
    </i>
    <i r="1">
      <x v="756"/>
    </i>
    <i>
      <x v="578"/>
    </i>
    <i r="1">
      <x v="526"/>
    </i>
    <i>
      <x v="579"/>
    </i>
    <i r="1">
      <x v="388"/>
    </i>
    <i>
      <x v="580"/>
    </i>
    <i r="1">
      <x v="802"/>
    </i>
    <i>
      <x v="581"/>
    </i>
    <i r="1">
      <x v="39"/>
    </i>
    <i>
      <x v="582"/>
    </i>
    <i r="1">
      <x v="696"/>
    </i>
    <i>
      <x v="583"/>
    </i>
    <i r="1">
      <x v="517"/>
    </i>
    <i>
      <x v="584"/>
    </i>
    <i r="1">
      <x v="594"/>
    </i>
    <i>
      <x v="585"/>
    </i>
    <i r="1">
      <x v="262"/>
    </i>
    <i>
      <x v="586"/>
    </i>
    <i r="1">
      <x v="712"/>
    </i>
    <i>
      <x v="587"/>
    </i>
    <i r="1">
      <x v="22"/>
    </i>
    <i>
      <x v="588"/>
    </i>
    <i r="1">
      <x v="542"/>
    </i>
    <i>
      <x v="589"/>
    </i>
    <i r="1">
      <x v="691"/>
    </i>
    <i>
      <x v="590"/>
    </i>
    <i r="1">
      <x v="644"/>
    </i>
    <i>
      <x v="591"/>
    </i>
    <i r="1">
      <x v="726"/>
    </i>
    <i>
      <x v="592"/>
    </i>
    <i r="1">
      <x v="884"/>
    </i>
    <i>
      <x v="593"/>
    </i>
    <i r="1">
      <x v="706"/>
    </i>
    <i>
      <x v="594"/>
    </i>
    <i r="1">
      <x v="343"/>
    </i>
    <i>
      <x v="595"/>
    </i>
    <i r="1">
      <x v="799"/>
    </i>
    <i>
      <x v="596"/>
    </i>
    <i r="1">
      <x v="963"/>
    </i>
    <i>
      <x v="597"/>
    </i>
    <i r="1">
      <x v="921"/>
    </i>
    <i>
      <x v="598"/>
    </i>
    <i r="1">
      <x v="872"/>
    </i>
    <i>
      <x v="599"/>
    </i>
    <i r="1">
      <x v="166"/>
    </i>
    <i>
      <x v="600"/>
    </i>
    <i r="1">
      <x v="964"/>
    </i>
    <i>
      <x v="601"/>
    </i>
    <i r="1">
      <x v="617"/>
    </i>
    <i>
      <x v="602"/>
    </i>
    <i r="1">
      <x v="697"/>
    </i>
    <i>
      <x v="603"/>
    </i>
    <i r="1">
      <x v="953"/>
    </i>
    <i>
      <x v="604"/>
    </i>
    <i r="1">
      <x v="187"/>
    </i>
    <i>
      <x v="605"/>
    </i>
    <i r="1">
      <x v="24"/>
    </i>
    <i>
      <x v="606"/>
    </i>
    <i r="1">
      <x v="975"/>
    </i>
    <i>
      <x v="607"/>
    </i>
    <i r="1">
      <x v="438"/>
    </i>
    <i>
      <x v="608"/>
    </i>
    <i r="1">
      <x v="769"/>
    </i>
    <i>
      <x v="609"/>
    </i>
    <i r="1">
      <x v="859"/>
    </i>
    <i>
      <x v="610"/>
    </i>
    <i r="1">
      <x v="466"/>
    </i>
    <i>
      <x v="611"/>
    </i>
    <i r="1">
      <x v="102"/>
    </i>
    <i>
      <x v="612"/>
    </i>
    <i r="1">
      <x v="825"/>
    </i>
    <i>
      <x v="613"/>
    </i>
    <i r="1">
      <x v="544"/>
    </i>
    <i>
      <x v="614"/>
    </i>
    <i r="1">
      <x v="753"/>
    </i>
    <i>
      <x v="615"/>
    </i>
    <i r="1">
      <x v="765"/>
    </i>
    <i>
      <x v="616"/>
    </i>
    <i r="1">
      <x v="761"/>
    </i>
    <i>
      <x v="617"/>
    </i>
    <i r="1">
      <x v="377"/>
    </i>
    <i>
      <x v="618"/>
    </i>
    <i r="1">
      <x v="626"/>
    </i>
    <i>
      <x v="619"/>
    </i>
    <i r="1">
      <x v="795"/>
    </i>
    <i>
      <x v="620"/>
    </i>
    <i r="1">
      <x v="108"/>
    </i>
    <i>
      <x v="621"/>
    </i>
    <i r="1">
      <x v="966"/>
    </i>
    <i>
      <x v="622"/>
    </i>
    <i r="1">
      <x v="845"/>
    </i>
    <i>
      <x v="623"/>
    </i>
    <i r="1">
      <x v="592"/>
    </i>
    <i>
      <x v="624"/>
    </i>
    <i r="1">
      <x v="732"/>
    </i>
    <i>
      <x v="625"/>
    </i>
    <i r="1">
      <x v="529"/>
    </i>
    <i>
      <x v="626"/>
    </i>
    <i r="1">
      <x v="558"/>
    </i>
    <i>
      <x v="627"/>
    </i>
    <i r="1">
      <x v="520"/>
    </i>
    <i>
      <x v="628"/>
    </i>
    <i r="1">
      <x v="426"/>
    </i>
    <i>
      <x v="629"/>
    </i>
    <i r="1">
      <x v="296"/>
    </i>
    <i>
      <x v="630"/>
    </i>
    <i r="1">
      <x v="500"/>
    </i>
    <i>
      <x v="631"/>
    </i>
    <i r="1">
      <x v="257"/>
    </i>
    <i>
      <x v="632"/>
    </i>
    <i r="1">
      <x v="304"/>
    </i>
    <i>
      <x v="633"/>
    </i>
    <i r="1">
      <x v="858"/>
    </i>
    <i>
      <x v="634"/>
    </i>
    <i r="1">
      <x v="172"/>
    </i>
    <i>
      <x v="635"/>
    </i>
    <i r="1">
      <x v="336"/>
    </i>
    <i>
      <x v="636"/>
    </i>
    <i r="1">
      <x v="586"/>
    </i>
    <i>
      <x v="637"/>
    </i>
    <i r="1">
      <x v="940"/>
    </i>
    <i>
      <x v="638"/>
    </i>
    <i r="1">
      <x v="635"/>
    </i>
    <i>
      <x v="639"/>
    </i>
    <i r="1">
      <x v="199"/>
    </i>
    <i>
      <x v="640"/>
    </i>
    <i r="1">
      <x v="720"/>
    </i>
    <i>
      <x v="641"/>
    </i>
    <i r="1">
      <x v="744"/>
    </i>
    <i>
      <x v="642"/>
    </i>
    <i r="1">
      <x v="576"/>
    </i>
    <i>
      <x v="643"/>
    </i>
    <i r="1">
      <x v="548"/>
    </i>
    <i>
      <x v="644"/>
    </i>
    <i r="1">
      <x v="777"/>
    </i>
    <i>
      <x v="645"/>
    </i>
    <i r="1">
      <x v="112"/>
    </i>
    <i>
      <x v="646"/>
    </i>
    <i r="1">
      <x v="867"/>
    </i>
    <i>
      <x v="647"/>
    </i>
    <i r="1">
      <x v="628"/>
    </i>
    <i>
      <x v="648"/>
    </i>
    <i r="1">
      <x v="869"/>
    </i>
    <i>
      <x v="649"/>
    </i>
    <i r="1">
      <x v="125"/>
    </i>
    <i>
      <x v="650"/>
    </i>
    <i r="1">
      <x v="555"/>
    </i>
    <i>
      <x v="651"/>
    </i>
    <i r="1">
      <x v="577"/>
    </i>
    <i>
      <x v="652"/>
    </i>
    <i r="1">
      <x v="123"/>
    </i>
    <i>
      <x v="653"/>
    </i>
    <i r="1">
      <x v="976"/>
    </i>
    <i>
      <x v="654"/>
    </i>
    <i r="1">
      <x v="637"/>
    </i>
    <i>
      <x v="655"/>
    </i>
    <i r="1">
      <x v="330"/>
    </i>
    <i>
      <x v="656"/>
    </i>
    <i r="1">
      <x v="863"/>
    </i>
    <i>
      <x v="657"/>
    </i>
    <i r="1">
      <x v="952"/>
    </i>
    <i>
      <x v="658"/>
    </i>
    <i r="1">
      <x v="595"/>
    </i>
    <i>
      <x v="659"/>
    </i>
    <i r="1">
      <x v="854"/>
    </i>
    <i>
      <x v="660"/>
    </i>
    <i r="1">
      <x v="143"/>
    </i>
    <i>
      <x v="661"/>
    </i>
    <i r="1">
      <x v="750"/>
    </i>
    <i>
      <x v="662"/>
    </i>
    <i r="1">
      <x v="847"/>
    </i>
    <i>
      <x v="663"/>
    </i>
    <i r="1">
      <x v="578"/>
    </i>
    <i>
      <x v="664"/>
    </i>
    <i r="1">
      <x v="852"/>
    </i>
    <i>
      <x v="665"/>
    </i>
    <i r="1">
      <x v="833"/>
    </i>
    <i>
      <x v="666"/>
    </i>
    <i r="1">
      <x v="266"/>
    </i>
    <i>
      <x v="667"/>
    </i>
    <i r="1">
      <x v="332"/>
    </i>
    <i>
      <x v="668"/>
    </i>
    <i r="1">
      <x v="465"/>
    </i>
    <i>
      <x v="669"/>
    </i>
    <i r="1">
      <x v="612"/>
    </i>
    <i>
      <x v="670"/>
    </i>
    <i r="1">
      <x v="373"/>
    </i>
    <i>
      <x v="671"/>
    </i>
    <i r="1">
      <x v="120"/>
    </i>
    <i>
      <x v="672"/>
    </i>
    <i r="1">
      <x v="36"/>
    </i>
    <i>
      <x v="673"/>
    </i>
    <i r="1">
      <x v="530"/>
    </i>
    <i>
      <x v="674"/>
    </i>
    <i r="1">
      <x v="2"/>
    </i>
    <i>
      <x v="675"/>
    </i>
    <i r="1">
      <x v="570"/>
    </i>
    <i>
      <x v="676"/>
    </i>
    <i r="1">
      <x v="411"/>
    </i>
    <i>
      <x v="677"/>
    </i>
    <i r="1">
      <x v="794"/>
    </i>
    <i>
      <x v="678"/>
    </i>
    <i r="1">
      <x v="883"/>
    </i>
    <i>
      <x v="679"/>
    </i>
    <i r="1">
      <x v="987"/>
    </i>
    <i>
      <x v="680"/>
    </i>
    <i r="1">
      <x v="770"/>
    </i>
    <i>
      <x v="681"/>
    </i>
    <i r="1">
      <x v="470"/>
    </i>
    <i>
      <x v="682"/>
    </i>
    <i r="1">
      <x v="323"/>
    </i>
    <i>
      <x v="683"/>
    </i>
    <i r="1">
      <x v="248"/>
    </i>
    <i>
      <x v="684"/>
    </i>
    <i r="1">
      <x v="94"/>
    </i>
    <i>
      <x v="685"/>
    </i>
    <i r="1">
      <x v="47"/>
    </i>
    <i>
      <x v="686"/>
    </i>
    <i r="1">
      <x v="525"/>
    </i>
    <i>
      <x v="687"/>
    </i>
    <i r="1">
      <x v="218"/>
    </i>
    <i>
      <x v="688"/>
    </i>
    <i r="1">
      <x v="611"/>
    </i>
    <i>
      <x v="689"/>
    </i>
    <i r="1">
      <x v="255"/>
    </i>
    <i>
      <x v="690"/>
    </i>
    <i r="1">
      <x v="273"/>
    </i>
    <i>
      <x v="691"/>
    </i>
    <i r="1">
      <x v="993"/>
    </i>
    <i>
      <x v="692"/>
    </i>
    <i r="1">
      <x v="982"/>
    </i>
    <i>
      <x v="693"/>
    </i>
    <i r="1">
      <x v="694"/>
    </i>
    <i>
      <x v="694"/>
    </i>
    <i r="1">
      <x v="356"/>
    </i>
    <i>
      <x v="695"/>
    </i>
    <i r="1">
      <x v="286"/>
    </i>
    <i>
      <x v="696"/>
    </i>
    <i r="1">
      <x v="89"/>
    </i>
    <i>
      <x v="697"/>
    </i>
    <i r="1">
      <x v="499"/>
    </i>
    <i>
      <x v="698"/>
    </i>
    <i r="1">
      <x v="268"/>
    </i>
    <i>
      <x v="699"/>
    </i>
    <i r="1">
      <x v="459"/>
    </i>
    <i>
      <x v="700"/>
    </i>
    <i r="1">
      <x v="385"/>
    </i>
    <i>
      <x v="701"/>
    </i>
    <i r="1">
      <x v="533"/>
    </i>
    <i>
      <x v="702"/>
    </i>
    <i r="1">
      <x v="225"/>
    </i>
    <i>
      <x v="703"/>
    </i>
    <i r="1">
      <x v="407"/>
    </i>
    <i>
      <x v="704"/>
    </i>
    <i r="1">
      <x v="384"/>
    </i>
    <i>
      <x v="705"/>
    </i>
    <i r="1">
      <x v="25"/>
    </i>
    <i>
      <x v="706"/>
    </i>
    <i r="1">
      <x v="912"/>
    </i>
    <i>
      <x v="707"/>
    </i>
    <i r="1">
      <x v="627"/>
    </i>
    <i>
      <x v="708"/>
    </i>
    <i r="1">
      <x v="106"/>
    </i>
    <i>
      <x v="709"/>
    </i>
    <i r="1">
      <x v="236"/>
    </i>
    <i>
      <x v="710"/>
    </i>
    <i r="1">
      <x v="543"/>
    </i>
    <i>
      <x v="711"/>
    </i>
    <i r="1">
      <x v="285"/>
    </i>
    <i>
      <x v="712"/>
    </i>
    <i r="1">
      <x v="600"/>
    </i>
    <i>
      <x v="713"/>
    </i>
    <i r="1">
      <x v="67"/>
    </i>
    <i>
      <x v="714"/>
    </i>
    <i r="1">
      <x v="420"/>
    </i>
    <i>
      <x v="715"/>
    </i>
    <i r="1">
      <x v="955"/>
    </i>
    <i>
      <x v="716"/>
    </i>
    <i r="1">
      <x v="783"/>
    </i>
    <i>
      <x v="717"/>
    </i>
    <i r="1">
      <x v="433"/>
    </i>
    <i>
      <x v="718"/>
    </i>
    <i r="1">
      <x v="322"/>
    </i>
    <i>
      <x v="719"/>
    </i>
    <i r="1">
      <x v="677"/>
    </i>
    <i>
      <x v="720"/>
    </i>
    <i r="1">
      <x v="989"/>
    </i>
    <i>
      <x v="721"/>
    </i>
    <i r="1">
      <x v="686"/>
    </i>
    <i>
      <x v="722"/>
    </i>
    <i r="1">
      <x v="174"/>
    </i>
    <i>
      <x v="723"/>
    </i>
    <i r="1">
      <x v="713"/>
    </i>
    <i>
      <x v="724"/>
    </i>
    <i r="1">
      <x v="48"/>
    </i>
    <i>
      <x v="725"/>
    </i>
    <i r="1">
      <x v="231"/>
    </i>
    <i>
      <x v="726"/>
    </i>
    <i r="1">
      <x v="654"/>
    </i>
    <i>
      <x v="727"/>
    </i>
    <i r="1">
      <x v="361"/>
    </i>
    <i>
      <x v="728"/>
    </i>
    <i r="1">
      <x v="623"/>
    </i>
    <i>
      <x v="729"/>
    </i>
    <i r="1">
      <x v="560"/>
    </i>
    <i>
      <x v="730"/>
    </i>
    <i r="1">
      <x v="294"/>
    </i>
    <i>
      <x v="731"/>
    </i>
    <i r="1">
      <x v="881"/>
    </i>
    <i>
      <x v="732"/>
    </i>
    <i r="1">
      <x v="997"/>
    </i>
    <i>
      <x v="733"/>
    </i>
    <i r="1">
      <x v="700"/>
    </i>
    <i>
      <x v="734"/>
    </i>
    <i r="1">
      <x v="15"/>
    </i>
    <i>
      <x v="735"/>
    </i>
    <i r="1">
      <x v="974"/>
    </i>
    <i>
      <x v="736"/>
    </i>
    <i r="1">
      <x v="233"/>
    </i>
    <i>
      <x v="737"/>
    </i>
    <i r="1">
      <x v="690"/>
    </i>
    <i>
      <x v="738"/>
    </i>
    <i r="1">
      <x v="333"/>
    </i>
    <i>
      <x v="739"/>
    </i>
    <i r="1">
      <x v="864"/>
    </i>
    <i>
      <x v="740"/>
    </i>
    <i r="1">
      <x v="723"/>
    </i>
    <i>
      <x v="741"/>
    </i>
    <i r="1">
      <x v="679"/>
    </i>
    <i>
      <x v="742"/>
    </i>
    <i r="1">
      <x v="754"/>
    </i>
    <i>
      <x v="743"/>
    </i>
    <i r="1">
      <x v="882"/>
    </i>
    <i>
      <x v="744"/>
    </i>
    <i r="1">
      <x v="780"/>
    </i>
    <i>
      <x v="745"/>
    </i>
    <i r="1">
      <x v="939"/>
    </i>
    <i>
      <x v="746"/>
    </i>
    <i r="1">
      <x v="389"/>
    </i>
    <i>
      <x v="747"/>
    </i>
    <i r="1">
      <x v="380"/>
    </i>
    <i>
      <x v="748"/>
    </i>
    <i r="1">
      <x v="760"/>
    </i>
    <i>
      <x v="749"/>
    </i>
    <i r="1">
      <x v="945"/>
    </i>
    <i>
      <x v="750"/>
    </i>
    <i r="1">
      <x v="559"/>
    </i>
    <i>
      <x v="751"/>
    </i>
    <i r="1">
      <x v="647"/>
    </i>
    <i>
      <x v="752"/>
    </i>
    <i r="1">
      <x v="370"/>
    </i>
    <i>
      <x v="753"/>
    </i>
    <i r="1">
      <x v="641"/>
    </i>
    <i>
      <x v="754"/>
    </i>
    <i r="1">
      <x v="759"/>
    </i>
    <i>
      <x v="755"/>
    </i>
    <i r="1">
      <x v="176"/>
    </i>
    <i>
      <x v="756"/>
    </i>
    <i r="1">
      <x v="649"/>
    </i>
    <i>
      <x v="757"/>
    </i>
    <i r="1">
      <x v="435"/>
    </i>
    <i>
      <x v="758"/>
    </i>
    <i r="1">
      <x v="967"/>
    </i>
    <i>
      <x v="759"/>
    </i>
    <i r="1">
      <x v="683"/>
    </i>
    <i>
      <x v="760"/>
    </i>
    <i r="1">
      <x v="887"/>
    </i>
    <i>
      <x v="761"/>
    </i>
    <i r="1">
      <x v="608"/>
    </i>
    <i>
      <x v="762"/>
    </i>
    <i r="1">
      <x v="142"/>
    </i>
    <i>
      <x v="763"/>
    </i>
    <i r="1">
      <x v="234"/>
    </i>
    <i>
      <x v="764"/>
    </i>
    <i r="1">
      <x v="857"/>
    </i>
    <i>
      <x v="765"/>
    </i>
    <i r="1">
      <x v="650"/>
    </i>
    <i>
      <x v="766"/>
    </i>
    <i r="1">
      <x v="675"/>
    </i>
    <i>
      <x v="767"/>
    </i>
    <i r="1">
      <x v="797"/>
    </i>
    <i>
      <x v="768"/>
    </i>
    <i r="1">
      <x v="670"/>
    </i>
    <i>
      <x v="769"/>
    </i>
    <i r="1">
      <x v="614"/>
    </i>
    <i>
      <x v="770"/>
    </i>
    <i r="1">
      <x v="419"/>
    </i>
    <i>
      <x v="771"/>
    </i>
    <i r="1">
      <x v="918"/>
    </i>
    <i>
      <x v="772"/>
    </i>
    <i r="1">
      <x v="29"/>
    </i>
    <i>
      <x v="773"/>
    </i>
    <i r="1">
      <x v="749"/>
    </i>
    <i>
      <x v="774"/>
    </i>
    <i r="1">
      <x v="152"/>
    </i>
    <i>
      <x v="775"/>
    </i>
    <i r="1">
      <x v="962"/>
    </i>
    <i>
      <x v="776"/>
    </i>
    <i r="1">
      <x v="495"/>
    </i>
    <i>
      <x v="777"/>
    </i>
    <i r="1">
      <x v="100"/>
    </i>
    <i>
      <x v="778"/>
    </i>
    <i r="1">
      <x v="275"/>
    </i>
    <i>
      <x v="779"/>
    </i>
    <i r="1">
      <x v="587"/>
    </i>
    <i>
      <x v="780"/>
    </i>
    <i r="1">
      <x v="946"/>
    </i>
    <i>
      <x v="781"/>
    </i>
    <i r="1">
      <x v="339"/>
    </i>
    <i>
      <x v="782"/>
    </i>
    <i r="1">
      <x v="341"/>
    </i>
    <i>
      <x v="783"/>
    </i>
    <i r="1">
      <x v="743"/>
    </i>
    <i>
      <x v="784"/>
    </i>
    <i r="1">
      <x v="173"/>
    </i>
    <i>
      <x v="785"/>
    </i>
    <i r="1">
      <x v="954"/>
    </i>
    <i>
      <x v="786"/>
    </i>
    <i r="1">
      <x v="906"/>
    </i>
    <i>
      <x v="787"/>
    </i>
    <i r="1">
      <x v="376"/>
    </i>
    <i>
      <x v="788"/>
    </i>
    <i r="1">
      <x v="763"/>
    </i>
    <i>
      <x v="789"/>
    </i>
    <i r="1">
      <x v="45"/>
    </i>
    <i>
      <x v="790"/>
    </i>
    <i r="1">
      <x v="875"/>
    </i>
    <i>
      <x v="791"/>
    </i>
    <i r="1">
      <x v="588"/>
    </i>
    <i>
      <x v="792"/>
    </i>
    <i r="1">
      <x v="60"/>
    </i>
    <i>
      <x v="793"/>
    </i>
    <i r="1">
      <x/>
    </i>
    <i>
      <x v="794"/>
    </i>
    <i r="1">
      <x v="762"/>
    </i>
    <i>
      <x v="795"/>
    </i>
    <i r="1">
      <x v="299"/>
    </i>
    <i>
      <x v="796"/>
    </i>
    <i r="1">
      <x v="850"/>
    </i>
    <i>
      <x v="797"/>
    </i>
    <i r="1">
      <x v="335"/>
    </i>
    <i>
      <x v="798"/>
    </i>
    <i r="1">
      <x v="349"/>
    </i>
    <i>
      <x v="799"/>
    </i>
    <i r="1">
      <x v="915"/>
    </i>
    <i>
      <x v="800"/>
    </i>
    <i r="1">
      <x v="524"/>
    </i>
    <i>
      <x v="801"/>
    </i>
    <i r="1">
      <x v="689"/>
    </i>
    <i>
      <x v="802"/>
    </i>
    <i r="1">
      <x v="659"/>
    </i>
    <i>
      <x v="803"/>
    </i>
    <i r="1">
      <x v="815"/>
    </i>
    <i>
      <x v="804"/>
    </i>
    <i r="1">
      <x v="971"/>
    </i>
    <i>
      <x v="805"/>
    </i>
    <i r="1">
      <x v="944"/>
    </i>
    <i>
      <x v="806"/>
    </i>
    <i r="1">
      <x v="350"/>
    </i>
    <i>
      <x v="807"/>
    </i>
    <i r="1">
      <x v="328"/>
    </i>
    <i>
      <x v="808"/>
    </i>
    <i r="1">
      <x v="96"/>
    </i>
    <i>
      <x v="809"/>
    </i>
    <i r="1">
      <x v="717"/>
    </i>
    <i>
      <x v="810"/>
    </i>
    <i r="1">
      <x v="719"/>
    </i>
    <i>
      <x v="811"/>
    </i>
    <i r="1">
      <x v="148"/>
    </i>
    <i>
      <x v="812"/>
    </i>
    <i r="1">
      <x v="895"/>
    </i>
    <i>
      <x v="813"/>
    </i>
    <i r="1">
      <x v="103"/>
    </i>
    <i>
      <x v="814"/>
    </i>
    <i r="1">
      <x v="479"/>
    </i>
    <i>
      <x v="815"/>
    </i>
    <i r="1">
      <x v="138"/>
    </i>
    <i>
      <x v="816"/>
    </i>
    <i r="1">
      <x v="288"/>
    </i>
    <i>
      <x v="817"/>
    </i>
    <i r="1">
      <x v="307"/>
    </i>
    <i>
      <x v="818"/>
    </i>
    <i r="1">
      <x v="321"/>
    </i>
    <i>
      <x v="819"/>
    </i>
    <i r="1">
      <x v="678"/>
    </i>
    <i>
      <x v="820"/>
    </i>
    <i r="1">
      <x v="851"/>
    </i>
    <i>
      <x v="821"/>
    </i>
    <i r="1">
      <x v="905"/>
    </i>
    <i>
      <x v="822"/>
    </i>
    <i r="1">
      <x v="671"/>
    </i>
    <i>
      <x v="823"/>
    </i>
    <i r="1">
      <x v="169"/>
    </i>
    <i>
      <x v="824"/>
    </i>
    <i r="1">
      <x v="80"/>
    </i>
    <i>
      <x v="825"/>
    </i>
    <i r="1">
      <x v="631"/>
    </i>
    <i>
      <x v="826"/>
    </i>
    <i r="1">
      <x v="888"/>
    </i>
    <i>
      <x v="827"/>
    </i>
    <i r="1">
      <x v="247"/>
    </i>
    <i>
      <x v="828"/>
    </i>
    <i r="1">
      <x v="531"/>
    </i>
    <i>
      <x v="829"/>
    </i>
    <i r="1">
      <x v="911"/>
    </i>
    <i>
      <x v="830"/>
    </i>
    <i r="1">
      <x v="492"/>
    </i>
    <i>
      <x v="831"/>
    </i>
    <i r="1">
      <x v="871"/>
    </i>
    <i>
      <x v="832"/>
    </i>
    <i r="1">
      <x v="853"/>
    </i>
    <i>
      <x v="833"/>
    </i>
    <i r="1">
      <x v="738"/>
    </i>
    <i>
      <x v="834"/>
    </i>
    <i r="1">
      <x v="926"/>
    </i>
    <i>
      <x v="835"/>
    </i>
    <i r="1">
      <x v="693"/>
    </i>
    <i>
      <x v="836"/>
    </i>
    <i r="1">
      <x v="441"/>
    </i>
    <i>
      <x v="837"/>
    </i>
    <i r="1">
      <x v="846"/>
    </i>
    <i>
      <x v="838"/>
    </i>
    <i r="1">
      <x v="397"/>
    </i>
    <i>
      <x v="839"/>
    </i>
    <i r="1">
      <x v="297"/>
    </i>
    <i>
      <x v="840"/>
    </i>
    <i r="1">
      <x v="839"/>
    </i>
    <i>
      <x v="841"/>
    </i>
    <i r="1">
      <x v="885"/>
    </i>
    <i>
      <x v="842"/>
    </i>
    <i r="1">
      <x v="708"/>
    </i>
    <i>
      <x v="843"/>
    </i>
    <i r="1">
      <x v="405"/>
    </i>
    <i>
      <x v="844"/>
    </i>
    <i r="1">
      <x v="891"/>
    </i>
    <i>
      <x v="845"/>
    </i>
    <i r="1">
      <x v="813"/>
    </i>
    <i>
      <x v="846"/>
    </i>
    <i r="1">
      <x v="984"/>
    </i>
    <i>
      <x v="847"/>
    </i>
    <i r="1">
      <x v="537"/>
    </i>
    <i>
      <x v="848"/>
    </i>
    <i r="1">
      <x v="27"/>
    </i>
    <i>
      <x v="849"/>
    </i>
    <i r="1">
      <x v="651"/>
    </i>
    <i>
      <x v="850"/>
    </i>
    <i r="1">
      <x v="873"/>
    </i>
    <i>
      <x v="851"/>
    </i>
    <i r="1">
      <x v="105"/>
    </i>
    <i>
      <x v="852"/>
    </i>
    <i r="1">
      <x v="79"/>
    </i>
    <i>
      <x v="853"/>
    </i>
    <i r="1">
      <x v="378"/>
    </i>
    <i>
      <x v="854"/>
    </i>
    <i r="1">
      <x v="746"/>
    </i>
    <i>
      <x v="855"/>
    </i>
    <i r="1">
      <x v="615"/>
    </i>
    <i>
      <x v="856"/>
    </i>
    <i r="1">
      <x v="979"/>
    </i>
    <i>
      <x v="857"/>
    </i>
    <i r="1">
      <x v="496"/>
    </i>
    <i>
      <x v="858"/>
    </i>
    <i r="1">
      <x v="532"/>
    </i>
    <i>
      <x v="859"/>
    </i>
    <i r="1">
      <x v="834"/>
    </i>
    <i>
      <x v="860"/>
    </i>
    <i r="1">
      <x v="412"/>
    </i>
    <i>
      <x v="861"/>
    </i>
    <i r="1">
      <x v="191"/>
    </i>
    <i>
      <x v="862"/>
    </i>
    <i r="1">
      <x v="23"/>
    </i>
    <i>
      <x v="863"/>
    </i>
    <i r="1">
      <x v="935"/>
    </i>
    <i>
      <x v="864"/>
    </i>
    <i r="1">
      <x v="353"/>
    </i>
    <i>
      <x v="865"/>
    </i>
    <i r="1">
      <x v="704"/>
    </i>
    <i>
      <x v="866"/>
    </i>
    <i r="1">
      <x v="877"/>
    </i>
    <i>
      <x v="867"/>
    </i>
    <i r="1">
      <x v="937"/>
    </i>
    <i>
      <x v="868"/>
    </i>
    <i r="1">
      <x v="283"/>
    </i>
    <i>
      <x v="869"/>
    </i>
    <i r="1">
      <x v="386"/>
    </i>
    <i>
      <x v="870"/>
    </i>
    <i r="1">
      <x v="121"/>
    </i>
    <i>
      <x v="871"/>
    </i>
    <i r="1">
      <x v="809"/>
    </i>
    <i>
      <x v="872"/>
    </i>
    <i r="1">
      <x v="345"/>
    </i>
    <i>
      <x v="873"/>
    </i>
    <i r="1">
      <x v="277"/>
    </i>
    <i>
      <x v="874"/>
    </i>
    <i r="1">
      <x v="666"/>
    </i>
    <i>
      <x v="875"/>
    </i>
    <i r="1">
      <x v="399"/>
    </i>
    <i>
      <x v="876"/>
    </i>
    <i r="1">
      <x v="861"/>
    </i>
    <i>
      <x v="877"/>
    </i>
    <i r="1">
      <x v="820"/>
    </i>
    <i>
      <x v="878"/>
    </i>
    <i r="1">
      <x v="13"/>
    </i>
    <i>
      <x v="879"/>
    </i>
    <i r="1">
      <x v="718"/>
    </i>
    <i>
      <x v="880"/>
    </i>
    <i r="1">
      <x v="916"/>
    </i>
    <i>
      <x v="881"/>
    </i>
    <i r="1">
      <x v="263"/>
    </i>
    <i>
      <x v="882"/>
    </i>
    <i r="1">
      <x v="672"/>
    </i>
    <i>
      <x v="883"/>
    </i>
    <i r="1">
      <x v="7"/>
    </i>
    <i>
      <x v="884"/>
    </i>
    <i r="1">
      <x v="243"/>
    </i>
    <i>
      <x v="885"/>
    </i>
    <i r="1">
      <x v="527"/>
    </i>
    <i>
      <x v="886"/>
    </i>
    <i r="1">
      <x v="581"/>
    </i>
    <i>
      <x v="887"/>
    </i>
    <i r="1">
      <x v="494"/>
    </i>
    <i>
      <x v="888"/>
    </i>
    <i r="1">
      <x v="220"/>
    </i>
    <i>
      <x v="889"/>
    </i>
    <i r="1">
      <x v="890"/>
    </i>
    <i>
      <x v="890"/>
    </i>
    <i r="1">
      <x v="357"/>
    </i>
    <i>
      <x v="891"/>
    </i>
    <i r="1">
      <x v="705"/>
    </i>
    <i>
      <x v="892"/>
    </i>
    <i r="1">
      <x v="584"/>
    </i>
    <i>
      <x v="893"/>
    </i>
    <i r="1">
      <x v="606"/>
    </i>
    <i>
      <x v="894"/>
    </i>
    <i r="1">
      <x v="810"/>
    </i>
    <i>
      <x v="895"/>
    </i>
    <i r="1">
      <x v="607"/>
    </i>
    <i>
      <x v="896"/>
    </i>
    <i r="1">
      <x v="970"/>
    </i>
    <i>
      <x v="897"/>
    </i>
    <i r="1">
      <x v="874"/>
    </i>
    <i>
      <x v="898"/>
    </i>
    <i r="1">
      <x v="487"/>
    </i>
    <i>
      <x v="899"/>
    </i>
    <i r="1">
      <x v="431"/>
    </i>
    <i>
      <x v="900"/>
    </i>
    <i r="1">
      <x v="534"/>
    </i>
    <i>
      <x v="901"/>
    </i>
    <i r="1">
      <x v="889"/>
    </i>
    <i>
      <x v="902"/>
    </i>
    <i r="1">
      <x v="579"/>
    </i>
    <i>
      <x v="903"/>
    </i>
    <i r="1">
      <x v="177"/>
    </i>
    <i>
      <x v="904"/>
    </i>
    <i r="1">
      <x v="301"/>
    </i>
    <i>
      <x v="905"/>
    </i>
    <i r="1">
      <x v="634"/>
    </i>
    <i>
      <x v="906"/>
    </i>
    <i r="1">
      <x v="791"/>
    </i>
    <i>
      <x v="907"/>
    </i>
    <i r="1">
      <x v="464"/>
    </i>
    <i>
      <x v="908"/>
    </i>
    <i r="1">
      <x v="876"/>
    </i>
    <i>
      <x v="909"/>
    </i>
    <i r="1">
      <x v="547"/>
    </i>
    <i>
      <x v="910"/>
    </i>
    <i r="1">
      <x v="784"/>
    </i>
    <i>
      <x v="911"/>
    </i>
    <i r="1">
      <x v="836"/>
    </i>
    <i>
      <x v="912"/>
    </i>
    <i r="1">
      <x v="395"/>
    </i>
    <i>
      <x v="913"/>
    </i>
    <i r="1">
      <x v="481"/>
    </i>
    <i>
      <x v="914"/>
    </i>
    <i r="1">
      <x v="792"/>
    </i>
    <i>
      <x v="915"/>
    </i>
    <i r="1">
      <x v="202"/>
    </i>
    <i>
      <x v="916"/>
    </i>
    <i r="1">
      <x v="509"/>
    </i>
    <i>
      <x v="917"/>
    </i>
    <i r="1">
      <x v="463"/>
    </i>
    <i>
      <x v="918"/>
    </i>
    <i r="1">
      <x v="585"/>
    </i>
    <i>
      <x v="919"/>
    </i>
    <i r="1">
      <x v="327"/>
    </i>
    <i>
      <x v="920"/>
    </i>
    <i r="1">
      <x v="692"/>
    </i>
    <i>
      <x v="921"/>
    </i>
    <i r="1">
      <x v="415"/>
    </i>
    <i>
      <x v="922"/>
    </i>
    <i r="1">
      <x v="551"/>
    </i>
    <i>
      <x v="923"/>
    </i>
    <i r="1">
      <x v="141"/>
    </i>
    <i>
      <x v="924"/>
    </i>
    <i r="1">
      <x v="90"/>
    </i>
    <i>
      <x v="925"/>
    </i>
    <i r="1">
      <x v="827"/>
    </i>
    <i>
      <x v="926"/>
    </i>
    <i r="1">
      <x v="556"/>
    </i>
    <i>
      <x v="927"/>
    </i>
    <i r="1">
      <x v="716"/>
    </i>
    <i>
      <x v="928"/>
    </i>
    <i r="1">
      <x v="130"/>
    </i>
    <i>
      <x v="929"/>
    </i>
    <i r="1">
      <x v="999"/>
    </i>
    <i>
      <x v="930"/>
    </i>
    <i r="1">
      <x v="432"/>
    </i>
    <i>
      <x v="931"/>
    </i>
    <i r="1">
      <x v="8"/>
    </i>
    <i>
      <x v="932"/>
    </i>
    <i r="1">
      <x v="451"/>
    </i>
    <i>
      <x v="933"/>
    </i>
    <i r="1">
      <x v="822"/>
    </i>
    <i>
      <x v="934"/>
    </i>
    <i r="1">
      <x v="673"/>
    </i>
    <i>
      <x v="935"/>
    </i>
    <i r="1">
      <x v="57"/>
    </i>
    <i>
      <x v="936"/>
    </i>
    <i r="1">
      <x v="507"/>
    </i>
    <i>
      <x v="937"/>
    </i>
    <i r="1">
      <x v="582"/>
    </i>
    <i>
      <x v="938"/>
    </i>
    <i r="1">
      <x v="249"/>
    </i>
    <i>
      <x v="939"/>
    </i>
    <i r="1">
      <x v="55"/>
    </i>
    <i>
      <x v="940"/>
    </i>
    <i r="1">
      <x v="511"/>
    </i>
    <i>
      <x v="941"/>
    </i>
    <i r="1">
      <x v="739"/>
    </i>
    <i>
      <x v="942"/>
    </i>
    <i r="1">
      <x v="564"/>
    </i>
    <i>
      <x v="943"/>
    </i>
    <i r="1">
      <x v="842"/>
    </i>
    <i>
      <x v="944"/>
    </i>
    <i r="1">
      <x v="788"/>
    </i>
    <i>
      <x v="945"/>
    </i>
    <i r="1">
      <x v="541"/>
    </i>
    <i>
      <x v="946"/>
    </i>
    <i r="1">
      <x v="393"/>
    </i>
    <i>
      <x v="947"/>
    </i>
    <i r="1">
      <x v="830"/>
    </i>
    <i>
      <x v="948"/>
    </i>
    <i r="1">
      <x v="893"/>
    </i>
    <i>
      <x v="949"/>
    </i>
    <i r="1">
      <x v="597"/>
    </i>
    <i>
      <x v="950"/>
    </i>
    <i r="1">
      <x v="382"/>
    </i>
    <i>
      <x v="951"/>
    </i>
    <i r="1">
      <x v="835"/>
    </i>
    <i>
      <x v="952"/>
    </i>
    <i r="1">
      <x v="514"/>
    </i>
    <i>
      <x v="953"/>
    </i>
    <i r="1">
      <x v="981"/>
    </i>
    <i>
      <x v="954"/>
    </i>
    <i r="1">
      <x v="484"/>
    </i>
    <i>
      <x v="955"/>
    </i>
    <i r="1">
      <x v="567"/>
    </i>
    <i>
      <x v="956"/>
    </i>
    <i r="1">
      <x v="93"/>
    </i>
    <i>
      <x v="957"/>
    </i>
    <i r="1">
      <x v="491"/>
    </i>
    <i>
      <x v="958"/>
    </i>
    <i r="1">
      <x v="737"/>
    </i>
    <i>
      <x v="959"/>
    </i>
    <i r="1">
      <x v="773"/>
    </i>
    <i>
      <x v="960"/>
    </i>
    <i r="1">
      <x v="801"/>
    </i>
    <i>
      <x v="961"/>
    </i>
    <i r="1">
      <x v="279"/>
    </i>
    <i>
      <x v="962"/>
    </i>
    <i r="1">
      <x v="151"/>
    </i>
    <i>
      <x v="963"/>
    </i>
    <i r="1">
      <x v="81"/>
    </i>
    <i>
      <x v="964"/>
    </i>
    <i r="1">
      <x v="640"/>
    </i>
    <i>
      <x v="965"/>
    </i>
    <i r="1">
      <x v="545"/>
    </i>
    <i>
      <x v="966"/>
    </i>
    <i r="1">
      <x v="978"/>
    </i>
    <i>
      <x v="967"/>
    </i>
    <i r="1">
      <x v="687"/>
    </i>
    <i>
      <x v="968"/>
    </i>
    <i r="1">
      <x v="113"/>
    </i>
    <i>
      <x v="969"/>
    </i>
    <i r="1">
      <x v="374"/>
    </i>
    <i>
      <x v="970"/>
    </i>
    <i r="1">
      <x v="624"/>
    </i>
    <i>
      <x v="971"/>
    </i>
    <i r="1">
      <x v="913"/>
    </i>
    <i>
      <x v="972"/>
    </i>
    <i r="1">
      <x v="688"/>
    </i>
    <i>
      <x v="973"/>
    </i>
    <i r="1">
      <x v="972"/>
    </i>
    <i>
      <x v="974"/>
    </i>
    <i r="1">
      <x v="782"/>
    </i>
    <i>
      <x v="975"/>
    </i>
    <i r="1">
      <x v="731"/>
    </i>
    <i>
      <x v="976"/>
    </i>
    <i r="1">
      <x v="902"/>
    </i>
    <i>
      <x v="977"/>
    </i>
    <i r="1">
      <x v="699"/>
    </i>
    <i>
      <x v="978"/>
    </i>
    <i r="1">
      <x v="137"/>
    </i>
    <i>
      <x v="979"/>
    </i>
    <i r="1">
      <x v="714"/>
    </i>
    <i>
      <x v="980"/>
    </i>
    <i r="1">
      <x v="486"/>
    </i>
    <i>
      <x v="981"/>
    </i>
    <i r="1">
      <x v="632"/>
    </i>
    <i>
      <x v="982"/>
    </i>
    <i r="1">
      <x v="995"/>
    </i>
    <i>
      <x v="983"/>
    </i>
    <i r="1">
      <x v="740"/>
    </i>
    <i>
      <x v="984"/>
    </i>
    <i r="1">
      <x v="919"/>
    </i>
    <i>
      <x v="985"/>
    </i>
    <i r="1">
      <x v="87"/>
    </i>
    <i>
      <x v="986"/>
    </i>
    <i r="1">
      <x v="354"/>
    </i>
    <i>
      <x v="987"/>
    </i>
    <i r="1">
      <x v="452"/>
    </i>
    <i>
      <x v="988"/>
    </i>
    <i r="1">
      <x v="862"/>
    </i>
    <i>
      <x v="989"/>
    </i>
    <i r="1">
      <x v="729"/>
    </i>
    <i>
      <x v="990"/>
    </i>
    <i r="1">
      <x v="931"/>
    </i>
    <i>
      <x v="991"/>
    </i>
    <i r="1">
      <x v="735"/>
    </i>
    <i>
      <x v="992"/>
    </i>
    <i r="1">
      <x v="101"/>
    </i>
    <i>
      <x v="993"/>
    </i>
    <i r="1">
      <x v="115"/>
    </i>
    <i>
      <x v="994"/>
    </i>
    <i r="1">
      <x v="655"/>
    </i>
    <i>
      <x v="995"/>
    </i>
    <i r="1">
      <x v="418"/>
    </i>
    <i>
      <x v="996"/>
    </i>
    <i r="1">
      <x v="116"/>
    </i>
    <i>
      <x v="997"/>
    </i>
    <i r="1">
      <x v="636"/>
    </i>
    <i>
      <x v="998"/>
    </i>
    <i r="1">
      <x v="779"/>
    </i>
    <i>
      <x v="999"/>
    </i>
    <i r="1">
      <x v="855"/>
    </i>
    <i t="grand">
      <x/>
    </i>
  </rowItems>
  <colItems count="1">
    <i/>
  </colItems>
  <dataFields count="1">
    <dataField name="Sum of Citation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5DBFD84-148C-2241-AD8B-11B7CC90BA76}" sourceName="Region">
  <pivotTables>
    <pivotTable tabId="4" name="PivotTable5"/>
    <pivotTable tabId="4" name="PivotTable1"/>
    <pivotTable tabId="4" name="PivotTable2"/>
    <pivotTable tabId="4" name="PivotTable3"/>
    <pivotTable tabId="4" name="PivotTable6"/>
    <pivotTable tabId="4" name="PivotTable7"/>
  </pivotTables>
  <data>
    <tabular pivotCacheId="1932169231">
      <items count="6">
        <i x="5" s="1"/>
        <i x="2" s="1"/>
        <i x="1" s="1"/>
        <i x="0"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_Tier" xr10:uid="{955B357D-1D62-2B4D-98E7-FBA209117BF2}" sourceName="Rank Tier">
  <pivotTables>
    <pivotTable tabId="4" name="PivotTable5"/>
    <pivotTable tabId="4" name="PivotTable1"/>
    <pivotTable tabId="4" name="PivotTable2"/>
    <pivotTable tabId="4" name="PivotTable3"/>
    <pivotTable tabId="4" name="PivotTable6"/>
    <pivotTable tabId="4" name="PivotTable7"/>
  </pivotTables>
  <data>
    <tabular pivotCacheId="193216923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45A6526E-70D6-9942-B1C9-661092CFC41E}" cache="Slicer_Region" caption="Region" rowHeight="251883"/>
  <slicer name="Rank Tier" xr10:uid="{F361B1FF-3670-0A4A-B7BA-89B67AF89FAE}" cache="Slicer_Rank_Tier" caption="Rank Ti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905F19C2-321C-A845-BEB8-C7999ABCE492}" cache="Slicer_Region" caption="Region" columnCount="3" rowHeight="256032"/>
  <slicer name="Rank Tier 1" xr10:uid="{CCAB2ADA-F075-664C-B2AE-727563A69EB4}" cache="Slicer_Rank_Tier" caption="Rank Tier" columnCount="2" rowHeight="256032"/>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AD1BC2-5E73-AE4A-8C4B-E5639F5BDE7D}" name="Table1" displayName="Table1" ref="A1:X1001" totalsRowShown="0" dataDxfId="28">
  <autoFilter ref="A1:X1001" xr:uid="{A6AD1BC2-5E73-AE4A-8C4B-E5639F5BDE7D}"/>
  <tableColumns count="24">
    <tableColumn id="1" xr3:uid="{054A6488-DF9E-634F-9D62-211C94C08DA0}" name="World Rank" dataDxfId="27"/>
    <tableColumn id="2" xr3:uid="{A897216B-1F82-F640-B64C-7E8FB3A68BA5}" name="Institution" dataDxfId="26"/>
    <tableColumn id="3" xr3:uid="{B8A7DC8F-234A-4644-B981-F979AEAC7A19}" name="Location" dataDxfId="25"/>
    <tableColumn id="24" xr3:uid="{5ED6E483-193D-E24B-B081-254898C3837A}" name="Region" dataDxfId="24"/>
    <tableColumn id="4" xr3:uid="{5F1DB84C-A077-4749-88BF-2F6D8C7C28A7}" name="National Rank" dataDxfId="23"/>
    <tableColumn id="5" xr3:uid="{4C2DEFE5-6B8F-5D46-A85E-4B9F95804CDF}" name="Quality of Education" dataDxfId="22"/>
    <tableColumn id="6" xr3:uid="{ABCB64EA-5886-CB4A-AECF-800AAD9DA153}" name="Alumni Employment" dataDxfId="21"/>
    <tableColumn id="7" xr3:uid="{512220DB-1F06-2A48-8013-7C1C833EC64A}" name="Quality of Faculty" dataDxfId="20"/>
    <tableColumn id="8" xr3:uid="{A0F564AC-2D7E-2240-93E5-C18A65DB32C3}" name="Research Output" dataDxfId="19"/>
    <tableColumn id="9" xr3:uid="{6AC5064D-D06C-AD49-944B-38D2DA7C3EAD}" name="Quality Publications" dataDxfId="18"/>
    <tableColumn id="10" xr3:uid="{D3F3E088-AE90-484A-9CA1-0D3CD687B6CE}" name="Influence" dataDxfId="17"/>
    <tableColumn id="11" xr3:uid="{716ACF85-2DAD-AB4D-BD1D-5C8B993D6746}" name="Citations" dataDxfId="16"/>
    <tableColumn id="12" xr3:uid="{25017DFD-7B1E-5B4E-AC48-6F4404CFD6C0}" name="Score" dataDxfId="15"/>
    <tableColumn id="13" xr3:uid="{FA08E601-F621-7E4F-B072-64C6C91A4FB8}" name="Latitude" dataDxfId="14"/>
    <tableColumn id="14" xr3:uid="{AA18363D-74B9-E046-9DAA-544DD3FEBA8E}" name="Longitude" dataDxfId="13"/>
    <tableColumn id="15" xr3:uid="{358D2199-7914-5A43-A3C5-322A19A3A52A}" name="Quality of Publications Score" dataDxfId="12">
      <calculatedColumnFormula>((1001 - J2) / 1000) * 100</calculatedColumnFormula>
    </tableColumn>
    <tableColumn id="16" xr3:uid="{D278D6D6-F13E-AA4E-BF74-1D9C748221DF}" name="Quality of Education Score" dataDxfId="11">
      <calculatedColumnFormula>((667 - F2) / 666) * 100</calculatedColumnFormula>
    </tableColumn>
    <tableColumn id="17" xr3:uid="{D56A95A6-A908-EC43-8A18-C90794334A6A}" name="Alumni Score " dataDxfId="10">
      <calculatedColumnFormula>(1001 - G2) / 1000 * 100</calculatedColumnFormula>
    </tableColumn>
    <tableColumn id="18" xr3:uid="{241EB4E7-6FA3-7F48-829C-01A844EE5228}" name="Faculty Score" dataDxfId="9">
      <calculatedColumnFormula>(304 - H2) / 303 * 100</calculatedColumnFormula>
    </tableColumn>
    <tableColumn id="19" xr3:uid="{073045E1-0A7A-754D-AA0A-43868B93B4BF}" name="Research Acore" dataDxfId="8">
      <calculatedColumnFormula>(1001 - I2) / 1000 * 100</calculatedColumnFormula>
    </tableColumn>
    <tableColumn id="20" xr3:uid="{A0EF08EE-8BE5-F64A-BA95-AD4ECCF37823}" name="Influence Score" dataDxfId="7">
      <calculatedColumnFormula>(1001 - K2) / 1000 * 100</calculatedColumnFormula>
    </tableColumn>
    <tableColumn id="21" xr3:uid="{3FB13F37-CFC2-774B-9FB5-0F7C45C2FBDE}" name="Citation Score " dataDxfId="6">
      <calculatedColumnFormula>(1001 - L2) / 1000 * 100</calculatedColumnFormula>
    </tableColumn>
    <tableColumn id="22" xr3:uid="{A964E678-0D88-E140-B189-3C34EDF87268}" name="Global Index " dataDxfId="5">
      <calculatedColumnFormula>(1001 - A2) / 1000 * 100</calculatedColumnFormula>
    </tableColumn>
    <tableColumn id="23" xr3:uid="{C139276F-8E39-744C-8329-D1B730FEB344}" name="Rank Tier" dataDxfId="4">
      <calculatedColumnFormula>IF(Table1[[#This Row],[World Rank]]&lt;=250,"Q1-Elite",IF(Table1[[#This Row],[World Rank]]&lt;=500,"Q2-Strong",IF(Table1[[#This Row],[World Rank]]&lt;=750,"Q3-Developing","Q4-Emerging")))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627C1A-1E7D-914B-B045-1CBB98A91F06}" name="Table4" displayName="Table4" ref="C4:D15">
  <autoFilter ref="C4:D15" xr:uid="{9A627C1A-1E7D-914B-B045-1CBB98A91F06}"/>
  <tableColumns count="2">
    <tableColumn id="1" xr3:uid="{D418EA14-7331-DF49-BB23-56624B14EFAE}" name="Country" totalsRowLabel="Total" dataDxfId="3">
      <calculatedColumnFormula>A4</calculatedColumnFormula>
    </tableColumn>
    <tableColumn id="2" xr3:uid="{5704862D-777D-1A4A-A549-45B7091D444A}" name="Count" totalsRowFunction="sum"/>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F6F30D2-9B0B-974C-BDB6-F881028E6ABE}" name="Table5" displayName="Table5" ref="K4:L65" totalsRowShown="0">
  <autoFilter ref="K4:L65" xr:uid="{7F6F30D2-9B0B-974C-BDB6-F881028E6ABE}"/>
  <sortState xmlns:xlrd2="http://schemas.microsoft.com/office/spreadsheetml/2017/richdata2" ref="K5:L65">
    <sortCondition ref="L4:L65"/>
  </sortState>
  <tableColumns count="2">
    <tableColumn id="1" xr3:uid="{9A7710D7-6DA4-8949-9728-B38391E8CCE9}" name="Country" dataDxfId="2">
      <calculatedColumnFormula>I4</calculatedColumnFormula>
    </tableColumn>
    <tableColumn id="2" xr3:uid="{B657AA9A-6DAC-C148-A0DE-D668A5442127}" name="Average of score" dataDxfId="1">
      <calculatedColumnFormula>J4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0950C9-D65F-CC40-92EB-4DAAD41C76E2}" name="Table2" displayName="Table2" ref="AD4:AF8" totalsRowShown="0">
  <autoFilter ref="AD4:AF8" xr:uid="{9B0950C9-D65F-CC40-92EB-4DAAD41C76E2}"/>
  <tableColumns count="3">
    <tableColumn id="1" xr3:uid="{BC58B713-2B50-014D-946F-71B57C74ACC2}" name="Row Labels">
      <calculatedColumnFormula>AA4</calculatedColumnFormula>
    </tableColumn>
    <tableColumn id="2" xr3:uid="{F37FA05C-7E1E-7D48-9306-18EE00E5C7E3}" name="Average of Alumni Score, ">
      <calculatedColumnFormula>AB4</calculatedColumnFormula>
    </tableColumn>
    <tableColumn id="3" xr3:uid="{1113602B-E8A8-A74C-AC70-2465D3828DEB}" name="Average of Quality of Education Score" dataDxfId="0">
      <calculatedColumnFormula>AC4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FBDBA65-6AB5-7747-9293-417801BA137E}" name="Table3" displayName="Table3" ref="W5:Y9" totalsRowShown="0">
  <autoFilter ref="W5:Y9" xr:uid="{4FBDBA65-6AB5-7747-9293-417801BA137E}"/>
  <tableColumns count="3">
    <tableColumn id="1" xr3:uid="{71659CAF-F1DF-714D-A013-BAB1F1C04F82}" name="Rank Tier">
      <calculatedColumnFormula>T5</calculatedColumnFormula>
    </tableColumn>
    <tableColumn id="2" xr3:uid="{751AF4DF-DA87-4449-944A-884F605B4A43}" name="Average of Citation">
      <calculatedColumnFormula>U5</calculatedColumnFormula>
    </tableColumn>
    <tableColumn id="3" xr3:uid="{C980388B-98C3-384C-BBB2-130D74CAF787}" name="Average of Influence">
      <calculatedColumnFormula>V5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0" Type="http://schemas.openxmlformats.org/officeDocument/2006/relationships/table" Target="../tables/table4.xml"/><Relationship Id="rId4" Type="http://schemas.openxmlformats.org/officeDocument/2006/relationships/pivotTable" Target="../pivotTables/pivotTable4.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E906-7402-244F-832B-9D59E932AED3}">
  <dimension ref="A1:AH1001"/>
  <sheetViews>
    <sheetView zoomScaleNormal="100" workbookViewId="0">
      <pane xSplit="1" ySplit="1" topLeftCell="B969" activePane="bottomRight" state="frozen"/>
      <selection pane="topRight" activeCell="B1" sqref="B1"/>
      <selection pane="bottomLeft" activeCell="A2" sqref="A2"/>
      <selection pane="bottomRight" activeCell="Q27" sqref="Q27"/>
    </sheetView>
  </sheetViews>
  <sheetFormatPr baseColWidth="10" defaultRowHeight="16" x14ac:dyDescent="0.2"/>
  <cols>
    <col min="1" max="1" width="15.83203125" style="1" bestFit="1" customWidth="1"/>
    <col min="2" max="2" width="60.1640625" bestFit="1" customWidth="1"/>
    <col min="3" max="3" width="14.33203125" bestFit="1" customWidth="1"/>
    <col min="4" max="4" width="14.33203125" customWidth="1"/>
    <col min="5" max="5" width="15.33203125" bestFit="1" customWidth="1"/>
    <col min="6" max="6" width="20.5" bestFit="1" customWidth="1"/>
    <col min="7" max="7" width="20.6640625" bestFit="1" customWidth="1"/>
    <col min="8" max="8" width="18.33203125" bestFit="1" customWidth="1"/>
    <col min="9" max="9" width="17.33203125" bestFit="1" customWidth="1"/>
    <col min="10" max="10" width="20.1640625" bestFit="1" customWidth="1"/>
    <col min="11" max="11" width="11.1640625" bestFit="1" customWidth="1"/>
    <col min="12" max="12" width="10.83203125" bestFit="1" customWidth="1"/>
    <col min="13" max="13" width="8.1640625" bestFit="1" customWidth="1"/>
    <col min="14" max="15" width="18.83203125" bestFit="1" customWidth="1"/>
    <col min="16" max="16" width="30" style="14" bestFit="1" customWidth="1"/>
    <col min="17" max="17" width="26.5" style="13" bestFit="1" customWidth="1"/>
    <col min="18" max="18" width="17.5" style="16" bestFit="1" customWidth="1"/>
    <col min="19" max="19" width="17.1640625" style="16" bestFit="1" customWidth="1"/>
    <col min="20" max="20" width="16.33203125" style="15" bestFit="1" customWidth="1"/>
    <col min="21" max="21" width="18.6640625" style="16" bestFit="1" customWidth="1"/>
    <col min="22" max="22" width="18" style="16" bestFit="1" customWidth="1"/>
    <col min="23" max="23" width="17" style="1" bestFit="1" customWidth="1"/>
    <col min="24" max="24" width="14.1640625" style="1" customWidth="1"/>
    <col min="25" max="25" width="10.83203125" style="1"/>
    <col min="26" max="26" width="14.33203125" bestFit="1" customWidth="1"/>
    <col min="27" max="28" width="5.1640625" bestFit="1" customWidth="1"/>
    <col min="33" max="33" width="27" bestFit="1" customWidth="1"/>
    <col min="34" max="34" width="25.83203125" bestFit="1" customWidth="1"/>
  </cols>
  <sheetData>
    <row r="1" spans="1:34" x14ac:dyDescent="0.2">
      <c r="A1" s="1" t="s">
        <v>0</v>
      </c>
      <c r="B1" t="s">
        <v>1</v>
      </c>
      <c r="C1" t="s">
        <v>2</v>
      </c>
      <c r="D1" t="s">
        <v>1119</v>
      </c>
      <c r="E1" t="s">
        <v>3</v>
      </c>
      <c r="F1" t="s">
        <v>4</v>
      </c>
      <c r="G1" t="s">
        <v>5</v>
      </c>
      <c r="H1" t="s">
        <v>6</v>
      </c>
      <c r="I1" t="s">
        <v>7</v>
      </c>
      <c r="J1" t="s">
        <v>8</v>
      </c>
      <c r="K1" t="s">
        <v>9</v>
      </c>
      <c r="L1" t="s">
        <v>10</v>
      </c>
      <c r="M1" t="s">
        <v>11</v>
      </c>
      <c r="N1" t="s">
        <v>12</v>
      </c>
      <c r="O1" t="s">
        <v>13</v>
      </c>
      <c r="P1" s="14" t="s">
        <v>1106</v>
      </c>
      <c r="Q1" s="13" t="s">
        <v>1117</v>
      </c>
      <c r="R1" s="16" t="s">
        <v>1107</v>
      </c>
      <c r="S1" s="16" t="s">
        <v>1108</v>
      </c>
      <c r="T1" s="15" t="s">
        <v>1109</v>
      </c>
      <c r="U1" s="16" t="s">
        <v>1110</v>
      </c>
      <c r="V1" s="16" t="s">
        <v>1111</v>
      </c>
      <c r="W1" s="1" t="s">
        <v>1112</v>
      </c>
      <c r="X1" s="1" t="s">
        <v>1126</v>
      </c>
    </row>
    <row r="2" spans="1:34" x14ac:dyDescent="0.2">
      <c r="A2" s="1">
        <v>1</v>
      </c>
      <c r="B2" s="1" t="s">
        <v>14</v>
      </c>
      <c r="C2" s="1" t="s">
        <v>15</v>
      </c>
      <c r="D2" s="1" t="s">
        <v>1120</v>
      </c>
      <c r="E2" s="1">
        <v>1</v>
      </c>
      <c r="F2" s="1">
        <v>2</v>
      </c>
      <c r="G2" s="1">
        <v>1</v>
      </c>
      <c r="H2" s="1">
        <v>1</v>
      </c>
      <c r="I2" s="1">
        <v>1</v>
      </c>
      <c r="J2" s="1">
        <v>1</v>
      </c>
      <c r="K2" s="1">
        <v>1</v>
      </c>
      <c r="L2" s="1">
        <v>1</v>
      </c>
      <c r="M2" s="1">
        <v>100</v>
      </c>
      <c r="N2" s="1">
        <v>39.783730400000003</v>
      </c>
      <c r="O2" s="1">
        <v>-100.445882</v>
      </c>
      <c r="P2" s="14">
        <f t="shared" ref="P2:P65" si="0">((1001 - J2) / 1000) * 100</f>
        <v>100</v>
      </c>
      <c r="Q2" s="13">
        <f t="shared" ref="Q2:Q65" si="1">((667 - F2) / 666) * 100</f>
        <v>99.849849849849846</v>
      </c>
      <c r="R2" s="17">
        <f t="shared" ref="R2:R65" si="2">(1001 - G2) / 1000 * 100</f>
        <v>100</v>
      </c>
      <c r="S2" s="1">
        <f t="shared" ref="S2:S65" si="3">(304 - H2) / 303 * 100</f>
        <v>100</v>
      </c>
      <c r="T2">
        <f t="shared" ref="T2:T65" si="4">(1001 - I2) / 1000 * 100</f>
        <v>100</v>
      </c>
      <c r="U2" s="1">
        <f t="shared" ref="U2:U65" si="5">(1001 - K2) / 1000 * 100</f>
        <v>100</v>
      </c>
      <c r="V2" s="1">
        <f t="shared" ref="V2:V65" si="6">(1001 - L2) / 1000 * 100</f>
        <v>100</v>
      </c>
      <c r="W2" s="1">
        <f t="shared" ref="W2:W65" si="7">(1001 - A2) / 1000 * 100</f>
        <v>100</v>
      </c>
      <c r="X2" s="1" t="str">
        <f>IF(Table1[[#This Row],[World Rank]]&lt;=250,"Q1-Elite",IF(Table1[[#This Row],[World Rank]]&lt;=500,"Q2-Strong",IF(Table1[[#This Row],[World Rank]]&lt;=750,"Q3-Developing","Q4-Emerging")))</f>
        <v>Q1-Elite</v>
      </c>
    </row>
    <row r="3" spans="1:34" x14ac:dyDescent="0.2">
      <c r="A3" s="1">
        <v>2</v>
      </c>
      <c r="B3" s="1" t="s">
        <v>16</v>
      </c>
      <c r="C3" s="1" t="s">
        <v>15</v>
      </c>
      <c r="D3" s="1" t="s">
        <v>1120</v>
      </c>
      <c r="E3" s="1">
        <v>2</v>
      </c>
      <c r="F3" s="1">
        <v>10</v>
      </c>
      <c r="G3" s="1">
        <v>3</v>
      </c>
      <c r="H3" s="1">
        <v>2</v>
      </c>
      <c r="I3" s="1">
        <v>10</v>
      </c>
      <c r="J3" s="1">
        <v>4</v>
      </c>
      <c r="K3" s="1">
        <v>3</v>
      </c>
      <c r="L3" s="1">
        <v>2</v>
      </c>
      <c r="M3" s="1">
        <v>96.7</v>
      </c>
      <c r="N3" s="1">
        <v>39.783730400000003</v>
      </c>
      <c r="O3" s="1">
        <v>-100.445882</v>
      </c>
      <c r="P3" s="14">
        <f t="shared" si="0"/>
        <v>99.7</v>
      </c>
      <c r="Q3" s="13">
        <f t="shared" si="1"/>
        <v>98.648648648648646</v>
      </c>
      <c r="R3" s="16">
        <f t="shared" si="2"/>
        <v>99.8</v>
      </c>
      <c r="S3" s="14">
        <f t="shared" si="3"/>
        <v>99.669966996699671</v>
      </c>
      <c r="T3" s="13">
        <f t="shared" si="4"/>
        <v>99.1</v>
      </c>
      <c r="U3" s="14">
        <f t="shared" si="5"/>
        <v>99.8</v>
      </c>
      <c r="V3" s="14">
        <f t="shared" si="6"/>
        <v>99.9</v>
      </c>
      <c r="W3" s="1">
        <f t="shared" si="7"/>
        <v>99.9</v>
      </c>
      <c r="X3" s="1" t="str">
        <f>IF(Table1[[#This Row],[World Rank]]&lt;=250,"Q1-Elite",IF(Table1[[#This Row],[World Rank]]&lt;=500,"Q2-Strong",IF(Table1[[#This Row],[World Rank]]&lt;=750,"Q3-Developing","Q4-Emerging")))</f>
        <v>Q1-Elite</v>
      </c>
    </row>
    <row r="4" spans="1:34" x14ac:dyDescent="0.2">
      <c r="A4" s="1">
        <v>3</v>
      </c>
      <c r="B4" s="1" t="s">
        <v>17</v>
      </c>
      <c r="C4" s="1" t="s">
        <v>15</v>
      </c>
      <c r="D4" s="1" t="s">
        <v>1120</v>
      </c>
      <c r="E4" s="1">
        <v>3</v>
      </c>
      <c r="F4" s="1">
        <v>3</v>
      </c>
      <c r="G4" s="1">
        <v>11</v>
      </c>
      <c r="H4" s="1">
        <v>3</v>
      </c>
      <c r="I4" s="1">
        <v>30</v>
      </c>
      <c r="J4" s="1">
        <v>15</v>
      </c>
      <c r="K4" s="1">
        <v>2</v>
      </c>
      <c r="L4" s="1">
        <v>6</v>
      </c>
      <c r="M4" s="1">
        <v>95.1</v>
      </c>
      <c r="N4" s="1">
        <v>39.783730400000003</v>
      </c>
      <c r="O4" s="1">
        <v>-100.445882</v>
      </c>
      <c r="P4" s="14">
        <f t="shared" si="0"/>
        <v>98.6</v>
      </c>
      <c r="Q4" s="13">
        <f t="shared" si="1"/>
        <v>99.699699699699693</v>
      </c>
      <c r="R4" s="16">
        <f t="shared" si="2"/>
        <v>99</v>
      </c>
      <c r="S4" s="14">
        <f t="shared" si="3"/>
        <v>99.339933993399342</v>
      </c>
      <c r="T4" s="13">
        <f t="shared" si="4"/>
        <v>97.1</v>
      </c>
      <c r="U4" s="14">
        <f t="shared" si="5"/>
        <v>99.9</v>
      </c>
      <c r="V4" s="14">
        <f t="shared" si="6"/>
        <v>99.5</v>
      </c>
      <c r="W4" s="1">
        <f t="shared" si="7"/>
        <v>99.8</v>
      </c>
      <c r="X4" s="1" t="str">
        <f>IF(Table1[[#This Row],[World Rank]]&lt;=250,"Q1-Elite",IF(Table1[[#This Row],[World Rank]]&lt;=500,"Q2-Strong",IF(Table1[[#This Row],[World Rank]]&lt;=750,"Q3-Developing","Q4-Emerging")))</f>
        <v>Q1-Elite</v>
      </c>
    </row>
    <row r="5" spans="1:34" x14ac:dyDescent="0.2">
      <c r="A5" s="1">
        <v>4</v>
      </c>
      <c r="B5" s="1" t="s">
        <v>18</v>
      </c>
      <c r="C5" s="1" t="s">
        <v>19</v>
      </c>
      <c r="D5" s="1" t="s">
        <v>1124</v>
      </c>
      <c r="E5" s="1">
        <v>1</v>
      </c>
      <c r="F5" s="1">
        <v>5</v>
      </c>
      <c r="G5" s="1">
        <v>19</v>
      </c>
      <c r="H5" s="1">
        <v>6</v>
      </c>
      <c r="I5" s="1">
        <v>12</v>
      </c>
      <c r="J5" s="1">
        <v>8</v>
      </c>
      <c r="K5" s="1">
        <v>6</v>
      </c>
      <c r="L5" s="1">
        <v>19</v>
      </c>
      <c r="M5" s="1">
        <v>94</v>
      </c>
      <c r="N5" s="1">
        <v>54.702354499999998</v>
      </c>
      <c r="O5" s="1">
        <v>-3.2765753000000002</v>
      </c>
      <c r="P5" s="14">
        <f t="shared" si="0"/>
        <v>99.3</v>
      </c>
      <c r="Q5" s="13">
        <f t="shared" si="1"/>
        <v>99.3993993993994</v>
      </c>
      <c r="R5" s="16">
        <f t="shared" si="2"/>
        <v>98.2</v>
      </c>
      <c r="S5" s="14">
        <f t="shared" si="3"/>
        <v>98.349834983498354</v>
      </c>
      <c r="T5" s="13">
        <f t="shared" si="4"/>
        <v>98.9</v>
      </c>
      <c r="U5" s="14">
        <f t="shared" si="5"/>
        <v>99.5</v>
      </c>
      <c r="V5" s="14">
        <f t="shared" si="6"/>
        <v>98.2</v>
      </c>
      <c r="W5" s="1">
        <f t="shared" si="7"/>
        <v>99.7</v>
      </c>
      <c r="X5" s="1" t="str">
        <f>IF(Table1[[#This Row],[World Rank]]&lt;=250,"Q1-Elite",IF(Table1[[#This Row],[World Rank]]&lt;=500,"Q2-Strong",IF(Table1[[#This Row],[World Rank]]&lt;=750,"Q3-Developing","Q4-Emerging")))</f>
        <v>Q1-Elite</v>
      </c>
    </row>
    <row r="6" spans="1:34" x14ac:dyDescent="0.2">
      <c r="A6" s="1">
        <v>5</v>
      </c>
      <c r="B6" s="1" t="s">
        <v>20</v>
      </c>
      <c r="C6" s="1" t="s">
        <v>19</v>
      </c>
      <c r="D6" s="1" t="s">
        <v>1124</v>
      </c>
      <c r="E6" s="1">
        <v>2</v>
      </c>
      <c r="F6" s="1">
        <v>9</v>
      </c>
      <c r="G6" s="1">
        <v>25</v>
      </c>
      <c r="H6" s="1">
        <v>10</v>
      </c>
      <c r="I6" s="1">
        <v>9</v>
      </c>
      <c r="J6" s="1">
        <v>5</v>
      </c>
      <c r="K6" s="1">
        <v>7</v>
      </c>
      <c r="L6" s="1">
        <v>4</v>
      </c>
      <c r="M6" s="1">
        <v>93.2</v>
      </c>
      <c r="N6" s="1">
        <v>54.702354499999998</v>
      </c>
      <c r="O6" s="1">
        <v>-3.2765753000000002</v>
      </c>
      <c r="P6" s="14">
        <f t="shared" si="0"/>
        <v>99.6</v>
      </c>
      <c r="Q6" s="13">
        <f t="shared" si="1"/>
        <v>98.798798798798799</v>
      </c>
      <c r="R6" s="16">
        <f t="shared" si="2"/>
        <v>97.6</v>
      </c>
      <c r="S6" s="14">
        <f t="shared" si="3"/>
        <v>97.029702970297024</v>
      </c>
      <c r="T6" s="13">
        <f t="shared" si="4"/>
        <v>99.2</v>
      </c>
      <c r="U6" s="14">
        <f t="shared" si="5"/>
        <v>99.4</v>
      </c>
      <c r="V6" s="14">
        <f t="shared" si="6"/>
        <v>99.7</v>
      </c>
      <c r="W6" s="1">
        <f t="shared" si="7"/>
        <v>99.6</v>
      </c>
      <c r="X6" s="1" t="str">
        <f>IF(Table1[[#This Row],[World Rank]]&lt;=250,"Q1-Elite",IF(Table1[[#This Row],[World Rank]]&lt;=500,"Q2-Strong",IF(Table1[[#This Row],[World Rank]]&lt;=750,"Q3-Developing","Q4-Emerging")))</f>
        <v>Q1-Elite</v>
      </c>
      <c r="AB6">
        <f>COUNTA(_xlfn.UNIQUE(Table1[Institution]))</f>
        <v>1000</v>
      </c>
    </row>
    <row r="7" spans="1:34" x14ac:dyDescent="0.2">
      <c r="A7" s="1">
        <v>6</v>
      </c>
      <c r="B7" s="1" t="s">
        <v>21</v>
      </c>
      <c r="C7" s="1" t="s">
        <v>15</v>
      </c>
      <c r="D7" s="1" t="s">
        <v>1120</v>
      </c>
      <c r="E7" s="1">
        <v>4</v>
      </c>
      <c r="F7" s="1">
        <v>7</v>
      </c>
      <c r="G7" s="1">
        <v>52</v>
      </c>
      <c r="H7" s="1">
        <v>5</v>
      </c>
      <c r="I7" s="1">
        <v>18</v>
      </c>
      <c r="J7" s="1">
        <v>12</v>
      </c>
      <c r="K7" s="1">
        <v>4</v>
      </c>
      <c r="L7" s="1">
        <v>8</v>
      </c>
      <c r="M7" s="1">
        <v>92.5</v>
      </c>
      <c r="N7" s="1">
        <v>39.783730400000003</v>
      </c>
      <c r="O7" s="1">
        <v>-100.445882</v>
      </c>
      <c r="P7" s="14">
        <f t="shared" si="0"/>
        <v>98.9</v>
      </c>
      <c r="Q7" s="13">
        <f t="shared" si="1"/>
        <v>99.099099099099092</v>
      </c>
      <c r="R7" s="16">
        <f t="shared" si="2"/>
        <v>94.899999999999991</v>
      </c>
      <c r="S7" s="14">
        <f t="shared" si="3"/>
        <v>98.679867986798669</v>
      </c>
      <c r="T7" s="13">
        <f t="shared" si="4"/>
        <v>98.3</v>
      </c>
      <c r="U7" s="14">
        <f t="shared" si="5"/>
        <v>99.7</v>
      </c>
      <c r="V7" s="14">
        <f t="shared" si="6"/>
        <v>99.3</v>
      </c>
      <c r="W7" s="1">
        <f t="shared" si="7"/>
        <v>99.5</v>
      </c>
      <c r="X7" s="1" t="str">
        <f>IF(Table1[[#This Row],[World Rank]]&lt;=250,"Q1-Elite",IF(Table1[[#This Row],[World Rank]]&lt;=500,"Q2-Strong",IF(Table1[[#This Row],[World Rank]]&lt;=750,"Q3-Developing","Q4-Emerging")))</f>
        <v>Q1-Elite</v>
      </c>
    </row>
    <row r="8" spans="1:34" x14ac:dyDescent="0.2">
      <c r="A8" s="1">
        <v>7</v>
      </c>
      <c r="B8" s="1" t="s">
        <v>22</v>
      </c>
      <c r="C8" s="1" t="s">
        <v>15</v>
      </c>
      <c r="D8" s="1" t="s">
        <v>1120</v>
      </c>
      <c r="E8" s="1">
        <v>5</v>
      </c>
      <c r="F8" s="1">
        <v>4</v>
      </c>
      <c r="G8" s="1">
        <v>15</v>
      </c>
      <c r="H8" s="1">
        <v>4</v>
      </c>
      <c r="I8" s="1">
        <v>146</v>
      </c>
      <c r="J8" s="1">
        <v>99</v>
      </c>
      <c r="K8" s="1">
        <v>28</v>
      </c>
      <c r="L8" s="1">
        <v>27</v>
      </c>
      <c r="M8" s="1">
        <v>91.9</v>
      </c>
      <c r="N8" s="1">
        <v>39.783730400000003</v>
      </c>
      <c r="O8" s="1">
        <v>-100.445882</v>
      </c>
      <c r="P8" s="14">
        <f t="shared" si="0"/>
        <v>90.2</v>
      </c>
      <c r="Q8" s="13">
        <f t="shared" si="1"/>
        <v>99.549549549549553</v>
      </c>
      <c r="R8" s="16">
        <f t="shared" si="2"/>
        <v>98.6</v>
      </c>
      <c r="S8" s="14">
        <f t="shared" si="3"/>
        <v>99.009900990099013</v>
      </c>
      <c r="T8" s="13">
        <f t="shared" si="4"/>
        <v>85.5</v>
      </c>
      <c r="U8" s="14">
        <f t="shared" si="5"/>
        <v>97.3</v>
      </c>
      <c r="V8" s="14">
        <f t="shared" si="6"/>
        <v>97.399999999999991</v>
      </c>
      <c r="W8" s="1">
        <f t="shared" si="7"/>
        <v>99.4</v>
      </c>
      <c r="X8" s="1" t="str">
        <f>IF(Table1[[#This Row],[World Rank]]&lt;=250,"Q1-Elite",IF(Table1[[#This Row],[World Rank]]&lt;=500,"Q2-Strong",IF(Table1[[#This Row],[World Rank]]&lt;=750,"Q3-Developing","Q4-Emerging")))</f>
        <v>Q1-Elite</v>
      </c>
    </row>
    <row r="9" spans="1:34" x14ac:dyDescent="0.2">
      <c r="A9" s="1">
        <v>8</v>
      </c>
      <c r="B9" s="1" t="s">
        <v>23</v>
      </c>
      <c r="C9" s="1" t="s">
        <v>15</v>
      </c>
      <c r="D9" s="1" t="s">
        <v>1120</v>
      </c>
      <c r="E9" s="1">
        <v>6</v>
      </c>
      <c r="F9" s="1">
        <v>16</v>
      </c>
      <c r="G9" s="1">
        <v>13</v>
      </c>
      <c r="H9" s="1">
        <v>8</v>
      </c>
      <c r="I9" s="1">
        <v>20</v>
      </c>
      <c r="J9" s="1">
        <v>14</v>
      </c>
      <c r="K9" s="1">
        <v>10</v>
      </c>
      <c r="L9" s="1">
        <v>10</v>
      </c>
      <c r="M9" s="1">
        <v>91.4</v>
      </c>
      <c r="N9" s="1">
        <v>39.783730400000003</v>
      </c>
      <c r="O9" s="1">
        <v>-100.445882</v>
      </c>
      <c r="P9" s="14">
        <f t="shared" si="0"/>
        <v>98.7</v>
      </c>
      <c r="Q9" s="13">
        <f t="shared" si="1"/>
        <v>97.747747747747752</v>
      </c>
      <c r="R9" s="16">
        <f t="shared" si="2"/>
        <v>98.8</v>
      </c>
      <c r="S9" s="14">
        <f t="shared" si="3"/>
        <v>97.689768976897696</v>
      </c>
      <c r="T9" s="13">
        <f t="shared" si="4"/>
        <v>98.1</v>
      </c>
      <c r="U9" s="14">
        <f t="shared" si="5"/>
        <v>99.1</v>
      </c>
      <c r="V9" s="14">
        <f t="shared" si="6"/>
        <v>99.1</v>
      </c>
      <c r="W9" s="1">
        <f t="shared" si="7"/>
        <v>99.3</v>
      </c>
      <c r="X9" s="1" t="str">
        <f>IF(Table1[[#This Row],[World Rank]]&lt;=250,"Q1-Elite",IF(Table1[[#This Row],[World Rank]]&lt;=500,"Q2-Strong",IF(Table1[[#This Row],[World Rank]]&lt;=750,"Q3-Developing","Q4-Emerging")))</f>
        <v>Q1-Elite</v>
      </c>
    </row>
    <row r="10" spans="1:34" x14ac:dyDescent="0.2">
      <c r="A10" s="1">
        <v>9</v>
      </c>
      <c r="B10" s="1" t="s">
        <v>24</v>
      </c>
      <c r="C10" s="1" t="s">
        <v>15</v>
      </c>
      <c r="D10" s="1" t="s">
        <v>1120</v>
      </c>
      <c r="E10" s="1">
        <v>7</v>
      </c>
      <c r="F10" s="1">
        <v>1</v>
      </c>
      <c r="G10" s="1">
        <v>200</v>
      </c>
      <c r="H10" s="1">
        <v>7</v>
      </c>
      <c r="I10" s="1">
        <v>127</v>
      </c>
      <c r="J10" s="1">
        <v>81</v>
      </c>
      <c r="K10" s="1">
        <v>13</v>
      </c>
      <c r="L10" s="1">
        <v>31</v>
      </c>
      <c r="M10" s="1">
        <v>91</v>
      </c>
      <c r="N10" s="1">
        <v>39.783730400000003</v>
      </c>
      <c r="O10" s="1">
        <v>-100.445882</v>
      </c>
      <c r="P10" s="14">
        <f t="shared" si="0"/>
        <v>92</v>
      </c>
      <c r="Q10" s="13">
        <f t="shared" si="1"/>
        <v>100</v>
      </c>
      <c r="R10" s="16">
        <f t="shared" si="2"/>
        <v>80.100000000000009</v>
      </c>
      <c r="S10" s="14">
        <f t="shared" si="3"/>
        <v>98.019801980198025</v>
      </c>
      <c r="T10" s="13">
        <f t="shared" si="4"/>
        <v>87.4</v>
      </c>
      <c r="U10" s="14">
        <f t="shared" si="5"/>
        <v>98.8</v>
      </c>
      <c r="V10" s="14">
        <f t="shared" si="6"/>
        <v>97</v>
      </c>
      <c r="W10" s="1">
        <f t="shared" si="7"/>
        <v>99.2</v>
      </c>
      <c r="X10" s="1" t="str">
        <f>IF(Table1[[#This Row],[World Rank]]&lt;=250,"Q1-Elite",IF(Table1[[#This Row],[World Rank]]&lt;=500,"Q2-Strong",IF(Table1[[#This Row],[World Rank]]&lt;=750,"Q3-Developing","Q4-Emerging")))</f>
        <v>Q1-Elite</v>
      </c>
      <c r="Z10" t="str" cm="1">
        <f t="array" ref="Z10:Z72">_xlfn.UNIQUE(C:C)</f>
        <v>Location</v>
      </c>
    </row>
    <row r="11" spans="1:34" x14ac:dyDescent="0.2">
      <c r="A11" s="1">
        <v>10</v>
      </c>
      <c r="B11" s="1" t="s">
        <v>25</v>
      </c>
      <c r="C11" s="1" t="s">
        <v>15</v>
      </c>
      <c r="D11" s="1" t="s">
        <v>1120</v>
      </c>
      <c r="E11" s="1">
        <v>8</v>
      </c>
      <c r="F11" s="1">
        <v>13</v>
      </c>
      <c r="G11" s="1">
        <v>22</v>
      </c>
      <c r="H11" s="1">
        <v>9</v>
      </c>
      <c r="I11" s="1">
        <v>39</v>
      </c>
      <c r="J11" s="1">
        <v>22</v>
      </c>
      <c r="K11" s="1">
        <v>18</v>
      </c>
      <c r="L11" s="1">
        <v>10</v>
      </c>
      <c r="M11" s="1">
        <v>90.6</v>
      </c>
      <c r="N11" s="1">
        <v>39.783730400000003</v>
      </c>
      <c r="O11" s="1">
        <v>-100.445882</v>
      </c>
      <c r="P11" s="14">
        <f t="shared" si="0"/>
        <v>97.899999999999991</v>
      </c>
      <c r="Q11" s="13">
        <f t="shared" si="1"/>
        <v>98.198198198198199</v>
      </c>
      <c r="R11" s="16">
        <f t="shared" si="2"/>
        <v>97.899999999999991</v>
      </c>
      <c r="S11" s="14">
        <f t="shared" si="3"/>
        <v>97.359735973597367</v>
      </c>
      <c r="T11" s="13">
        <f t="shared" si="4"/>
        <v>96.2</v>
      </c>
      <c r="U11" s="14">
        <f t="shared" si="5"/>
        <v>98.3</v>
      </c>
      <c r="V11" s="14">
        <f t="shared" si="6"/>
        <v>99.1</v>
      </c>
      <c r="W11" s="1">
        <f t="shared" si="7"/>
        <v>99.1</v>
      </c>
      <c r="X11" s="1" t="str">
        <f>IF(Table1[[#This Row],[World Rank]]&lt;=250,"Q1-Elite",IF(Table1[[#This Row],[World Rank]]&lt;=500,"Q2-Strong",IF(Table1[[#This Row],[World Rank]]&lt;=750,"Q3-Developing","Q4-Emerging")))</f>
        <v>Q1-Elite</v>
      </c>
      <c r="Z11" t="str">
        <v>USA</v>
      </c>
      <c r="AA11">
        <f t="shared" ref="AA11:AA42" si="8">COUNTIF(Location,Z11)</f>
        <v>213</v>
      </c>
    </row>
    <row r="12" spans="1:34" x14ac:dyDescent="0.2">
      <c r="A12" s="1">
        <v>11</v>
      </c>
      <c r="B12" s="1" t="s">
        <v>26</v>
      </c>
      <c r="C12" s="1" t="s">
        <v>15</v>
      </c>
      <c r="D12" s="1" t="s">
        <v>1120</v>
      </c>
      <c r="E12" s="1">
        <v>9</v>
      </c>
      <c r="F12" s="1">
        <v>11</v>
      </c>
      <c r="G12" s="1">
        <v>34</v>
      </c>
      <c r="H12" s="1">
        <v>12</v>
      </c>
      <c r="I12" s="1">
        <v>37</v>
      </c>
      <c r="J12" s="1">
        <v>19</v>
      </c>
      <c r="K12" s="1">
        <v>11</v>
      </c>
      <c r="L12" s="1">
        <v>31</v>
      </c>
      <c r="M12" s="1">
        <v>90.3</v>
      </c>
      <c r="N12" s="1">
        <v>39.783730400000003</v>
      </c>
      <c r="O12" s="1">
        <v>-100.445882</v>
      </c>
      <c r="P12" s="14">
        <f t="shared" si="0"/>
        <v>98.2</v>
      </c>
      <c r="Q12" s="13">
        <f t="shared" si="1"/>
        <v>98.498498498498492</v>
      </c>
      <c r="R12" s="16">
        <f t="shared" si="2"/>
        <v>96.7</v>
      </c>
      <c r="S12" s="14">
        <f t="shared" si="3"/>
        <v>96.369636963696365</v>
      </c>
      <c r="T12" s="13">
        <f t="shared" si="4"/>
        <v>96.399999999999991</v>
      </c>
      <c r="U12" s="14">
        <f t="shared" si="5"/>
        <v>99</v>
      </c>
      <c r="V12" s="14">
        <f t="shared" si="6"/>
        <v>97</v>
      </c>
      <c r="W12" s="1">
        <f t="shared" si="7"/>
        <v>99</v>
      </c>
      <c r="X12" s="1" t="str">
        <f>IF(Table1[[#This Row],[World Rank]]&lt;=250,"Q1-Elite",IF(Table1[[#This Row],[World Rank]]&lt;=500,"Q2-Strong",IF(Table1[[#This Row],[World Rank]]&lt;=750,"Q3-Developing","Q4-Emerging")))</f>
        <v>Q1-Elite</v>
      </c>
      <c r="Z12" t="str">
        <v>United Kingdom</v>
      </c>
      <c r="AA12">
        <f t="shared" si="8"/>
        <v>62</v>
      </c>
    </row>
    <row r="13" spans="1:34" x14ac:dyDescent="0.2">
      <c r="A13" s="1">
        <v>12</v>
      </c>
      <c r="B13" s="1" t="s">
        <v>27</v>
      </c>
      <c r="C13" s="1" t="s">
        <v>28</v>
      </c>
      <c r="D13" s="1" t="s">
        <v>1125</v>
      </c>
      <c r="E13" s="1">
        <v>1</v>
      </c>
      <c r="F13" s="1">
        <v>17</v>
      </c>
      <c r="G13" s="1">
        <v>8</v>
      </c>
      <c r="H13" s="1">
        <v>33</v>
      </c>
      <c r="I13" s="1">
        <v>7</v>
      </c>
      <c r="J13" s="1">
        <v>17</v>
      </c>
      <c r="K13" s="1">
        <v>23</v>
      </c>
      <c r="L13" s="1">
        <v>29</v>
      </c>
      <c r="M13" s="1">
        <v>90</v>
      </c>
      <c r="N13" s="1">
        <v>36.5748441</v>
      </c>
      <c r="O13" s="1">
        <v>139.23941790000001</v>
      </c>
      <c r="P13" s="14">
        <f t="shared" si="0"/>
        <v>98.4</v>
      </c>
      <c r="Q13" s="13">
        <f t="shared" si="1"/>
        <v>97.597597597597598</v>
      </c>
      <c r="R13" s="16">
        <f t="shared" si="2"/>
        <v>99.3</v>
      </c>
      <c r="S13" s="14">
        <f t="shared" si="3"/>
        <v>89.438943894389439</v>
      </c>
      <c r="T13" s="13">
        <f t="shared" si="4"/>
        <v>99.4</v>
      </c>
      <c r="U13" s="14">
        <f t="shared" si="5"/>
        <v>97.8</v>
      </c>
      <c r="V13" s="14">
        <f t="shared" si="6"/>
        <v>97.2</v>
      </c>
      <c r="W13" s="1">
        <f t="shared" si="7"/>
        <v>98.9</v>
      </c>
      <c r="X13" s="1" t="str">
        <f>IF(Table1[[#This Row],[World Rank]]&lt;=250,"Q1-Elite",IF(Table1[[#This Row],[World Rank]]&lt;=500,"Q2-Strong",IF(Table1[[#This Row],[World Rank]]&lt;=750,"Q3-Developing","Q4-Emerging")))</f>
        <v>Q1-Elite</v>
      </c>
      <c r="Z13" t="str">
        <v>Japan</v>
      </c>
      <c r="AA13">
        <f t="shared" si="8"/>
        <v>56</v>
      </c>
      <c r="AG13" t="s">
        <v>1098</v>
      </c>
      <c r="AH13" t="s">
        <v>1099</v>
      </c>
    </row>
    <row r="14" spans="1:34" x14ac:dyDescent="0.2">
      <c r="A14" s="1">
        <v>13</v>
      </c>
      <c r="B14" s="1" t="s">
        <v>29</v>
      </c>
      <c r="C14" s="1" t="s">
        <v>15</v>
      </c>
      <c r="D14" s="1" t="s">
        <v>1120</v>
      </c>
      <c r="E14" s="1">
        <v>10</v>
      </c>
      <c r="F14" s="1">
        <v>31</v>
      </c>
      <c r="G14" s="1">
        <v>9</v>
      </c>
      <c r="H14" s="1">
        <v>30</v>
      </c>
      <c r="I14" s="1">
        <v>16</v>
      </c>
      <c r="J14" s="1">
        <v>11</v>
      </c>
      <c r="K14" s="1">
        <v>17</v>
      </c>
      <c r="L14" s="1">
        <v>13</v>
      </c>
      <c r="M14" s="1">
        <v>89.7</v>
      </c>
      <c r="N14" s="1">
        <v>39.783730400000003</v>
      </c>
      <c r="O14" s="1">
        <v>-100.445882</v>
      </c>
      <c r="P14" s="14">
        <f t="shared" si="0"/>
        <v>99</v>
      </c>
      <c r="Q14" s="13">
        <f t="shared" si="1"/>
        <v>95.495495495495504</v>
      </c>
      <c r="R14" s="16">
        <f t="shared" si="2"/>
        <v>99.2</v>
      </c>
      <c r="S14" s="14">
        <f t="shared" si="3"/>
        <v>90.429042904290426</v>
      </c>
      <c r="T14" s="13">
        <f t="shared" si="4"/>
        <v>98.5</v>
      </c>
      <c r="U14" s="14">
        <f t="shared" si="5"/>
        <v>98.4</v>
      </c>
      <c r="V14" s="14">
        <f t="shared" si="6"/>
        <v>98.8</v>
      </c>
      <c r="W14" s="1">
        <f t="shared" si="7"/>
        <v>98.8</v>
      </c>
      <c r="X14" s="1" t="str">
        <f>IF(Table1[[#This Row],[World Rank]]&lt;=250,"Q1-Elite",IF(Table1[[#This Row],[World Rank]]&lt;=500,"Q2-Strong",IF(Table1[[#This Row],[World Rank]]&lt;=750,"Q3-Developing","Q4-Emerging")))</f>
        <v>Q1-Elite</v>
      </c>
      <c r="Z14" t="str">
        <v>Canada</v>
      </c>
      <c r="AA14">
        <f t="shared" si="8"/>
        <v>28</v>
      </c>
    </row>
    <row r="15" spans="1:34" x14ac:dyDescent="0.2">
      <c r="A15" s="1">
        <v>14</v>
      </c>
      <c r="B15" s="1" t="s">
        <v>30</v>
      </c>
      <c r="C15" s="1" t="s">
        <v>15</v>
      </c>
      <c r="D15" s="1" t="s">
        <v>1120</v>
      </c>
      <c r="E15" s="1">
        <v>11</v>
      </c>
      <c r="F15" s="1">
        <v>14</v>
      </c>
      <c r="G15" s="1">
        <v>28</v>
      </c>
      <c r="H15" s="1">
        <v>19</v>
      </c>
      <c r="I15" s="1">
        <v>31</v>
      </c>
      <c r="J15" s="1">
        <v>24</v>
      </c>
      <c r="K15" s="1">
        <v>15</v>
      </c>
      <c r="L15" s="1">
        <v>40</v>
      </c>
      <c r="M15" s="1">
        <v>89.4</v>
      </c>
      <c r="N15" s="1">
        <v>39.783730400000003</v>
      </c>
      <c r="O15" s="1">
        <v>-100.445882</v>
      </c>
      <c r="P15" s="14">
        <f t="shared" si="0"/>
        <v>97.7</v>
      </c>
      <c r="Q15" s="13">
        <f t="shared" si="1"/>
        <v>98.048048048048059</v>
      </c>
      <c r="R15" s="16">
        <f t="shared" si="2"/>
        <v>97.3</v>
      </c>
      <c r="S15" s="14">
        <f t="shared" si="3"/>
        <v>94.059405940594047</v>
      </c>
      <c r="T15" s="13">
        <f t="shared" si="4"/>
        <v>97</v>
      </c>
      <c r="U15" s="14">
        <f t="shared" si="5"/>
        <v>98.6</v>
      </c>
      <c r="V15" s="14">
        <f t="shared" si="6"/>
        <v>96.1</v>
      </c>
      <c r="W15" s="1">
        <f t="shared" si="7"/>
        <v>98.7</v>
      </c>
      <c r="X15" s="1" t="str">
        <f>IF(Table1[[#This Row],[World Rank]]&lt;=250,"Q1-Elite",IF(Table1[[#This Row],[World Rank]]&lt;=500,"Q2-Strong",IF(Table1[[#This Row],[World Rank]]&lt;=750,"Q3-Developing","Q4-Emerging")))</f>
        <v>Q1-Elite</v>
      </c>
      <c r="Z15" t="str">
        <v>Switzerland</v>
      </c>
      <c r="AA15">
        <f t="shared" si="8"/>
        <v>9</v>
      </c>
    </row>
    <row r="16" spans="1:34" x14ac:dyDescent="0.2">
      <c r="A16" s="1">
        <v>15</v>
      </c>
      <c r="B16" s="1" t="s">
        <v>31</v>
      </c>
      <c r="C16" s="1" t="s">
        <v>15</v>
      </c>
      <c r="D16" s="1" t="s">
        <v>1120</v>
      </c>
      <c r="E16" s="1">
        <v>12</v>
      </c>
      <c r="F16" s="1">
        <v>58</v>
      </c>
      <c r="G16" s="1">
        <v>63</v>
      </c>
      <c r="H16" s="1">
        <v>11</v>
      </c>
      <c r="I16" s="1">
        <v>13</v>
      </c>
      <c r="J16" s="1">
        <v>10</v>
      </c>
      <c r="K16" s="1">
        <v>14</v>
      </c>
      <c r="L16" s="1">
        <v>5</v>
      </c>
      <c r="M16" s="1">
        <v>89.1</v>
      </c>
      <c r="N16" s="1">
        <v>39.783730400000003</v>
      </c>
      <c r="O16" s="1">
        <v>-100.445882</v>
      </c>
      <c r="P16" s="14">
        <f t="shared" si="0"/>
        <v>99.1</v>
      </c>
      <c r="Q16" s="13">
        <f t="shared" si="1"/>
        <v>91.441441441441441</v>
      </c>
      <c r="R16" s="16">
        <f t="shared" si="2"/>
        <v>93.8</v>
      </c>
      <c r="S16" s="14">
        <f t="shared" si="3"/>
        <v>96.699669966996709</v>
      </c>
      <c r="T16" s="13">
        <f t="shared" si="4"/>
        <v>98.8</v>
      </c>
      <c r="U16" s="14">
        <f t="shared" si="5"/>
        <v>98.7</v>
      </c>
      <c r="V16" s="14">
        <f t="shared" si="6"/>
        <v>99.6</v>
      </c>
      <c r="W16" s="1">
        <f t="shared" si="7"/>
        <v>98.6</v>
      </c>
      <c r="X16" s="1" t="str">
        <f>IF(Table1[[#This Row],[World Rank]]&lt;=250,"Q1-Elite",IF(Table1[[#This Row],[World Rank]]&lt;=500,"Q2-Strong",IF(Table1[[#This Row],[World Rank]]&lt;=750,"Q3-Developing","Q4-Emerging")))</f>
        <v>Q1-Elite</v>
      </c>
      <c r="Z16" t="str">
        <v>France</v>
      </c>
      <c r="AA16">
        <f t="shared" si="8"/>
        <v>58</v>
      </c>
    </row>
    <row r="17" spans="1:27" x14ac:dyDescent="0.2">
      <c r="A17" s="1">
        <v>16</v>
      </c>
      <c r="B17" s="1" t="s">
        <v>32</v>
      </c>
      <c r="C17" s="1" t="s">
        <v>15</v>
      </c>
      <c r="D17" s="1" t="s">
        <v>1120</v>
      </c>
      <c r="E17" s="1">
        <v>13</v>
      </c>
      <c r="F17" s="1">
        <v>24</v>
      </c>
      <c r="G17" s="1">
        <v>159</v>
      </c>
      <c r="H17" s="1">
        <v>17</v>
      </c>
      <c r="I17" s="1">
        <v>8</v>
      </c>
      <c r="J17" s="1">
        <v>6</v>
      </c>
      <c r="K17" s="1">
        <v>12</v>
      </c>
      <c r="L17" s="1">
        <v>3</v>
      </c>
      <c r="M17" s="1">
        <v>88.9</v>
      </c>
      <c r="N17" s="1">
        <v>39.783730400000003</v>
      </c>
      <c r="O17" s="1">
        <v>-100.445882</v>
      </c>
      <c r="P17" s="14">
        <f t="shared" si="0"/>
        <v>99.5</v>
      </c>
      <c r="Q17" s="13">
        <f t="shared" si="1"/>
        <v>96.546546546546537</v>
      </c>
      <c r="R17" s="16">
        <f t="shared" si="2"/>
        <v>84.2</v>
      </c>
      <c r="S17" s="14">
        <f t="shared" si="3"/>
        <v>94.71947194719472</v>
      </c>
      <c r="T17" s="13">
        <f t="shared" si="4"/>
        <v>99.3</v>
      </c>
      <c r="U17" s="14">
        <f t="shared" si="5"/>
        <v>98.9</v>
      </c>
      <c r="V17" s="14">
        <f t="shared" si="6"/>
        <v>99.8</v>
      </c>
      <c r="W17" s="1">
        <f t="shared" si="7"/>
        <v>98.5</v>
      </c>
      <c r="X17" s="1" t="str">
        <f>IF(Table1[[#This Row],[World Rank]]&lt;=250,"Q1-Elite",IF(Table1[[#This Row],[World Rank]]&lt;=500,"Q2-Strong",IF(Table1[[#This Row],[World Rank]]&lt;=750,"Q3-Developing","Q4-Emerging")))</f>
        <v>Q1-Elite</v>
      </c>
      <c r="Z17" t="str">
        <v>Denmark</v>
      </c>
      <c r="AA17">
        <f t="shared" si="8"/>
        <v>5</v>
      </c>
    </row>
    <row r="18" spans="1:27" x14ac:dyDescent="0.2">
      <c r="A18" s="1">
        <v>17</v>
      </c>
      <c r="B18" s="1" t="s">
        <v>33</v>
      </c>
      <c r="C18" s="1" t="s">
        <v>34</v>
      </c>
      <c r="D18" s="1" t="s">
        <v>1120</v>
      </c>
      <c r="E18" s="1">
        <v>1</v>
      </c>
      <c r="F18" s="1">
        <v>86</v>
      </c>
      <c r="G18" s="1">
        <v>157</v>
      </c>
      <c r="H18" s="1">
        <v>23</v>
      </c>
      <c r="I18" s="1">
        <v>2</v>
      </c>
      <c r="J18" s="1">
        <v>2</v>
      </c>
      <c r="K18" s="1">
        <v>16</v>
      </c>
      <c r="L18" s="1">
        <v>7</v>
      </c>
      <c r="M18" s="1">
        <v>88.7</v>
      </c>
      <c r="N18" s="1">
        <v>61.066692199999999</v>
      </c>
      <c r="O18" s="1">
        <v>-107.99170700000001</v>
      </c>
      <c r="P18" s="14">
        <f t="shared" si="0"/>
        <v>99.9</v>
      </c>
      <c r="Q18" s="13">
        <f t="shared" si="1"/>
        <v>87.237237237237238</v>
      </c>
      <c r="R18" s="16">
        <f t="shared" si="2"/>
        <v>84.399999999999991</v>
      </c>
      <c r="S18" s="14">
        <f t="shared" si="3"/>
        <v>92.739273927392745</v>
      </c>
      <c r="T18" s="13">
        <f t="shared" si="4"/>
        <v>99.9</v>
      </c>
      <c r="U18" s="14">
        <f t="shared" si="5"/>
        <v>98.5</v>
      </c>
      <c r="V18" s="14">
        <f t="shared" si="6"/>
        <v>99.4</v>
      </c>
      <c r="W18" s="1">
        <f t="shared" si="7"/>
        <v>98.4</v>
      </c>
      <c r="X18" s="1" t="str">
        <f>IF(Table1[[#This Row],[World Rank]]&lt;=250,"Q1-Elite",IF(Table1[[#This Row],[World Rank]]&lt;=500,"Q2-Strong",IF(Table1[[#This Row],[World Rank]]&lt;=750,"Q3-Developing","Q4-Emerging")))</f>
        <v>Q1-Elite</v>
      </c>
      <c r="Z18" t="str">
        <v>Israel</v>
      </c>
      <c r="AA18">
        <f t="shared" si="8"/>
        <v>7</v>
      </c>
    </row>
    <row r="19" spans="1:27" x14ac:dyDescent="0.2">
      <c r="A19" s="1">
        <v>18</v>
      </c>
      <c r="B19" s="1" t="s">
        <v>35</v>
      </c>
      <c r="C19" s="1" t="s">
        <v>15</v>
      </c>
      <c r="D19" s="1" t="s">
        <v>1120</v>
      </c>
      <c r="E19" s="1">
        <v>14</v>
      </c>
      <c r="F19" s="1">
        <v>47</v>
      </c>
      <c r="G19" s="1">
        <v>38</v>
      </c>
      <c r="H19" s="1">
        <v>68</v>
      </c>
      <c r="I19" s="1">
        <v>3</v>
      </c>
      <c r="J19" s="1">
        <v>3</v>
      </c>
      <c r="K19" s="1">
        <v>20</v>
      </c>
      <c r="L19" s="1">
        <v>10</v>
      </c>
      <c r="M19" s="1">
        <v>88.4</v>
      </c>
      <c r="N19" s="1">
        <v>39.783730400000003</v>
      </c>
      <c r="O19" s="1">
        <v>-100.445882</v>
      </c>
      <c r="P19" s="14">
        <f t="shared" si="0"/>
        <v>99.8</v>
      </c>
      <c r="Q19" s="13">
        <f t="shared" si="1"/>
        <v>93.093093093093088</v>
      </c>
      <c r="R19" s="16">
        <f t="shared" si="2"/>
        <v>96.3</v>
      </c>
      <c r="S19" s="14">
        <f t="shared" si="3"/>
        <v>77.887788778877891</v>
      </c>
      <c r="T19" s="13">
        <f t="shared" si="4"/>
        <v>99.8</v>
      </c>
      <c r="U19" s="14">
        <f t="shared" si="5"/>
        <v>98.1</v>
      </c>
      <c r="V19" s="14">
        <f t="shared" si="6"/>
        <v>99.1</v>
      </c>
      <c r="W19" s="1">
        <f t="shared" si="7"/>
        <v>98.3</v>
      </c>
      <c r="X19" s="1" t="str">
        <f>IF(Table1[[#This Row],[World Rank]]&lt;=250,"Q1-Elite",IF(Table1[[#This Row],[World Rank]]&lt;=500,"Q2-Strong",IF(Table1[[#This Row],[World Rank]]&lt;=750,"Q3-Developing","Q4-Emerging")))</f>
        <v>Q1-Elite</v>
      </c>
      <c r="Z19" t="str">
        <v>Germany</v>
      </c>
      <c r="AA19">
        <f t="shared" si="8"/>
        <v>54</v>
      </c>
    </row>
    <row r="20" spans="1:27" x14ac:dyDescent="0.2">
      <c r="A20" s="1">
        <v>19</v>
      </c>
      <c r="B20" s="1" t="s">
        <v>36</v>
      </c>
      <c r="C20" s="1" t="s">
        <v>15</v>
      </c>
      <c r="D20" s="1" t="s">
        <v>1120</v>
      </c>
      <c r="E20" s="1">
        <v>15</v>
      </c>
      <c r="F20" s="1">
        <v>75</v>
      </c>
      <c r="G20" s="1">
        <v>220</v>
      </c>
      <c r="H20" s="1">
        <v>26</v>
      </c>
      <c r="I20" s="1">
        <v>11</v>
      </c>
      <c r="J20" s="1">
        <v>9</v>
      </c>
      <c r="K20" s="1">
        <v>9</v>
      </c>
      <c r="L20" s="1">
        <v>9</v>
      </c>
      <c r="M20" s="1">
        <v>88.2</v>
      </c>
      <c r="N20" s="1">
        <v>39.783730400000003</v>
      </c>
      <c r="O20" s="1">
        <v>-100.445882</v>
      </c>
      <c r="P20" s="14">
        <f t="shared" si="0"/>
        <v>99.2</v>
      </c>
      <c r="Q20" s="13">
        <f t="shared" si="1"/>
        <v>88.888888888888886</v>
      </c>
      <c r="R20" s="16">
        <f t="shared" si="2"/>
        <v>78.100000000000009</v>
      </c>
      <c r="S20" s="14">
        <f t="shared" si="3"/>
        <v>91.749174917491743</v>
      </c>
      <c r="T20" s="13">
        <f t="shared" si="4"/>
        <v>99</v>
      </c>
      <c r="U20" s="14">
        <f t="shared" si="5"/>
        <v>99.2</v>
      </c>
      <c r="V20" s="14">
        <f t="shared" si="6"/>
        <v>99.2</v>
      </c>
      <c r="W20" s="1">
        <f t="shared" si="7"/>
        <v>98.2</v>
      </c>
      <c r="X20" s="1" t="str">
        <f>IF(Table1[[#This Row],[World Rank]]&lt;=250,"Q1-Elite",IF(Table1[[#This Row],[World Rank]]&lt;=500,"Q2-Strong",IF(Table1[[#This Row],[World Rank]]&lt;=750,"Q3-Developing","Q4-Emerging")))</f>
        <v>Q1-Elite</v>
      </c>
      <c r="Z20" t="str">
        <v>Sweden</v>
      </c>
      <c r="AA20">
        <f t="shared" si="8"/>
        <v>12</v>
      </c>
    </row>
    <row r="21" spans="1:27" x14ac:dyDescent="0.2">
      <c r="A21" s="1">
        <v>20</v>
      </c>
      <c r="B21" s="1" t="s">
        <v>37</v>
      </c>
      <c r="C21" s="1" t="s">
        <v>15</v>
      </c>
      <c r="D21" s="1" t="s">
        <v>1120</v>
      </c>
      <c r="E21" s="1">
        <v>16</v>
      </c>
      <c r="F21" s="1">
        <v>37</v>
      </c>
      <c r="G21" s="1">
        <v>1001</v>
      </c>
      <c r="H21" s="1">
        <v>16</v>
      </c>
      <c r="I21" s="1">
        <v>28</v>
      </c>
      <c r="J21" s="1">
        <v>16</v>
      </c>
      <c r="K21" s="1">
        <v>5</v>
      </c>
      <c r="L21" s="1">
        <v>16</v>
      </c>
      <c r="M21" s="1">
        <v>88</v>
      </c>
      <c r="N21" s="1">
        <v>39.783730400000003</v>
      </c>
      <c r="O21" s="1">
        <v>-100.445882</v>
      </c>
      <c r="P21" s="14">
        <f t="shared" si="0"/>
        <v>98.5</v>
      </c>
      <c r="Q21" s="13">
        <f t="shared" si="1"/>
        <v>94.594594594594597</v>
      </c>
      <c r="R21" s="16">
        <f t="shared" si="2"/>
        <v>0</v>
      </c>
      <c r="S21" s="14">
        <f t="shared" si="3"/>
        <v>95.049504950495049</v>
      </c>
      <c r="T21" s="13">
        <f t="shared" si="4"/>
        <v>97.3</v>
      </c>
      <c r="U21" s="14">
        <f t="shared" si="5"/>
        <v>99.6</v>
      </c>
      <c r="V21" s="14">
        <f t="shared" si="6"/>
        <v>98.5</v>
      </c>
      <c r="W21" s="1">
        <f t="shared" si="7"/>
        <v>98.1</v>
      </c>
      <c r="X21" s="1" t="str">
        <f>IF(Table1[[#This Row],[World Rank]]&lt;=250,"Q1-Elite",IF(Table1[[#This Row],[World Rank]]&lt;=500,"Q2-Strong",IF(Table1[[#This Row],[World Rank]]&lt;=750,"Q3-Developing","Q4-Emerging")))</f>
        <v>Q1-Elite</v>
      </c>
      <c r="Z21" t="str">
        <v>Australia</v>
      </c>
      <c r="AA21">
        <f t="shared" si="8"/>
        <v>25</v>
      </c>
    </row>
    <row r="22" spans="1:27" x14ac:dyDescent="0.2">
      <c r="A22" s="1">
        <v>21</v>
      </c>
      <c r="B22" s="1" t="s">
        <v>38</v>
      </c>
      <c r="C22" s="1" t="s">
        <v>19</v>
      </c>
      <c r="D22" s="1" t="s">
        <v>1124</v>
      </c>
      <c r="E22" s="1">
        <v>3</v>
      </c>
      <c r="F22" s="1">
        <v>32</v>
      </c>
      <c r="G22" s="1">
        <v>739</v>
      </c>
      <c r="H22" s="1">
        <v>28</v>
      </c>
      <c r="I22" s="1">
        <v>5</v>
      </c>
      <c r="J22" s="1">
        <v>7</v>
      </c>
      <c r="K22" s="1">
        <v>19</v>
      </c>
      <c r="L22" s="1">
        <v>19</v>
      </c>
      <c r="M22" s="1">
        <v>87.8</v>
      </c>
      <c r="N22" s="1">
        <v>54.702354499999998</v>
      </c>
      <c r="O22" s="1">
        <v>-3.2765753000000002</v>
      </c>
      <c r="P22" s="14">
        <f t="shared" si="0"/>
        <v>99.4</v>
      </c>
      <c r="Q22" s="13">
        <f t="shared" si="1"/>
        <v>95.345345345345351</v>
      </c>
      <c r="R22" s="16">
        <f t="shared" si="2"/>
        <v>26.200000000000003</v>
      </c>
      <c r="S22" s="14">
        <f t="shared" si="3"/>
        <v>91.089108910891099</v>
      </c>
      <c r="T22" s="13">
        <f t="shared" si="4"/>
        <v>99.6</v>
      </c>
      <c r="U22" s="14">
        <f t="shared" si="5"/>
        <v>98.2</v>
      </c>
      <c r="V22" s="14">
        <f t="shared" si="6"/>
        <v>98.2</v>
      </c>
      <c r="W22" s="1">
        <f t="shared" si="7"/>
        <v>98</v>
      </c>
      <c r="X22" s="1" t="str">
        <f>IF(Table1[[#This Row],[World Rank]]&lt;=250,"Q1-Elite",IF(Table1[[#This Row],[World Rank]]&lt;=500,"Q2-Strong",IF(Table1[[#This Row],[World Rank]]&lt;=750,"Q3-Developing","Q4-Emerging")))</f>
        <v>Q1-Elite</v>
      </c>
      <c r="Z22" t="str">
        <v>South Korea</v>
      </c>
      <c r="AA22">
        <f t="shared" si="8"/>
        <v>35</v>
      </c>
    </row>
    <row r="23" spans="1:27" x14ac:dyDescent="0.2">
      <c r="A23" s="1">
        <v>22</v>
      </c>
      <c r="B23" s="1" t="s">
        <v>39</v>
      </c>
      <c r="C23" s="1" t="s">
        <v>15</v>
      </c>
      <c r="D23" s="1" t="s">
        <v>1120</v>
      </c>
      <c r="E23" s="1">
        <v>17</v>
      </c>
      <c r="F23" s="1">
        <v>667</v>
      </c>
      <c r="G23" s="1">
        <v>1001</v>
      </c>
      <c r="H23" s="1">
        <v>13</v>
      </c>
      <c r="I23" s="1">
        <v>45</v>
      </c>
      <c r="J23" s="1">
        <v>23</v>
      </c>
      <c r="K23" s="1">
        <v>8</v>
      </c>
      <c r="L23" s="1">
        <v>17</v>
      </c>
      <c r="M23" s="1">
        <v>87.7</v>
      </c>
      <c r="N23" s="1">
        <v>39.783730400000003</v>
      </c>
      <c r="O23" s="1">
        <v>-100.445882</v>
      </c>
      <c r="P23" s="14">
        <f t="shared" si="0"/>
        <v>97.8</v>
      </c>
      <c r="Q23" s="13">
        <v>20</v>
      </c>
      <c r="R23" s="16">
        <f t="shared" si="2"/>
        <v>0</v>
      </c>
      <c r="S23" s="14">
        <f t="shared" si="3"/>
        <v>96.039603960396036</v>
      </c>
      <c r="T23" s="13">
        <f t="shared" si="4"/>
        <v>95.6</v>
      </c>
      <c r="U23" s="14">
        <f t="shared" si="5"/>
        <v>99.3</v>
      </c>
      <c r="V23" s="14">
        <f t="shared" si="6"/>
        <v>98.4</v>
      </c>
      <c r="W23" s="1">
        <f t="shared" si="7"/>
        <v>97.899999999999991</v>
      </c>
      <c r="X23" s="1" t="str">
        <f>IF(Table1[[#This Row],[World Rank]]&lt;=250,"Q1-Elite",IF(Table1[[#This Row],[World Rank]]&lt;=500,"Q2-Strong",IF(Table1[[#This Row],[World Rank]]&lt;=750,"Q3-Developing","Q4-Emerging")))</f>
        <v>Q1-Elite</v>
      </c>
      <c r="Z23" t="str">
        <v>Italy</v>
      </c>
      <c r="AA23">
        <f t="shared" si="8"/>
        <v>45</v>
      </c>
    </row>
    <row r="24" spans="1:27" x14ac:dyDescent="0.2">
      <c r="A24" s="1">
        <v>23</v>
      </c>
      <c r="B24" s="1" t="s">
        <v>40</v>
      </c>
      <c r="C24" s="1" t="s">
        <v>15</v>
      </c>
      <c r="D24" s="1" t="s">
        <v>1120</v>
      </c>
      <c r="E24" s="1">
        <v>18</v>
      </c>
      <c r="F24" s="1">
        <v>129</v>
      </c>
      <c r="G24" s="1">
        <v>18</v>
      </c>
      <c r="H24" s="1">
        <v>44</v>
      </c>
      <c r="I24" s="1">
        <v>52</v>
      </c>
      <c r="J24" s="1">
        <v>28</v>
      </c>
      <c r="K24" s="1">
        <v>36</v>
      </c>
      <c r="L24" s="1">
        <v>34</v>
      </c>
      <c r="M24" s="1">
        <v>87.5</v>
      </c>
      <c r="N24" s="1">
        <v>39.783730400000003</v>
      </c>
      <c r="O24" s="1">
        <v>-100.445882</v>
      </c>
      <c r="P24" s="14">
        <f t="shared" si="0"/>
        <v>97.3</v>
      </c>
      <c r="Q24" s="13">
        <f t="shared" si="1"/>
        <v>80.780780780780788</v>
      </c>
      <c r="R24" s="16">
        <f t="shared" si="2"/>
        <v>98.3</v>
      </c>
      <c r="S24" s="14">
        <f t="shared" si="3"/>
        <v>85.808580858085804</v>
      </c>
      <c r="T24" s="13">
        <f t="shared" si="4"/>
        <v>94.899999999999991</v>
      </c>
      <c r="U24" s="14">
        <f t="shared" si="5"/>
        <v>96.5</v>
      </c>
      <c r="V24" s="14">
        <f t="shared" si="6"/>
        <v>96.7</v>
      </c>
      <c r="W24" s="1">
        <f t="shared" si="7"/>
        <v>97.8</v>
      </c>
      <c r="X24" s="1" t="str">
        <f>IF(Table1[[#This Row],[World Rank]]&lt;=250,"Q1-Elite",IF(Table1[[#This Row],[World Rank]]&lt;=500,"Q2-Strong",IF(Table1[[#This Row],[World Rank]]&lt;=750,"Q3-Developing","Q4-Emerging")))</f>
        <v>Q1-Elite</v>
      </c>
      <c r="Z24" t="str">
        <v>Netherlands</v>
      </c>
      <c r="AA24">
        <f t="shared" si="8"/>
        <v>13</v>
      </c>
    </row>
    <row r="25" spans="1:27" x14ac:dyDescent="0.2">
      <c r="A25" s="1">
        <v>24</v>
      </c>
      <c r="B25" s="1" t="s">
        <v>41</v>
      </c>
      <c r="C25" s="1" t="s">
        <v>15</v>
      </c>
      <c r="D25" s="1" t="s">
        <v>1120</v>
      </c>
      <c r="E25" s="1">
        <v>19</v>
      </c>
      <c r="F25" s="1">
        <v>98</v>
      </c>
      <c r="G25" s="1">
        <v>46</v>
      </c>
      <c r="H25" s="1">
        <v>47</v>
      </c>
      <c r="I25" s="1">
        <v>36</v>
      </c>
      <c r="J25" s="1">
        <v>20</v>
      </c>
      <c r="K25" s="1">
        <v>21</v>
      </c>
      <c r="L25" s="1">
        <v>14</v>
      </c>
      <c r="M25" s="1">
        <v>87.3</v>
      </c>
      <c r="N25" s="1">
        <v>39.783730400000003</v>
      </c>
      <c r="O25" s="1">
        <v>-100.445882</v>
      </c>
      <c r="P25" s="14">
        <f t="shared" si="0"/>
        <v>98.1</v>
      </c>
      <c r="Q25" s="13">
        <f t="shared" si="1"/>
        <v>85.435435435435437</v>
      </c>
      <c r="R25" s="16">
        <f t="shared" si="2"/>
        <v>95.5</v>
      </c>
      <c r="S25" s="14">
        <f t="shared" si="3"/>
        <v>84.818481848184817</v>
      </c>
      <c r="T25" s="13">
        <f t="shared" si="4"/>
        <v>96.5</v>
      </c>
      <c r="U25" s="14">
        <f t="shared" si="5"/>
        <v>98</v>
      </c>
      <c r="V25" s="14">
        <f t="shared" si="6"/>
        <v>98.7</v>
      </c>
      <c r="W25" s="1">
        <f t="shared" si="7"/>
        <v>97.7</v>
      </c>
      <c r="X25" s="1" t="str">
        <f>IF(Table1[[#This Row],[World Rank]]&lt;=250,"Q1-Elite",IF(Table1[[#This Row],[World Rank]]&lt;=500,"Q2-Strong",IF(Table1[[#This Row],[World Rank]]&lt;=750,"Q3-Developing","Q4-Emerging")))</f>
        <v>Q1-Elite</v>
      </c>
      <c r="Z25" t="str">
        <v>Norway</v>
      </c>
      <c r="AA25">
        <f t="shared" si="8"/>
        <v>5</v>
      </c>
    </row>
    <row r="26" spans="1:27" x14ac:dyDescent="0.2">
      <c r="A26" s="1">
        <v>25</v>
      </c>
      <c r="B26" s="1" t="s">
        <v>42</v>
      </c>
      <c r="C26" s="1" t="s">
        <v>15</v>
      </c>
      <c r="D26" s="1" t="s">
        <v>1120</v>
      </c>
      <c r="E26" s="1">
        <v>20</v>
      </c>
      <c r="F26" s="1">
        <v>64</v>
      </c>
      <c r="G26" s="1">
        <v>40</v>
      </c>
      <c r="H26" s="1">
        <v>18</v>
      </c>
      <c r="I26" s="1">
        <v>70</v>
      </c>
      <c r="J26" s="1">
        <v>50</v>
      </c>
      <c r="K26" s="1">
        <v>29</v>
      </c>
      <c r="L26" s="1">
        <v>35</v>
      </c>
      <c r="M26" s="1">
        <v>87.2</v>
      </c>
      <c r="N26" s="1">
        <v>39.783730400000003</v>
      </c>
      <c r="O26" s="1">
        <v>-100.445882</v>
      </c>
      <c r="P26" s="14">
        <f t="shared" si="0"/>
        <v>95.1</v>
      </c>
      <c r="Q26" s="13">
        <f t="shared" si="1"/>
        <v>90.540540540540533</v>
      </c>
      <c r="R26" s="16">
        <f t="shared" si="2"/>
        <v>96.1</v>
      </c>
      <c r="S26" s="14">
        <f t="shared" si="3"/>
        <v>94.38943894389439</v>
      </c>
      <c r="T26" s="13">
        <f t="shared" si="4"/>
        <v>93.100000000000009</v>
      </c>
      <c r="U26" s="14">
        <f t="shared" si="5"/>
        <v>97.2</v>
      </c>
      <c r="V26" s="14">
        <f t="shared" si="6"/>
        <v>96.6</v>
      </c>
      <c r="W26" s="1">
        <f t="shared" si="7"/>
        <v>97.6</v>
      </c>
      <c r="X26" s="1" t="str">
        <f>IF(Table1[[#This Row],[World Rank]]&lt;=250,"Q1-Elite",IF(Table1[[#This Row],[World Rank]]&lt;=500,"Q2-Strong",IF(Table1[[#This Row],[World Rank]]&lt;=750,"Q3-Developing","Q4-Emerging")))</f>
        <v>Q1-Elite</v>
      </c>
      <c r="Z26" t="str">
        <v>Brazil</v>
      </c>
      <c r="AA26">
        <f t="shared" si="8"/>
        <v>20</v>
      </c>
    </row>
    <row r="27" spans="1:27" x14ac:dyDescent="0.2">
      <c r="A27" s="1">
        <v>26</v>
      </c>
      <c r="B27" s="1" t="s">
        <v>43</v>
      </c>
      <c r="C27" s="1" t="s">
        <v>28</v>
      </c>
      <c r="D27" s="1" t="s">
        <v>1125</v>
      </c>
      <c r="E27" s="1">
        <v>2</v>
      </c>
      <c r="F27" s="1">
        <v>25</v>
      </c>
      <c r="G27" s="1">
        <v>29</v>
      </c>
      <c r="H27" s="1">
        <v>24</v>
      </c>
      <c r="I27" s="1">
        <v>29</v>
      </c>
      <c r="J27" s="1">
        <v>45</v>
      </c>
      <c r="K27" s="1">
        <v>48</v>
      </c>
      <c r="L27" s="1">
        <v>101</v>
      </c>
      <c r="M27" s="1">
        <v>87</v>
      </c>
      <c r="N27" s="1">
        <v>36.5748441</v>
      </c>
      <c r="O27" s="1">
        <v>139.23941790000001</v>
      </c>
      <c r="P27" s="14">
        <f t="shared" si="0"/>
        <v>95.6</v>
      </c>
      <c r="Q27" s="13">
        <f t="shared" si="1"/>
        <v>96.396396396396398</v>
      </c>
      <c r="R27" s="16">
        <f t="shared" si="2"/>
        <v>97.2</v>
      </c>
      <c r="S27" s="14">
        <f t="shared" si="3"/>
        <v>92.409240924092401</v>
      </c>
      <c r="T27" s="13">
        <f t="shared" si="4"/>
        <v>97.2</v>
      </c>
      <c r="U27" s="14">
        <f t="shared" si="5"/>
        <v>95.3</v>
      </c>
      <c r="V27" s="14">
        <f t="shared" si="6"/>
        <v>90</v>
      </c>
      <c r="W27" s="1">
        <f t="shared" si="7"/>
        <v>97.5</v>
      </c>
      <c r="X27" s="1" t="str">
        <f>IF(Table1[[#This Row],[World Rank]]&lt;=250,"Q1-Elite",IF(Table1[[#This Row],[World Rank]]&lt;=500,"Q2-Strong",IF(Table1[[#This Row],[World Rank]]&lt;=750,"Q3-Developing","Q4-Emerging")))</f>
        <v>Q1-Elite</v>
      </c>
      <c r="Z27" t="str">
        <v>Spain</v>
      </c>
      <c r="AA27">
        <f t="shared" si="8"/>
        <v>38</v>
      </c>
    </row>
    <row r="28" spans="1:27" x14ac:dyDescent="0.2">
      <c r="A28" s="1">
        <v>27</v>
      </c>
      <c r="B28" s="1" t="s">
        <v>44</v>
      </c>
      <c r="C28" s="1" t="s">
        <v>15</v>
      </c>
      <c r="D28" s="1" t="s">
        <v>1120</v>
      </c>
      <c r="E28" s="1">
        <v>21</v>
      </c>
      <c r="F28" s="1">
        <v>65</v>
      </c>
      <c r="G28" s="1">
        <v>79</v>
      </c>
      <c r="H28" s="1">
        <v>32</v>
      </c>
      <c r="I28" s="1">
        <v>32</v>
      </c>
      <c r="J28" s="1">
        <v>26</v>
      </c>
      <c r="K28" s="1">
        <v>30</v>
      </c>
      <c r="L28" s="1">
        <v>15</v>
      </c>
      <c r="M28" s="1">
        <v>86.9</v>
      </c>
      <c r="N28" s="1">
        <v>39.783730400000003</v>
      </c>
      <c r="O28" s="1">
        <v>-100.445882</v>
      </c>
      <c r="P28" s="14">
        <f t="shared" si="0"/>
        <v>97.5</v>
      </c>
      <c r="Q28" s="13">
        <f t="shared" si="1"/>
        <v>90.39039039039038</v>
      </c>
      <c r="R28" s="16">
        <f t="shared" si="2"/>
        <v>92.2</v>
      </c>
      <c r="S28" s="14">
        <f t="shared" si="3"/>
        <v>89.768976897689768</v>
      </c>
      <c r="T28" s="13">
        <f t="shared" si="4"/>
        <v>96.899999999999991</v>
      </c>
      <c r="U28" s="14">
        <f t="shared" si="5"/>
        <v>97.1</v>
      </c>
      <c r="V28" s="14">
        <f t="shared" si="6"/>
        <v>98.6</v>
      </c>
      <c r="W28" s="1">
        <f t="shared" si="7"/>
        <v>97.399999999999991</v>
      </c>
      <c r="X28" s="1" t="str">
        <f>IF(Table1[[#This Row],[World Rank]]&lt;=250,"Q1-Elite",IF(Table1[[#This Row],[World Rank]]&lt;=500,"Q2-Strong",IF(Table1[[#This Row],[World Rank]]&lt;=750,"Q3-Developing","Q4-Emerging")))</f>
        <v>Q1-Elite</v>
      </c>
      <c r="Z28" t="str">
        <v>China</v>
      </c>
      <c r="AA28">
        <f t="shared" si="8"/>
        <v>108</v>
      </c>
    </row>
    <row r="29" spans="1:27" x14ac:dyDescent="0.2">
      <c r="A29" s="1">
        <v>28</v>
      </c>
      <c r="B29" s="1" t="s">
        <v>45</v>
      </c>
      <c r="C29" s="1" t="s">
        <v>46</v>
      </c>
      <c r="D29" s="1" t="s">
        <v>1124</v>
      </c>
      <c r="E29" s="1">
        <v>1</v>
      </c>
      <c r="F29" s="1">
        <v>29</v>
      </c>
      <c r="G29" s="1">
        <v>98</v>
      </c>
      <c r="H29" s="1">
        <v>20</v>
      </c>
      <c r="I29" s="1">
        <v>57</v>
      </c>
      <c r="J29" s="1">
        <v>42</v>
      </c>
      <c r="K29" s="1">
        <v>27</v>
      </c>
      <c r="L29" s="1">
        <v>59</v>
      </c>
      <c r="M29" s="1">
        <v>86.7</v>
      </c>
      <c r="N29" s="1">
        <v>46.798562400000002</v>
      </c>
      <c r="O29" s="1">
        <v>8.2319735999999999</v>
      </c>
      <c r="P29" s="14">
        <f t="shared" si="0"/>
        <v>95.899999999999991</v>
      </c>
      <c r="Q29" s="13">
        <f t="shared" si="1"/>
        <v>95.795795795795797</v>
      </c>
      <c r="R29" s="16">
        <f t="shared" si="2"/>
        <v>90.3</v>
      </c>
      <c r="S29" s="14">
        <f t="shared" si="3"/>
        <v>93.729372937293732</v>
      </c>
      <c r="T29" s="13">
        <f t="shared" si="4"/>
        <v>94.399999999999991</v>
      </c>
      <c r="U29" s="14">
        <f t="shared" si="5"/>
        <v>97.399999999999991</v>
      </c>
      <c r="V29" s="14">
        <f t="shared" si="6"/>
        <v>94.199999999999989</v>
      </c>
      <c r="W29" s="1">
        <f t="shared" si="7"/>
        <v>97.3</v>
      </c>
      <c r="X29" s="1" t="str">
        <f>IF(Table1[[#This Row],[World Rank]]&lt;=250,"Q1-Elite",IF(Table1[[#This Row],[World Rank]]&lt;=500,"Q2-Strong",IF(Table1[[#This Row],[World Rank]]&lt;=750,"Q3-Developing","Q4-Emerging")))</f>
        <v>Q1-Elite</v>
      </c>
      <c r="Z29" t="str">
        <v>Finland</v>
      </c>
      <c r="AA29">
        <f t="shared" si="8"/>
        <v>9</v>
      </c>
    </row>
    <row r="30" spans="1:27" x14ac:dyDescent="0.2">
      <c r="A30" s="1">
        <v>29</v>
      </c>
      <c r="B30" s="1" t="s">
        <v>47</v>
      </c>
      <c r="C30" s="1" t="s">
        <v>48</v>
      </c>
      <c r="D30" s="1" t="s">
        <v>1124</v>
      </c>
      <c r="E30" s="1">
        <v>1</v>
      </c>
      <c r="F30" s="1">
        <v>46</v>
      </c>
      <c r="G30" s="1">
        <v>344</v>
      </c>
      <c r="H30" s="1">
        <v>56</v>
      </c>
      <c r="I30" s="1">
        <v>6</v>
      </c>
      <c r="J30" s="1">
        <v>13</v>
      </c>
      <c r="K30" s="1">
        <v>24</v>
      </c>
      <c r="L30" s="1">
        <v>22</v>
      </c>
      <c r="M30" s="1">
        <v>86.6</v>
      </c>
      <c r="N30" s="1">
        <v>46.603354000000003</v>
      </c>
      <c r="O30" s="1">
        <v>1.8883335000000001</v>
      </c>
      <c r="P30" s="14">
        <f t="shared" si="0"/>
        <v>98.8</v>
      </c>
      <c r="Q30" s="13">
        <f t="shared" si="1"/>
        <v>93.243243243243242</v>
      </c>
      <c r="R30" s="16">
        <f t="shared" si="2"/>
        <v>65.7</v>
      </c>
      <c r="S30" s="14">
        <f t="shared" si="3"/>
        <v>81.848184818481855</v>
      </c>
      <c r="T30" s="13">
        <f t="shared" si="4"/>
        <v>99.5</v>
      </c>
      <c r="U30" s="14">
        <f t="shared" si="5"/>
        <v>97.7</v>
      </c>
      <c r="V30" s="14">
        <f t="shared" si="6"/>
        <v>97.899999999999991</v>
      </c>
      <c r="W30" s="1">
        <f t="shared" si="7"/>
        <v>97.2</v>
      </c>
      <c r="X30" s="1" t="str">
        <f>IF(Table1[[#This Row],[World Rank]]&lt;=250,"Q1-Elite",IF(Table1[[#This Row],[World Rank]]&lt;=500,"Q2-Strong",IF(Table1[[#This Row],[World Rank]]&lt;=750,"Q3-Developing","Q4-Emerging")))</f>
        <v>Q1-Elite</v>
      </c>
      <c r="Z30" t="str">
        <v>Singapore</v>
      </c>
      <c r="AA30">
        <f t="shared" si="8"/>
        <v>2</v>
      </c>
    </row>
    <row r="31" spans="1:27" x14ac:dyDescent="0.2">
      <c r="A31" s="1">
        <v>30</v>
      </c>
      <c r="B31" s="1" t="s">
        <v>49</v>
      </c>
      <c r="C31" s="1" t="s">
        <v>19</v>
      </c>
      <c r="D31" s="1" t="s">
        <v>1124</v>
      </c>
      <c r="E31" s="1">
        <v>4</v>
      </c>
      <c r="F31" s="1">
        <v>93</v>
      </c>
      <c r="G31" s="1">
        <v>103</v>
      </c>
      <c r="H31" s="1">
        <v>43</v>
      </c>
      <c r="I31" s="1">
        <v>21</v>
      </c>
      <c r="J31" s="1">
        <v>18</v>
      </c>
      <c r="K31" s="1">
        <v>25</v>
      </c>
      <c r="L31" s="1">
        <v>29</v>
      </c>
      <c r="M31" s="1">
        <v>86.5</v>
      </c>
      <c r="N31" s="1">
        <v>54.702354499999998</v>
      </c>
      <c r="O31" s="1">
        <v>-3.2765753000000002</v>
      </c>
      <c r="P31" s="14">
        <f t="shared" si="0"/>
        <v>98.3</v>
      </c>
      <c r="Q31" s="13">
        <f t="shared" si="1"/>
        <v>86.186186186186191</v>
      </c>
      <c r="R31" s="16">
        <f t="shared" si="2"/>
        <v>89.8</v>
      </c>
      <c r="S31" s="14">
        <f t="shared" si="3"/>
        <v>86.138613861386133</v>
      </c>
      <c r="T31" s="13">
        <f t="shared" si="4"/>
        <v>98</v>
      </c>
      <c r="U31" s="14">
        <f t="shared" si="5"/>
        <v>97.6</v>
      </c>
      <c r="V31" s="14">
        <f t="shared" si="6"/>
        <v>97.2</v>
      </c>
      <c r="W31" s="1">
        <f t="shared" si="7"/>
        <v>97.1</v>
      </c>
      <c r="X31" s="1" t="str">
        <f>IF(Table1[[#This Row],[World Rank]]&lt;=250,"Q1-Elite",IF(Table1[[#This Row],[World Rank]]&lt;=500,"Q2-Strong",IF(Table1[[#This Row],[World Rank]]&lt;=750,"Q3-Developing","Q4-Emerging")))</f>
        <v>Q1-Elite</v>
      </c>
      <c r="Z31" t="str">
        <v>Belgium</v>
      </c>
      <c r="AA31">
        <f t="shared" si="8"/>
        <v>9</v>
      </c>
    </row>
    <row r="32" spans="1:27" x14ac:dyDescent="0.2">
      <c r="A32" s="1">
        <v>31</v>
      </c>
      <c r="B32" s="1" t="s">
        <v>50</v>
      </c>
      <c r="C32" s="1" t="s">
        <v>15</v>
      </c>
      <c r="D32" s="1" t="s">
        <v>1120</v>
      </c>
      <c r="E32" s="1">
        <v>22</v>
      </c>
      <c r="F32" s="1">
        <v>108</v>
      </c>
      <c r="G32" s="1">
        <v>62</v>
      </c>
      <c r="H32" s="1">
        <v>29</v>
      </c>
      <c r="I32" s="1">
        <v>73</v>
      </c>
      <c r="J32" s="1">
        <v>58</v>
      </c>
      <c r="K32" s="1">
        <v>58</v>
      </c>
      <c r="L32" s="1">
        <v>24</v>
      </c>
      <c r="M32" s="1">
        <v>86.3</v>
      </c>
      <c r="N32" s="1">
        <v>39.783730400000003</v>
      </c>
      <c r="O32" s="1">
        <v>-100.445882</v>
      </c>
      <c r="P32" s="14">
        <f t="shared" si="0"/>
        <v>94.3</v>
      </c>
      <c r="Q32" s="13">
        <f t="shared" si="1"/>
        <v>83.933933933933929</v>
      </c>
      <c r="R32" s="16">
        <f t="shared" si="2"/>
        <v>93.899999999999991</v>
      </c>
      <c r="S32" s="14">
        <f t="shared" si="3"/>
        <v>90.759075907590756</v>
      </c>
      <c r="T32" s="13">
        <f t="shared" si="4"/>
        <v>92.800000000000011</v>
      </c>
      <c r="U32" s="14">
        <f t="shared" si="5"/>
        <v>94.3</v>
      </c>
      <c r="V32" s="14">
        <f t="shared" si="6"/>
        <v>97.7</v>
      </c>
      <c r="W32" s="1">
        <f t="shared" si="7"/>
        <v>97</v>
      </c>
      <c r="X32" s="1" t="str">
        <f>IF(Table1[[#This Row],[World Rank]]&lt;=250,"Q1-Elite",IF(Table1[[#This Row],[World Rank]]&lt;=500,"Q2-Strong",IF(Table1[[#This Row],[World Rank]]&lt;=750,"Q3-Developing","Q4-Emerging")))</f>
        <v>Q1-Elite</v>
      </c>
      <c r="Z32" t="str">
        <v>Taiwan</v>
      </c>
      <c r="AA32">
        <f t="shared" si="8"/>
        <v>17</v>
      </c>
    </row>
    <row r="33" spans="1:27" x14ac:dyDescent="0.2">
      <c r="A33" s="1">
        <v>32</v>
      </c>
      <c r="B33" s="1" t="s">
        <v>51</v>
      </c>
      <c r="C33" s="1" t="s">
        <v>15</v>
      </c>
      <c r="D33" s="1" t="s">
        <v>1120</v>
      </c>
      <c r="E33" s="1">
        <v>23</v>
      </c>
      <c r="F33" s="1">
        <v>40</v>
      </c>
      <c r="G33" s="1">
        <v>150</v>
      </c>
      <c r="H33" s="1">
        <v>27</v>
      </c>
      <c r="I33" s="1">
        <v>65</v>
      </c>
      <c r="J33" s="1">
        <v>55</v>
      </c>
      <c r="K33" s="1">
        <v>61</v>
      </c>
      <c r="L33" s="1">
        <v>50</v>
      </c>
      <c r="M33" s="1">
        <v>86.2</v>
      </c>
      <c r="N33" s="1">
        <v>39.783730400000003</v>
      </c>
      <c r="O33" s="1">
        <v>-100.445882</v>
      </c>
      <c r="P33" s="14">
        <f t="shared" si="0"/>
        <v>94.6</v>
      </c>
      <c r="Q33" s="13">
        <f t="shared" si="1"/>
        <v>94.14414414414415</v>
      </c>
      <c r="R33" s="16">
        <f t="shared" si="2"/>
        <v>85.1</v>
      </c>
      <c r="S33" s="14">
        <f t="shared" si="3"/>
        <v>91.419141914191414</v>
      </c>
      <c r="T33" s="13">
        <f t="shared" si="4"/>
        <v>93.600000000000009</v>
      </c>
      <c r="U33" s="14">
        <f t="shared" si="5"/>
        <v>94</v>
      </c>
      <c r="V33" s="14">
        <f t="shared" si="6"/>
        <v>95.1</v>
      </c>
      <c r="W33" s="1">
        <f t="shared" si="7"/>
        <v>96.899999999999991</v>
      </c>
      <c r="X33" s="1" t="str">
        <f>IF(Table1[[#This Row],[World Rank]]&lt;=250,"Q1-Elite",IF(Table1[[#This Row],[World Rank]]&lt;=500,"Q2-Strong",IF(Table1[[#This Row],[World Rank]]&lt;=750,"Q3-Developing","Q4-Emerging")))</f>
        <v>Q1-Elite</v>
      </c>
      <c r="Z33" t="str">
        <v>Russia</v>
      </c>
      <c r="AA33">
        <f t="shared" si="8"/>
        <v>5</v>
      </c>
    </row>
    <row r="34" spans="1:27" x14ac:dyDescent="0.2">
      <c r="A34" s="1">
        <v>33</v>
      </c>
      <c r="B34" s="1" t="s">
        <v>52</v>
      </c>
      <c r="C34" s="1" t="s">
        <v>15</v>
      </c>
      <c r="D34" s="1" t="s">
        <v>1120</v>
      </c>
      <c r="E34" s="1">
        <v>24</v>
      </c>
      <c r="F34" s="1">
        <v>205</v>
      </c>
      <c r="G34" s="1">
        <v>120</v>
      </c>
      <c r="H34" s="1">
        <v>72</v>
      </c>
      <c r="I34" s="1">
        <v>50</v>
      </c>
      <c r="J34" s="1">
        <v>30</v>
      </c>
      <c r="K34" s="1">
        <v>33</v>
      </c>
      <c r="L34" s="1">
        <v>21</v>
      </c>
      <c r="M34" s="1">
        <v>86.1</v>
      </c>
      <c r="N34" s="1">
        <v>39.783730400000003</v>
      </c>
      <c r="O34" s="1">
        <v>-100.445882</v>
      </c>
      <c r="P34" s="14">
        <f t="shared" si="0"/>
        <v>97.1</v>
      </c>
      <c r="Q34" s="13">
        <f t="shared" si="1"/>
        <v>69.369369369369366</v>
      </c>
      <c r="R34" s="16">
        <f t="shared" si="2"/>
        <v>88.1</v>
      </c>
      <c r="S34" s="14">
        <f t="shared" si="3"/>
        <v>76.567656765676574</v>
      </c>
      <c r="T34" s="13">
        <f t="shared" si="4"/>
        <v>95.1</v>
      </c>
      <c r="U34" s="14">
        <f t="shared" si="5"/>
        <v>96.8</v>
      </c>
      <c r="V34" s="14">
        <f t="shared" si="6"/>
        <v>98</v>
      </c>
      <c r="W34" s="1">
        <f t="shared" si="7"/>
        <v>96.8</v>
      </c>
      <c r="X34" s="1" t="str">
        <f>IF(Table1[[#This Row],[World Rank]]&lt;=250,"Q1-Elite",IF(Table1[[#This Row],[World Rank]]&lt;=500,"Q2-Strong",IF(Table1[[#This Row],[World Rank]]&lt;=750,"Q3-Developing","Q4-Emerging")))</f>
        <v>Q1-Elite</v>
      </c>
      <c r="Z34" t="str">
        <v>Hong Kong</v>
      </c>
      <c r="AA34">
        <f t="shared" si="8"/>
        <v>6</v>
      </c>
    </row>
    <row r="35" spans="1:27" x14ac:dyDescent="0.2">
      <c r="A35" s="1">
        <v>34</v>
      </c>
      <c r="B35" s="1" t="s">
        <v>53</v>
      </c>
      <c r="C35" s="1" t="s">
        <v>19</v>
      </c>
      <c r="D35" s="1" t="s">
        <v>1124</v>
      </c>
      <c r="E35" s="1">
        <v>5</v>
      </c>
      <c r="F35" s="1">
        <v>61</v>
      </c>
      <c r="G35" s="1">
        <v>325</v>
      </c>
      <c r="H35" s="1">
        <v>36</v>
      </c>
      <c r="I35" s="1">
        <v>72</v>
      </c>
      <c r="J35" s="1">
        <v>56</v>
      </c>
      <c r="K35" s="1">
        <v>31</v>
      </c>
      <c r="L35" s="1">
        <v>48</v>
      </c>
      <c r="M35" s="1">
        <v>86</v>
      </c>
      <c r="N35" s="1">
        <v>54.702354499999998</v>
      </c>
      <c r="O35" s="1">
        <v>-3.2765753000000002</v>
      </c>
      <c r="P35" s="14">
        <f t="shared" si="0"/>
        <v>94.5</v>
      </c>
      <c r="Q35" s="13">
        <f t="shared" si="1"/>
        <v>90.990990990990994</v>
      </c>
      <c r="R35" s="16">
        <f t="shared" si="2"/>
        <v>67.600000000000009</v>
      </c>
      <c r="S35" s="14">
        <f t="shared" si="3"/>
        <v>88.448844884488452</v>
      </c>
      <c r="T35" s="13">
        <f t="shared" si="4"/>
        <v>92.9</v>
      </c>
      <c r="U35" s="14">
        <f t="shared" si="5"/>
        <v>97</v>
      </c>
      <c r="V35" s="14">
        <f t="shared" si="6"/>
        <v>95.3</v>
      </c>
      <c r="W35" s="1">
        <f t="shared" si="7"/>
        <v>96.7</v>
      </c>
      <c r="X35" s="1" t="str">
        <f>IF(Table1[[#This Row],[World Rank]]&lt;=250,"Q1-Elite",IF(Table1[[#This Row],[World Rank]]&lt;=500,"Q2-Strong",IF(Table1[[#This Row],[World Rank]]&lt;=750,"Q3-Developing","Q4-Emerging")))</f>
        <v>Q1-Elite</v>
      </c>
      <c r="Z35" t="str">
        <v>Austria</v>
      </c>
      <c r="AA35">
        <f t="shared" si="8"/>
        <v>11</v>
      </c>
    </row>
    <row r="36" spans="1:27" x14ac:dyDescent="0.2">
      <c r="A36" s="1">
        <v>35</v>
      </c>
      <c r="B36" s="1" t="s">
        <v>54</v>
      </c>
      <c r="C36" s="1" t="s">
        <v>15</v>
      </c>
      <c r="D36" s="1" t="s">
        <v>1120</v>
      </c>
      <c r="E36" s="1">
        <v>25</v>
      </c>
      <c r="F36" s="1">
        <v>131</v>
      </c>
      <c r="G36" s="1">
        <v>302</v>
      </c>
      <c r="H36" s="1">
        <v>76</v>
      </c>
      <c r="I36" s="1">
        <v>24</v>
      </c>
      <c r="J36" s="1">
        <v>21</v>
      </c>
      <c r="K36" s="1">
        <v>35</v>
      </c>
      <c r="L36" s="1">
        <v>28</v>
      </c>
      <c r="M36" s="1">
        <v>85.9</v>
      </c>
      <c r="N36" s="1">
        <v>39.783730400000003</v>
      </c>
      <c r="O36" s="1">
        <v>-100.445882</v>
      </c>
      <c r="P36" s="14">
        <f t="shared" si="0"/>
        <v>98</v>
      </c>
      <c r="Q36" s="13">
        <f t="shared" si="1"/>
        <v>80.48048048048048</v>
      </c>
      <c r="R36" s="16">
        <f t="shared" si="2"/>
        <v>69.899999999999991</v>
      </c>
      <c r="S36" s="14">
        <f t="shared" si="3"/>
        <v>75.247524752475243</v>
      </c>
      <c r="T36" s="13">
        <f t="shared" si="4"/>
        <v>97.7</v>
      </c>
      <c r="U36" s="14">
        <f t="shared" si="5"/>
        <v>96.6</v>
      </c>
      <c r="V36" s="14">
        <f t="shared" si="6"/>
        <v>97.3</v>
      </c>
      <c r="W36" s="1">
        <f t="shared" si="7"/>
        <v>96.6</v>
      </c>
      <c r="X36" s="1" t="str">
        <f>IF(Table1[[#This Row],[World Rank]]&lt;=250,"Q1-Elite",IF(Table1[[#This Row],[World Rank]]&lt;=500,"Q2-Strong",IF(Table1[[#This Row],[World Rank]]&lt;=750,"Q3-Developing","Q4-Emerging")))</f>
        <v>Q1-Elite</v>
      </c>
      <c r="Z36" t="str">
        <v>Czech Republic</v>
      </c>
      <c r="AA36">
        <f t="shared" si="8"/>
        <v>5</v>
      </c>
    </row>
    <row r="37" spans="1:27" x14ac:dyDescent="0.2">
      <c r="A37" s="1">
        <v>36</v>
      </c>
      <c r="B37" s="1" t="s">
        <v>55</v>
      </c>
      <c r="C37" s="1" t="s">
        <v>15</v>
      </c>
      <c r="D37" s="1" t="s">
        <v>1120</v>
      </c>
      <c r="E37" s="1">
        <v>26</v>
      </c>
      <c r="F37" s="1">
        <v>206</v>
      </c>
      <c r="G37" s="1">
        <v>161</v>
      </c>
      <c r="H37" s="1">
        <v>64</v>
      </c>
      <c r="I37" s="1">
        <v>81</v>
      </c>
      <c r="J37" s="1">
        <v>46</v>
      </c>
      <c r="K37" s="1">
        <v>22</v>
      </c>
      <c r="L37" s="1">
        <v>22</v>
      </c>
      <c r="M37" s="1">
        <v>85.8</v>
      </c>
      <c r="N37" s="1">
        <v>39.783730400000003</v>
      </c>
      <c r="O37" s="1">
        <v>-100.445882</v>
      </c>
      <c r="P37" s="14">
        <f t="shared" si="0"/>
        <v>95.5</v>
      </c>
      <c r="Q37" s="13">
        <f t="shared" si="1"/>
        <v>69.219219219219212</v>
      </c>
      <c r="R37" s="16">
        <f t="shared" si="2"/>
        <v>84</v>
      </c>
      <c r="S37" s="14">
        <f t="shared" si="3"/>
        <v>79.207920792079207</v>
      </c>
      <c r="T37" s="13">
        <f t="shared" si="4"/>
        <v>92</v>
      </c>
      <c r="U37" s="14">
        <f t="shared" si="5"/>
        <v>97.899999999999991</v>
      </c>
      <c r="V37" s="14">
        <f t="shared" si="6"/>
        <v>97.899999999999991</v>
      </c>
      <c r="W37" s="1">
        <f t="shared" si="7"/>
        <v>96.5</v>
      </c>
      <c r="X37" s="1" t="str">
        <f>IF(Table1[[#This Row],[World Rank]]&lt;=250,"Q1-Elite",IF(Table1[[#This Row],[World Rank]]&lt;=500,"Q2-Strong",IF(Table1[[#This Row],[World Rank]]&lt;=750,"Q3-Developing","Q4-Emerging")))</f>
        <v>Q1-Elite</v>
      </c>
      <c r="Z37" t="str">
        <v>Portugal</v>
      </c>
      <c r="AA37">
        <f t="shared" si="8"/>
        <v>6</v>
      </c>
    </row>
    <row r="38" spans="1:27" x14ac:dyDescent="0.2">
      <c r="A38" s="1">
        <v>37</v>
      </c>
      <c r="B38" s="1" t="s">
        <v>56</v>
      </c>
      <c r="C38" s="1" t="s">
        <v>34</v>
      </c>
      <c r="D38" s="1" t="s">
        <v>1120</v>
      </c>
      <c r="E38" s="1">
        <v>2</v>
      </c>
      <c r="F38" s="1">
        <v>68</v>
      </c>
      <c r="G38" s="1">
        <v>86</v>
      </c>
      <c r="H38" s="1">
        <v>65</v>
      </c>
      <c r="I38" s="1">
        <v>44</v>
      </c>
      <c r="J38" s="1">
        <v>36</v>
      </c>
      <c r="K38" s="1">
        <v>53</v>
      </c>
      <c r="L38" s="1">
        <v>39</v>
      </c>
      <c r="M38" s="1">
        <v>85.6</v>
      </c>
      <c r="N38" s="1">
        <v>61.066692199999999</v>
      </c>
      <c r="O38" s="1">
        <v>-107.99170700000001</v>
      </c>
      <c r="P38" s="14">
        <f t="shared" si="0"/>
        <v>96.5</v>
      </c>
      <c r="Q38" s="13">
        <f t="shared" si="1"/>
        <v>89.939939939939933</v>
      </c>
      <c r="R38" s="16">
        <f t="shared" si="2"/>
        <v>91.5</v>
      </c>
      <c r="S38" s="14">
        <f t="shared" si="3"/>
        <v>78.877887788778878</v>
      </c>
      <c r="T38" s="13">
        <f t="shared" si="4"/>
        <v>95.7</v>
      </c>
      <c r="U38" s="14">
        <f t="shared" si="5"/>
        <v>94.8</v>
      </c>
      <c r="V38" s="14">
        <f t="shared" si="6"/>
        <v>96.2</v>
      </c>
      <c r="W38" s="1">
        <f t="shared" si="7"/>
        <v>96.399999999999991</v>
      </c>
      <c r="X38" s="1" t="str">
        <f>IF(Table1[[#This Row],[World Rank]]&lt;=250,"Q1-Elite",IF(Table1[[#This Row],[World Rank]]&lt;=500,"Q2-Strong",IF(Table1[[#This Row],[World Rank]]&lt;=750,"Q3-Developing","Q4-Emerging")))</f>
        <v>Q1-Elite</v>
      </c>
      <c r="Z38" t="str">
        <v>South Africa</v>
      </c>
      <c r="AA38">
        <f t="shared" si="8"/>
        <v>7</v>
      </c>
    </row>
    <row r="39" spans="1:27" x14ac:dyDescent="0.2">
      <c r="A39" s="1">
        <v>38</v>
      </c>
      <c r="B39" s="1" t="s">
        <v>57</v>
      </c>
      <c r="C39" s="1" t="s">
        <v>34</v>
      </c>
      <c r="D39" s="1" t="s">
        <v>1120</v>
      </c>
      <c r="E39" s="1">
        <v>3</v>
      </c>
      <c r="F39" s="1">
        <v>173</v>
      </c>
      <c r="G39" s="1">
        <v>699</v>
      </c>
      <c r="H39" s="1">
        <v>78</v>
      </c>
      <c r="I39" s="1">
        <v>25</v>
      </c>
      <c r="J39" s="1">
        <v>27</v>
      </c>
      <c r="K39" s="1">
        <v>37</v>
      </c>
      <c r="L39" s="1">
        <v>24</v>
      </c>
      <c r="M39" s="1">
        <v>85.5</v>
      </c>
      <c r="N39" s="1">
        <v>61.066692199999999</v>
      </c>
      <c r="O39" s="1">
        <v>-107.99170700000001</v>
      </c>
      <c r="P39" s="14">
        <f t="shared" si="0"/>
        <v>97.399999999999991</v>
      </c>
      <c r="Q39" s="13">
        <f t="shared" si="1"/>
        <v>74.174174174174183</v>
      </c>
      <c r="R39" s="16">
        <f t="shared" si="2"/>
        <v>30.2</v>
      </c>
      <c r="S39" s="14">
        <f t="shared" si="3"/>
        <v>74.587458745874585</v>
      </c>
      <c r="T39" s="13">
        <f t="shared" si="4"/>
        <v>97.6</v>
      </c>
      <c r="U39" s="14">
        <f t="shared" si="5"/>
        <v>96.399999999999991</v>
      </c>
      <c r="V39" s="14">
        <f t="shared" si="6"/>
        <v>97.7</v>
      </c>
      <c r="W39" s="1">
        <f t="shared" si="7"/>
        <v>96.3</v>
      </c>
      <c r="X39" s="1" t="str">
        <f>IF(Table1[[#This Row],[World Rank]]&lt;=250,"Q1-Elite",IF(Table1[[#This Row],[World Rank]]&lt;=500,"Q2-Strong",IF(Table1[[#This Row],[World Rank]]&lt;=750,"Q3-Developing","Q4-Emerging")))</f>
        <v>Q1-Elite</v>
      </c>
      <c r="Z39" t="str">
        <v>Ireland</v>
      </c>
      <c r="AA39">
        <f t="shared" si="8"/>
        <v>7</v>
      </c>
    </row>
    <row r="40" spans="1:27" x14ac:dyDescent="0.2">
      <c r="A40" s="1">
        <v>39</v>
      </c>
      <c r="B40" s="1" t="s">
        <v>58</v>
      </c>
      <c r="C40" s="1" t="s">
        <v>59</v>
      </c>
      <c r="D40" s="1" t="s">
        <v>1124</v>
      </c>
      <c r="E40" s="1">
        <v>1</v>
      </c>
      <c r="F40" s="1">
        <v>302</v>
      </c>
      <c r="G40" s="1">
        <v>364</v>
      </c>
      <c r="H40" s="1">
        <v>79</v>
      </c>
      <c r="I40" s="1">
        <v>26</v>
      </c>
      <c r="J40" s="1">
        <v>29</v>
      </c>
      <c r="K40" s="1">
        <v>26</v>
      </c>
      <c r="L40" s="1">
        <v>38</v>
      </c>
      <c r="M40" s="1">
        <v>85.4</v>
      </c>
      <c r="N40" s="1">
        <v>55.670248999999998</v>
      </c>
      <c r="O40" s="1">
        <v>10.3333283</v>
      </c>
      <c r="P40" s="14">
        <f t="shared" si="0"/>
        <v>97.2</v>
      </c>
      <c r="Q40" s="13">
        <f t="shared" si="1"/>
        <v>54.80480480480481</v>
      </c>
      <c r="R40" s="16">
        <f t="shared" si="2"/>
        <v>63.7</v>
      </c>
      <c r="S40" s="14">
        <f t="shared" si="3"/>
        <v>74.257425742574256</v>
      </c>
      <c r="T40" s="13">
        <f t="shared" si="4"/>
        <v>97.5</v>
      </c>
      <c r="U40" s="14">
        <f t="shared" si="5"/>
        <v>97.5</v>
      </c>
      <c r="V40" s="14">
        <f t="shared" si="6"/>
        <v>96.3</v>
      </c>
      <c r="W40" s="1">
        <f t="shared" si="7"/>
        <v>96.2</v>
      </c>
      <c r="X40" s="1" t="str">
        <f>IF(Table1[[#This Row],[World Rank]]&lt;=250,"Q1-Elite",IF(Table1[[#This Row],[World Rank]]&lt;=500,"Q2-Strong",IF(Table1[[#This Row],[World Rank]]&lt;=750,"Q3-Developing","Q4-Emerging")))</f>
        <v>Q1-Elite</v>
      </c>
      <c r="Z40" t="str">
        <v>New Zealand</v>
      </c>
      <c r="AA40">
        <f t="shared" si="8"/>
        <v>5</v>
      </c>
    </row>
    <row r="41" spans="1:27" x14ac:dyDescent="0.2">
      <c r="A41" s="1">
        <v>40</v>
      </c>
      <c r="B41" s="1" t="s">
        <v>60</v>
      </c>
      <c r="C41" s="1" t="s">
        <v>15</v>
      </c>
      <c r="D41" s="1" t="s">
        <v>1120</v>
      </c>
      <c r="E41" s="1">
        <v>27</v>
      </c>
      <c r="F41" s="1">
        <v>165</v>
      </c>
      <c r="G41" s="1">
        <v>254</v>
      </c>
      <c r="H41" s="1">
        <v>70</v>
      </c>
      <c r="I41" s="1">
        <v>33</v>
      </c>
      <c r="J41" s="1">
        <v>31</v>
      </c>
      <c r="K41" s="1">
        <v>50</v>
      </c>
      <c r="L41" s="1">
        <v>35</v>
      </c>
      <c r="M41" s="1">
        <v>85.3</v>
      </c>
      <c r="N41" s="1">
        <v>39.783730400000003</v>
      </c>
      <c r="O41" s="1">
        <v>-100.445882</v>
      </c>
      <c r="P41" s="14">
        <f t="shared" si="0"/>
        <v>97</v>
      </c>
      <c r="Q41" s="13">
        <f t="shared" si="1"/>
        <v>75.37537537537537</v>
      </c>
      <c r="R41" s="16">
        <f t="shared" si="2"/>
        <v>74.7</v>
      </c>
      <c r="S41" s="14">
        <f t="shared" si="3"/>
        <v>77.227722772277232</v>
      </c>
      <c r="T41" s="13">
        <f t="shared" si="4"/>
        <v>96.8</v>
      </c>
      <c r="U41" s="14">
        <f t="shared" si="5"/>
        <v>95.1</v>
      </c>
      <c r="V41" s="14">
        <f t="shared" si="6"/>
        <v>96.6</v>
      </c>
      <c r="W41" s="1">
        <f t="shared" si="7"/>
        <v>96.1</v>
      </c>
      <c r="X41" s="1" t="str">
        <f>IF(Table1[[#This Row],[World Rank]]&lt;=250,"Q1-Elite",IF(Table1[[#This Row],[World Rank]]&lt;=500,"Q2-Strong",IF(Table1[[#This Row],[World Rank]]&lt;=750,"Q3-Developing","Q4-Emerging")))</f>
        <v>Q1-Elite</v>
      </c>
      <c r="Z41" t="str">
        <v>Mexico</v>
      </c>
      <c r="AA41">
        <f t="shared" si="8"/>
        <v>4</v>
      </c>
    </row>
    <row r="42" spans="1:27" x14ac:dyDescent="0.2">
      <c r="A42" s="1">
        <v>41</v>
      </c>
      <c r="B42" s="1" t="s">
        <v>61</v>
      </c>
      <c r="C42" s="1" t="s">
        <v>15</v>
      </c>
      <c r="D42" s="1" t="s">
        <v>1120</v>
      </c>
      <c r="E42" s="1">
        <v>28</v>
      </c>
      <c r="F42" s="1">
        <v>212</v>
      </c>
      <c r="G42" s="1">
        <v>101</v>
      </c>
      <c r="H42" s="1">
        <v>35</v>
      </c>
      <c r="I42" s="1">
        <v>74</v>
      </c>
      <c r="J42" s="1">
        <v>67</v>
      </c>
      <c r="K42" s="1">
        <v>62</v>
      </c>
      <c r="L42" s="1">
        <v>59</v>
      </c>
      <c r="M42" s="1">
        <v>85.2</v>
      </c>
      <c r="N42" s="1">
        <v>39.783730400000003</v>
      </c>
      <c r="O42" s="1">
        <v>-100.445882</v>
      </c>
      <c r="P42" s="14">
        <f t="shared" si="0"/>
        <v>93.4</v>
      </c>
      <c r="Q42" s="13">
        <f t="shared" si="1"/>
        <v>68.318318318318319</v>
      </c>
      <c r="R42" s="16">
        <f t="shared" si="2"/>
        <v>90</v>
      </c>
      <c r="S42" s="14">
        <f t="shared" si="3"/>
        <v>88.778877887788781</v>
      </c>
      <c r="T42" s="13">
        <f t="shared" si="4"/>
        <v>92.7</v>
      </c>
      <c r="U42" s="14">
        <f t="shared" si="5"/>
        <v>93.899999999999991</v>
      </c>
      <c r="V42" s="14">
        <f t="shared" si="6"/>
        <v>94.199999999999989</v>
      </c>
      <c r="W42" s="1">
        <f t="shared" si="7"/>
        <v>96</v>
      </c>
      <c r="X42" s="1" t="str">
        <f>IF(Table1[[#This Row],[World Rank]]&lt;=250,"Q1-Elite",IF(Table1[[#This Row],[World Rank]]&lt;=500,"Q2-Strong",IF(Table1[[#This Row],[World Rank]]&lt;=750,"Q3-Developing","Q4-Emerging")))</f>
        <v>Q1-Elite</v>
      </c>
      <c r="Z42" t="str">
        <v>Poland</v>
      </c>
      <c r="AA42">
        <f t="shared" si="8"/>
        <v>10</v>
      </c>
    </row>
    <row r="43" spans="1:27" x14ac:dyDescent="0.2">
      <c r="A43" s="1">
        <v>42</v>
      </c>
      <c r="B43" s="1" t="s">
        <v>62</v>
      </c>
      <c r="C43" s="1" t="s">
        <v>15</v>
      </c>
      <c r="D43" s="1" t="s">
        <v>1120</v>
      </c>
      <c r="E43" s="1">
        <v>29</v>
      </c>
      <c r="F43" s="1">
        <v>83</v>
      </c>
      <c r="G43" s="1">
        <v>579</v>
      </c>
      <c r="H43" s="1">
        <v>75</v>
      </c>
      <c r="I43" s="1">
        <v>42</v>
      </c>
      <c r="J43" s="1">
        <v>35</v>
      </c>
      <c r="K43" s="1">
        <v>39</v>
      </c>
      <c r="L43" s="1">
        <v>31</v>
      </c>
      <c r="M43" s="1">
        <v>85.1</v>
      </c>
      <c r="N43" s="1">
        <v>39.783730400000003</v>
      </c>
      <c r="O43" s="1">
        <v>-100.445882</v>
      </c>
      <c r="P43" s="14">
        <f t="shared" si="0"/>
        <v>96.6</v>
      </c>
      <c r="Q43" s="13">
        <f t="shared" si="1"/>
        <v>87.687687687687685</v>
      </c>
      <c r="R43" s="16">
        <f t="shared" si="2"/>
        <v>42.199999999999996</v>
      </c>
      <c r="S43" s="14">
        <f t="shared" si="3"/>
        <v>75.577557755775587</v>
      </c>
      <c r="T43" s="13">
        <f t="shared" si="4"/>
        <v>95.899999999999991</v>
      </c>
      <c r="U43" s="14">
        <f t="shared" si="5"/>
        <v>96.2</v>
      </c>
      <c r="V43" s="14">
        <f t="shared" si="6"/>
        <v>97</v>
      </c>
      <c r="W43" s="1">
        <f t="shared" si="7"/>
        <v>95.899999999999991</v>
      </c>
      <c r="X43" s="1" t="str">
        <f>IF(Table1[[#This Row],[World Rank]]&lt;=250,"Q1-Elite",IF(Table1[[#This Row],[World Rank]]&lt;=500,"Q2-Strong",IF(Table1[[#This Row],[World Rank]]&lt;=750,"Q3-Developing","Q4-Emerging")))</f>
        <v>Q1-Elite</v>
      </c>
      <c r="Z43" t="str">
        <v>Argentina</v>
      </c>
      <c r="AA43">
        <f t="shared" ref="AA43:AA71" si="9">COUNTIF(Location,Z43)</f>
        <v>3</v>
      </c>
    </row>
    <row r="44" spans="1:27" x14ac:dyDescent="0.2">
      <c r="A44" s="1">
        <v>43</v>
      </c>
      <c r="B44" s="1" t="s">
        <v>63</v>
      </c>
      <c r="C44" s="1" t="s">
        <v>15</v>
      </c>
      <c r="D44" s="1" t="s">
        <v>1120</v>
      </c>
      <c r="E44" s="1">
        <v>30</v>
      </c>
      <c r="F44" s="1">
        <v>374</v>
      </c>
      <c r="G44" s="1">
        <v>168</v>
      </c>
      <c r="H44" s="1">
        <v>60</v>
      </c>
      <c r="I44" s="1">
        <v>43</v>
      </c>
      <c r="J44" s="1">
        <v>40</v>
      </c>
      <c r="K44" s="1">
        <v>41</v>
      </c>
      <c r="L44" s="1">
        <v>51</v>
      </c>
      <c r="M44" s="1">
        <v>85</v>
      </c>
      <c r="N44" s="1">
        <v>39.783730400000003</v>
      </c>
      <c r="O44" s="1">
        <v>-100.445882</v>
      </c>
      <c r="P44" s="14">
        <f t="shared" si="0"/>
        <v>96.1</v>
      </c>
      <c r="Q44" s="13">
        <f t="shared" si="1"/>
        <v>43.993993993993996</v>
      </c>
      <c r="R44" s="16">
        <f t="shared" si="2"/>
        <v>83.3</v>
      </c>
      <c r="S44" s="14">
        <f t="shared" si="3"/>
        <v>80.528052805280524</v>
      </c>
      <c r="T44" s="13">
        <f t="shared" si="4"/>
        <v>95.8</v>
      </c>
      <c r="U44" s="14">
        <f t="shared" si="5"/>
        <v>96</v>
      </c>
      <c r="V44" s="14">
        <f t="shared" si="6"/>
        <v>95</v>
      </c>
      <c r="W44" s="1">
        <f t="shared" si="7"/>
        <v>95.8</v>
      </c>
      <c r="X44" s="1" t="str">
        <f>IF(Table1[[#This Row],[World Rank]]&lt;=250,"Q1-Elite",IF(Table1[[#This Row],[World Rank]]&lt;=500,"Q2-Strong",IF(Table1[[#This Row],[World Rank]]&lt;=750,"Q3-Developing","Q4-Emerging")))</f>
        <v>Q1-Elite</v>
      </c>
      <c r="Z44" t="str">
        <v>Greece</v>
      </c>
      <c r="AA44">
        <f t="shared" si="9"/>
        <v>6</v>
      </c>
    </row>
    <row r="45" spans="1:27" x14ac:dyDescent="0.2">
      <c r="A45" s="1">
        <v>44</v>
      </c>
      <c r="B45" s="1" t="s">
        <v>64</v>
      </c>
      <c r="C45" s="1" t="s">
        <v>19</v>
      </c>
      <c r="D45" s="1" t="s">
        <v>1124</v>
      </c>
      <c r="E45" s="1">
        <v>6</v>
      </c>
      <c r="F45" s="1">
        <v>171</v>
      </c>
      <c r="G45" s="1">
        <v>227</v>
      </c>
      <c r="H45" s="1">
        <v>63</v>
      </c>
      <c r="I45" s="1">
        <v>49</v>
      </c>
      <c r="J45" s="1">
        <v>48</v>
      </c>
      <c r="K45" s="1">
        <v>65</v>
      </c>
      <c r="L45" s="1">
        <v>35</v>
      </c>
      <c r="M45" s="1">
        <v>85</v>
      </c>
      <c r="N45" s="1">
        <v>54.702354499999998</v>
      </c>
      <c r="O45" s="1">
        <v>-3.2765753000000002</v>
      </c>
      <c r="P45" s="14">
        <f t="shared" si="0"/>
        <v>95.3</v>
      </c>
      <c r="Q45" s="13">
        <f t="shared" si="1"/>
        <v>74.474474474474476</v>
      </c>
      <c r="R45" s="16">
        <f t="shared" si="2"/>
        <v>77.400000000000006</v>
      </c>
      <c r="S45" s="14">
        <f t="shared" si="3"/>
        <v>79.537953795379536</v>
      </c>
      <c r="T45" s="13">
        <f t="shared" si="4"/>
        <v>95.199999999999989</v>
      </c>
      <c r="U45" s="14">
        <f t="shared" si="5"/>
        <v>93.600000000000009</v>
      </c>
      <c r="V45" s="14">
        <f t="shared" si="6"/>
        <v>96.6</v>
      </c>
      <c r="W45" s="1">
        <f t="shared" si="7"/>
        <v>95.7</v>
      </c>
      <c r="X45" s="1" t="str">
        <f>IF(Table1[[#This Row],[World Rank]]&lt;=250,"Q1-Elite",IF(Table1[[#This Row],[World Rank]]&lt;=500,"Q2-Strong",IF(Table1[[#This Row],[World Rank]]&lt;=750,"Q3-Developing","Q4-Emerging")))</f>
        <v>Q1-Elite</v>
      </c>
      <c r="Z45" t="str">
        <v>Saudi Arabia</v>
      </c>
      <c r="AA45">
        <f t="shared" si="9"/>
        <v>4</v>
      </c>
    </row>
    <row r="46" spans="1:27" x14ac:dyDescent="0.2">
      <c r="A46" s="1">
        <v>45</v>
      </c>
      <c r="B46" s="1" t="s">
        <v>65</v>
      </c>
      <c r="C46" s="1" t="s">
        <v>66</v>
      </c>
      <c r="D46" s="1" t="s">
        <v>1125</v>
      </c>
      <c r="E46" s="1">
        <v>1</v>
      </c>
      <c r="F46" s="1">
        <v>8</v>
      </c>
      <c r="G46" s="1">
        <v>1001</v>
      </c>
      <c r="H46" s="1">
        <v>22</v>
      </c>
      <c r="I46" s="1">
        <v>445</v>
      </c>
      <c r="J46" s="1">
        <v>292</v>
      </c>
      <c r="K46" s="1">
        <v>69</v>
      </c>
      <c r="L46" s="1">
        <v>254</v>
      </c>
      <c r="M46" s="1">
        <v>84.9</v>
      </c>
      <c r="N46" s="1">
        <v>39.3181528</v>
      </c>
      <c r="O46" s="1">
        <v>-79.810901400000006</v>
      </c>
      <c r="P46" s="14">
        <f t="shared" si="0"/>
        <v>70.899999999999991</v>
      </c>
      <c r="Q46" s="13">
        <f t="shared" si="1"/>
        <v>98.948948948948939</v>
      </c>
      <c r="R46" s="16">
        <f t="shared" si="2"/>
        <v>0</v>
      </c>
      <c r="S46" s="14">
        <f t="shared" si="3"/>
        <v>93.069306930693074</v>
      </c>
      <c r="T46" s="13">
        <f t="shared" si="4"/>
        <v>55.600000000000009</v>
      </c>
      <c r="U46" s="14">
        <f t="shared" si="5"/>
        <v>93.2</v>
      </c>
      <c r="V46" s="14">
        <f t="shared" si="6"/>
        <v>74.7</v>
      </c>
      <c r="W46" s="1">
        <f t="shared" si="7"/>
        <v>95.6</v>
      </c>
      <c r="X46" s="1" t="str">
        <f>IF(Table1[[#This Row],[World Rank]]&lt;=250,"Q1-Elite",IF(Table1[[#This Row],[World Rank]]&lt;=500,"Q2-Strong",IF(Table1[[#This Row],[World Rank]]&lt;=750,"Q3-Developing","Q4-Emerging")))</f>
        <v>Q1-Elite</v>
      </c>
      <c r="Z46" t="str">
        <v>Chile</v>
      </c>
      <c r="AA46">
        <f t="shared" si="9"/>
        <v>4</v>
      </c>
    </row>
    <row r="47" spans="1:27" x14ac:dyDescent="0.2">
      <c r="A47" s="1">
        <v>46</v>
      </c>
      <c r="B47" s="1" t="s">
        <v>67</v>
      </c>
      <c r="C47" s="1" t="s">
        <v>68</v>
      </c>
      <c r="D47" s="1" t="s">
        <v>1124</v>
      </c>
      <c r="E47" s="1">
        <v>1</v>
      </c>
      <c r="F47" s="1">
        <v>71</v>
      </c>
      <c r="G47" s="1">
        <v>807</v>
      </c>
      <c r="H47" s="1">
        <v>51</v>
      </c>
      <c r="I47" s="1">
        <v>63</v>
      </c>
      <c r="J47" s="1">
        <v>64</v>
      </c>
      <c r="K47" s="1">
        <v>51</v>
      </c>
      <c r="L47" s="1">
        <v>53</v>
      </c>
      <c r="M47" s="1">
        <v>84.8</v>
      </c>
      <c r="N47" s="1">
        <v>40.420347900000003</v>
      </c>
      <c r="O47" s="1">
        <v>-79.116698299999996</v>
      </c>
      <c r="P47" s="14">
        <f t="shared" si="0"/>
        <v>93.7</v>
      </c>
      <c r="Q47" s="13">
        <f t="shared" si="1"/>
        <v>89.4894894894895</v>
      </c>
      <c r="R47" s="16">
        <f t="shared" si="2"/>
        <v>19.400000000000002</v>
      </c>
      <c r="S47" s="14">
        <f t="shared" si="3"/>
        <v>83.4983498349835</v>
      </c>
      <c r="T47" s="13">
        <f t="shared" si="4"/>
        <v>93.8</v>
      </c>
      <c r="U47" s="14">
        <f t="shared" si="5"/>
        <v>95</v>
      </c>
      <c r="V47" s="14">
        <f t="shared" si="6"/>
        <v>94.8</v>
      </c>
      <c r="W47" s="1">
        <f t="shared" si="7"/>
        <v>95.5</v>
      </c>
      <c r="X47" s="1" t="str">
        <f>IF(Table1[[#This Row],[World Rank]]&lt;=250,"Q1-Elite",IF(Table1[[#This Row],[World Rank]]&lt;=500,"Q2-Strong",IF(Table1[[#This Row],[World Rank]]&lt;=750,"Q3-Developing","Q4-Emerging")))</f>
        <v>Q1-Elite</v>
      </c>
      <c r="Z47" t="str">
        <v>Serbia</v>
      </c>
      <c r="AA47">
        <f t="shared" si="9"/>
        <v>1</v>
      </c>
    </row>
    <row r="48" spans="1:27" x14ac:dyDescent="0.2">
      <c r="A48" s="1">
        <v>47</v>
      </c>
      <c r="B48" s="1" t="s">
        <v>69</v>
      </c>
      <c r="C48" s="1" t="s">
        <v>15</v>
      </c>
      <c r="D48" s="1" t="s">
        <v>1120</v>
      </c>
      <c r="E48" s="1">
        <v>31</v>
      </c>
      <c r="F48" s="1">
        <v>103</v>
      </c>
      <c r="G48" s="1">
        <v>480</v>
      </c>
      <c r="H48" s="1">
        <v>55</v>
      </c>
      <c r="I48" s="1">
        <v>92</v>
      </c>
      <c r="J48" s="1">
        <v>72</v>
      </c>
      <c r="K48" s="1">
        <v>45</v>
      </c>
      <c r="L48" s="1">
        <v>42</v>
      </c>
      <c r="M48" s="1">
        <v>84.7</v>
      </c>
      <c r="N48" s="1">
        <v>39.783730400000003</v>
      </c>
      <c r="O48" s="1">
        <v>-100.445882</v>
      </c>
      <c r="P48" s="14">
        <f t="shared" si="0"/>
        <v>92.9</v>
      </c>
      <c r="Q48" s="13">
        <f t="shared" si="1"/>
        <v>84.684684684684683</v>
      </c>
      <c r="R48" s="16">
        <f t="shared" si="2"/>
        <v>52.1</v>
      </c>
      <c r="S48" s="14">
        <f t="shared" si="3"/>
        <v>82.178217821782169</v>
      </c>
      <c r="T48" s="13">
        <f t="shared" si="4"/>
        <v>90.9</v>
      </c>
      <c r="U48" s="14">
        <f t="shared" si="5"/>
        <v>95.6</v>
      </c>
      <c r="V48" s="14">
        <f t="shared" si="6"/>
        <v>95.899999999999991</v>
      </c>
      <c r="W48" s="1">
        <f t="shared" si="7"/>
        <v>95.399999999999991</v>
      </c>
      <c r="X48" s="1" t="str">
        <f>IF(Table1[[#This Row],[World Rank]]&lt;=250,"Q1-Elite",IF(Table1[[#This Row],[World Rank]]&lt;=500,"Q2-Strong",IF(Table1[[#This Row],[World Rank]]&lt;=750,"Q3-Developing","Q4-Emerging")))</f>
        <v>Q1-Elite</v>
      </c>
      <c r="Z48" t="str">
        <v>Slovenia</v>
      </c>
      <c r="AA48">
        <f t="shared" si="9"/>
        <v>2</v>
      </c>
    </row>
    <row r="49" spans="1:28" x14ac:dyDescent="0.2">
      <c r="A49" s="1">
        <v>48</v>
      </c>
      <c r="B49" s="1" t="s">
        <v>70</v>
      </c>
      <c r="C49" s="1" t="s">
        <v>68</v>
      </c>
      <c r="D49" s="1" t="s">
        <v>1124</v>
      </c>
      <c r="E49" s="1">
        <v>2</v>
      </c>
      <c r="F49" s="1">
        <v>91</v>
      </c>
      <c r="G49" s="1">
        <v>266</v>
      </c>
      <c r="H49" s="1">
        <v>83</v>
      </c>
      <c r="I49" s="1">
        <v>53</v>
      </c>
      <c r="J49" s="1">
        <v>57</v>
      </c>
      <c r="K49" s="1">
        <v>42</v>
      </c>
      <c r="L49" s="1">
        <v>46</v>
      </c>
      <c r="M49" s="1">
        <v>84.6</v>
      </c>
      <c r="N49" s="1">
        <v>40.420347900000003</v>
      </c>
      <c r="O49" s="1">
        <v>-79.116698299999996</v>
      </c>
      <c r="P49" s="14">
        <f t="shared" si="0"/>
        <v>94.399999999999991</v>
      </c>
      <c r="Q49" s="13">
        <f t="shared" si="1"/>
        <v>86.486486486486484</v>
      </c>
      <c r="R49" s="16">
        <f t="shared" si="2"/>
        <v>73.5</v>
      </c>
      <c r="S49" s="14">
        <f t="shared" si="3"/>
        <v>72.937293729372925</v>
      </c>
      <c r="T49" s="13">
        <f t="shared" si="4"/>
        <v>94.8</v>
      </c>
      <c r="U49" s="14">
        <f t="shared" si="5"/>
        <v>95.899999999999991</v>
      </c>
      <c r="V49" s="14">
        <f t="shared" si="6"/>
        <v>95.5</v>
      </c>
      <c r="W49" s="1">
        <f t="shared" si="7"/>
        <v>95.3</v>
      </c>
      <c r="X49" s="1" t="str">
        <f>IF(Table1[[#This Row],[World Rank]]&lt;=250,"Q1-Elite",IF(Table1[[#This Row],[World Rank]]&lt;=500,"Q2-Strong",IF(Table1[[#This Row],[World Rank]]&lt;=750,"Q3-Developing","Q4-Emerging")))</f>
        <v>Q1-Elite</v>
      </c>
      <c r="Z49" t="str">
        <v>Iran</v>
      </c>
      <c r="AA49">
        <f t="shared" si="9"/>
        <v>12</v>
      </c>
    </row>
    <row r="50" spans="1:28" x14ac:dyDescent="0.2">
      <c r="A50" s="1">
        <v>49</v>
      </c>
      <c r="B50" s="1" t="s">
        <v>71</v>
      </c>
      <c r="C50" s="1" t="s">
        <v>72</v>
      </c>
      <c r="D50" s="1" t="s">
        <v>1124</v>
      </c>
      <c r="E50" s="1">
        <v>1</v>
      </c>
      <c r="F50" s="1">
        <v>162</v>
      </c>
      <c r="G50" s="1">
        <v>1001</v>
      </c>
      <c r="H50" s="1">
        <v>46</v>
      </c>
      <c r="I50" s="1">
        <v>67</v>
      </c>
      <c r="J50" s="1">
        <v>53</v>
      </c>
      <c r="K50" s="1">
        <v>46</v>
      </c>
      <c r="L50" s="1">
        <v>108</v>
      </c>
      <c r="M50" s="1">
        <v>84.5</v>
      </c>
      <c r="N50" s="1">
        <v>44.133434999999999</v>
      </c>
      <c r="O50" s="1">
        <v>-70.822677999999996</v>
      </c>
      <c r="P50" s="14">
        <f t="shared" si="0"/>
        <v>94.8</v>
      </c>
      <c r="Q50" s="13">
        <f t="shared" si="1"/>
        <v>75.825825825825817</v>
      </c>
      <c r="R50" s="16">
        <f t="shared" si="2"/>
        <v>0</v>
      </c>
      <c r="S50" s="14">
        <f t="shared" si="3"/>
        <v>85.148514851485146</v>
      </c>
      <c r="T50" s="13">
        <f t="shared" si="4"/>
        <v>93.4</v>
      </c>
      <c r="U50" s="14">
        <f t="shared" si="5"/>
        <v>95.5</v>
      </c>
      <c r="V50" s="14">
        <f t="shared" si="6"/>
        <v>89.3</v>
      </c>
      <c r="W50" s="1">
        <f t="shared" si="7"/>
        <v>95.199999999999989</v>
      </c>
      <c r="X50" s="1" t="str">
        <f>IF(Table1[[#This Row],[World Rank]]&lt;=250,"Q1-Elite",IF(Table1[[#This Row],[World Rank]]&lt;=500,"Q2-Strong",IF(Table1[[#This Row],[World Rank]]&lt;=750,"Q3-Developing","Q4-Emerging")))</f>
        <v>Q1-Elite</v>
      </c>
      <c r="Z50" t="str">
        <v>Hungary</v>
      </c>
      <c r="AA50">
        <f t="shared" si="9"/>
        <v>6</v>
      </c>
    </row>
    <row r="51" spans="1:28" x14ac:dyDescent="0.2">
      <c r="A51" s="1">
        <v>50</v>
      </c>
      <c r="B51" s="1" t="s">
        <v>73</v>
      </c>
      <c r="C51" s="1" t="s">
        <v>15</v>
      </c>
      <c r="D51" s="1" t="s">
        <v>1120</v>
      </c>
      <c r="E51" s="1">
        <v>32</v>
      </c>
      <c r="F51" s="1">
        <v>134</v>
      </c>
      <c r="G51" s="1">
        <v>170</v>
      </c>
      <c r="H51" s="1">
        <v>41</v>
      </c>
      <c r="I51" s="1">
        <v>145</v>
      </c>
      <c r="J51" s="1">
        <v>111</v>
      </c>
      <c r="K51" s="1">
        <v>40</v>
      </c>
      <c r="L51" s="1">
        <v>59</v>
      </c>
      <c r="M51" s="1">
        <v>84.4</v>
      </c>
      <c r="N51" s="1">
        <v>39.783730400000003</v>
      </c>
      <c r="O51" s="1">
        <v>-100.445882</v>
      </c>
      <c r="P51" s="14">
        <f t="shared" si="0"/>
        <v>89</v>
      </c>
      <c r="Q51" s="13">
        <f t="shared" si="1"/>
        <v>80.030030030030034</v>
      </c>
      <c r="R51" s="16">
        <f t="shared" si="2"/>
        <v>83.1</v>
      </c>
      <c r="S51" s="14">
        <f t="shared" si="3"/>
        <v>86.798679867986792</v>
      </c>
      <c r="T51" s="13">
        <f t="shared" si="4"/>
        <v>85.6</v>
      </c>
      <c r="U51" s="14">
        <f t="shared" si="5"/>
        <v>96.1</v>
      </c>
      <c r="V51" s="14">
        <f t="shared" si="6"/>
        <v>94.199999999999989</v>
      </c>
      <c r="W51" s="1">
        <f t="shared" si="7"/>
        <v>95.1</v>
      </c>
      <c r="X51" s="1" t="str">
        <f>IF(Table1[[#This Row],[World Rank]]&lt;=250,"Q1-Elite",IF(Table1[[#This Row],[World Rank]]&lt;=500,"Q2-Strong",IF(Table1[[#This Row],[World Rank]]&lt;=750,"Q3-Developing","Q4-Emerging")))</f>
        <v>Q1-Elite</v>
      </c>
      <c r="Z51" t="str">
        <v>India</v>
      </c>
      <c r="AA51">
        <f t="shared" si="9"/>
        <v>17</v>
      </c>
    </row>
    <row r="52" spans="1:28" x14ac:dyDescent="0.2">
      <c r="A52" s="1">
        <v>51</v>
      </c>
      <c r="B52" s="1" t="s">
        <v>74</v>
      </c>
      <c r="C52" s="1" t="s">
        <v>15</v>
      </c>
      <c r="D52" s="1" t="s">
        <v>1120</v>
      </c>
      <c r="E52" s="1">
        <v>33</v>
      </c>
      <c r="F52" s="1">
        <v>215</v>
      </c>
      <c r="G52" s="1">
        <v>111</v>
      </c>
      <c r="H52" s="1">
        <v>40</v>
      </c>
      <c r="I52" s="1">
        <v>121</v>
      </c>
      <c r="J52" s="1">
        <v>88</v>
      </c>
      <c r="K52" s="1">
        <v>74</v>
      </c>
      <c r="L52" s="1">
        <v>66</v>
      </c>
      <c r="M52" s="1">
        <v>84.4</v>
      </c>
      <c r="N52" s="1">
        <v>39.783730400000003</v>
      </c>
      <c r="O52" s="1">
        <v>-100.445882</v>
      </c>
      <c r="P52" s="14">
        <f t="shared" si="0"/>
        <v>91.3</v>
      </c>
      <c r="Q52" s="13">
        <f t="shared" si="1"/>
        <v>67.867867867867872</v>
      </c>
      <c r="R52" s="16">
        <f t="shared" si="2"/>
        <v>89</v>
      </c>
      <c r="S52" s="14">
        <f t="shared" si="3"/>
        <v>87.128712871287135</v>
      </c>
      <c r="T52" s="13">
        <f t="shared" si="4"/>
        <v>88</v>
      </c>
      <c r="U52" s="14">
        <f t="shared" si="5"/>
        <v>92.7</v>
      </c>
      <c r="V52" s="14">
        <f t="shared" si="6"/>
        <v>93.5</v>
      </c>
      <c r="W52" s="1">
        <f t="shared" si="7"/>
        <v>95</v>
      </c>
      <c r="X52" s="1" t="str">
        <f>IF(Table1[[#This Row],[World Rank]]&lt;=250,"Q1-Elite",IF(Table1[[#This Row],[World Rank]]&lt;=500,"Q2-Strong",IF(Table1[[#This Row],[World Rank]]&lt;=750,"Q3-Developing","Q4-Emerging")))</f>
        <v>Q1-Elite</v>
      </c>
      <c r="Z52" t="str">
        <v>Malaysia</v>
      </c>
      <c r="AA52">
        <f t="shared" si="9"/>
        <v>5</v>
      </c>
    </row>
    <row r="53" spans="1:28" x14ac:dyDescent="0.2">
      <c r="A53" s="1">
        <v>52</v>
      </c>
      <c r="B53" s="1" t="s">
        <v>75</v>
      </c>
      <c r="C53" s="1" t="s">
        <v>15</v>
      </c>
      <c r="D53" s="1" t="s">
        <v>1120</v>
      </c>
      <c r="E53" s="1">
        <v>34</v>
      </c>
      <c r="F53" s="1">
        <v>166</v>
      </c>
      <c r="G53" s="1">
        <v>164</v>
      </c>
      <c r="H53" s="1">
        <v>53</v>
      </c>
      <c r="I53" s="1">
        <v>111</v>
      </c>
      <c r="J53" s="1">
        <v>96</v>
      </c>
      <c r="K53" s="1">
        <v>43</v>
      </c>
      <c r="L53" s="1">
        <v>48</v>
      </c>
      <c r="M53" s="1">
        <v>84.3</v>
      </c>
      <c r="N53" s="1">
        <v>39.783730400000003</v>
      </c>
      <c r="O53" s="1">
        <v>-100.445882</v>
      </c>
      <c r="P53" s="14">
        <f t="shared" si="0"/>
        <v>90.5</v>
      </c>
      <c r="Q53" s="13">
        <f t="shared" si="1"/>
        <v>75.225225225225216</v>
      </c>
      <c r="R53" s="16">
        <f t="shared" si="2"/>
        <v>83.7</v>
      </c>
      <c r="S53" s="14">
        <f t="shared" si="3"/>
        <v>82.838283828382842</v>
      </c>
      <c r="T53" s="13">
        <f t="shared" si="4"/>
        <v>89</v>
      </c>
      <c r="U53" s="14">
        <f t="shared" si="5"/>
        <v>95.8</v>
      </c>
      <c r="V53" s="14">
        <f t="shared" si="6"/>
        <v>95.3</v>
      </c>
      <c r="W53" s="1">
        <f t="shared" si="7"/>
        <v>94.899999999999991</v>
      </c>
      <c r="X53" s="1" t="str">
        <f>IF(Table1[[#This Row],[World Rank]]&lt;=250,"Q1-Elite",IF(Table1[[#This Row],[World Rank]]&lt;=500,"Q2-Strong",IF(Table1[[#This Row],[World Rank]]&lt;=750,"Q3-Developing","Q4-Emerging")))</f>
        <v>Q1-Elite</v>
      </c>
      <c r="Z53" t="str">
        <v>Egypt</v>
      </c>
      <c r="AA53">
        <f t="shared" si="9"/>
        <v>4</v>
      </c>
    </row>
    <row r="54" spans="1:28" x14ac:dyDescent="0.2">
      <c r="A54" s="1">
        <v>53</v>
      </c>
      <c r="B54" s="1" t="s">
        <v>76</v>
      </c>
      <c r="C54" s="1" t="s">
        <v>28</v>
      </c>
      <c r="D54" s="1" t="s">
        <v>1125</v>
      </c>
      <c r="E54" s="1">
        <v>3</v>
      </c>
      <c r="F54" s="1">
        <v>70</v>
      </c>
      <c r="G54" s="1">
        <v>65</v>
      </c>
      <c r="H54" s="1">
        <v>61</v>
      </c>
      <c r="I54" s="1">
        <v>59</v>
      </c>
      <c r="J54" s="1">
        <v>82</v>
      </c>
      <c r="K54" s="1">
        <v>83</v>
      </c>
      <c r="L54" s="1">
        <v>174</v>
      </c>
      <c r="M54" s="1">
        <v>84.2</v>
      </c>
      <c r="N54" s="1">
        <v>36.5748441</v>
      </c>
      <c r="O54" s="1">
        <v>139.23941790000001</v>
      </c>
      <c r="P54" s="14">
        <f t="shared" si="0"/>
        <v>91.9</v>
      </c>
      <c r="Q54" s="13">
        <f t="shared" si="1"/>
        <v>89.63963963963964</v>
      </c>
      <c r="R54" s="16">
        <f t="shared" si="2"/>
        <v>93.600000000000009</v>
      </c>
      <c r="S54" s="14">
        <f t="shared" si="3"/>
        <v>80.198019801980209</v>
      </c>
      <c r="T54" s="13">
        <f t="shared" si="4"/>
        <v>94.199999999999989</v>
      </c>
      <c r="U54" s="14">
        <f t="shared" si="5"/>
        <v>91.8</v>
      </c>
      <c r="V54" s="14">
        <f t="shared" si="6"/>
        <v>82.699999999999989</v>
      </c>
      <c r="W54" s="1">
        <f t="shared" si="7"/>
        <v>94.8</v>
      </c>
      <c r="X54" s="1" t="str">
        <f>IF(Table1[[#This Row],[World Rank]]&lt;=250,"Q1-Elite",IF(Table1[[#This Row],[World Rank]]&lt;=500,"Q2-Strong",IF(Table1[[#This Row],[World Rank]]&lt;=750,"Q3-Developing","Q4-Emerging")))</f>
        <v>Q1-Elite</v>
      </c>
      <c r="Z54" t="str">
        <v>Croatia</v>
      </c>
      <c r="AA54">
        <f t="shared" si="9"/>
        <v>2</v>
      </c>
    </row>
    <row r="55" spans="1:28" x14ac:dyDescent="0.2">
      <c r="A55" s="1">
        <v>54</v>
      </c>
      <c r="B55" s="1" t="s">
        <v>77</v>
      </c>
      <c r="C55" s="1" t="s">
        <v>48</v>
      </c>
      <c r="D55" s="1" t="s">
        <v>1124</v>
      </c>
      <c r="E55" s="1">
        <v>2</v>
      </c>
      <c r="F55" s="1">
        <v>49</v>
      </c>
      <c r="G55" s="1">
        <v>815</v>
      </c>
      <c r="H55" s="1">
        <v>38</v>
      </c>
      <c r="I55" s="1">
        <v>103</v>
      </c>
      <c r="J55" s="1">
        <v>86</v>
      </c>
      <c r="K55" s="1">
        <v>98</v>
      </c>
      <c r="L55" s="1">
        <v>76</v>
      </c>
      <c r="M55" s="1">
        <v>84.1</v>
      </c>
      <c r="N55" s="1">
        <v>46.603354000000003</v>
      </c>
      <c r="O55" s="1">
        <v>1.8883335000000001</v>
      </c>
      <c r="P55" s="14">
        <f t="shared" si="0"/>
        <v>91.5</v>
      </c>
      <c r="Q55" s="13">
        <f t="shared" si="1"/>
        <v>92.792792792792795</v>
      </c>
      <c r="R55" s="16">
        <f t="shared" si="2"/>
        <v>18.600000000000001</v>
      </c>
      <c r="S55" s="14">
        <f t="shared" si="3"/>
        <v>87.788778877887779</v>
      </c>
      <c r="T55" s="13">
        <f t="shared" si="4"/>
        <v>89.8</v>
      </c>
      <c r="U55" s="14">
        <f t="shared" si="5"/>
        <v>90.3</v>
      </c>
      <c r="V55" s="14">
        <f t="shared" si="6"/>
        <v>92.5</v>
      </c>
      <c r="W55" s="1">
        <f t="shared" si="7"/>
        <v>94.699999999999989</v>
      </c>
      <c r="X55" s="1" t="str">
        <f>IF(Table1[[#This Row],[World Rank]]&lt;=250,"Q1-Elite",IF(Table1[[#This Row],[World Rank]]&lt;=500,"Q2-Strong",IF(Table1[[#This Row],[World Rank]]&lt;=750,"Q3-Developing","Q4-Emerging")))</f>
        <v>Q1-Elite</v>
      </c>
      <c r="Z55" t="str">
        <v>Thailand</v>
      </c>
      <c r="AA55">
        <f t="shared" si="9"/>
        <v>4</v>
      </c>
    </row>
    <row r="56" spans="1:28" x14ac:dyDescent="0.2">
      <c r="A56" s="1">
        <v>55</v>
      </c>
      <c r="B56" s="1" t="s">
        <v>78</v>
      </c>
      <c r="C56" s="1" t="s">
        <v>46</v>
      </c>
      <c r="D56" s="1" t="s">
        <v>1124</v>
      </c>
      <c r="E56" s="1">
        <v>2</v>
      </c>
      <c r="F56" s="1">
        <v>35</v>
      </c>
      <c r="G56" s="1">
        <v>381</v>
      </c>
      <c r="H56" s="1">
        <v>31</v>
      </c>
      <c r="I56" s="1">
        <v>147</v>
      </c>
      <c r="J56" s="1">
        <v>130</v>
      </c>
      <c r="K56" s="1">
        <v>87</v>
      </c>
      <c r="L56" s="1">
        <v>72</v>
      </c>
      <c r="M56" s="1">
        <v>84</v>
      </c>
      <c r="N56" s="1">
        <v>46.798562400000002</v>
      </c>
      <c r="O56" s="1">
        <v>8.2319735999999999</v>
      </c>
      <c r="P56" s="14">
        <f t="shared" si="0"/>
        <v>87.1</v>
      </c>
      <c r="Q56" s="13">
        <f t="shared" si="1"/>
        <v>94.894894894894904</v>
      </c>
      <c r="R56" s="16">
        <f t="shared" si="2"/>
        <v>62</v>
      </c>
      <c r="S56" s="14">
        <f t="shared" si="3"/>
        <v>90.099009900990097</v>
      </c>
      <c r="T56" s="13">
        <f t="shared" si="4"/>
        <v>85.399999999999991</v>
      </c>
      <c r="U56" s="14">
        <f t="shared" si="5"/>
        <v>91.4</v>
      </c>
      <c r="V56" s="14">
        <f t="shared" si="6"/>
        <v>92.9</v>
      </c>
      <c r="W56" s="1">
        <f t="shared" si="7"/>
        <v>94.6</v>
      </c>
      <c r="X56" s="1" t="str">
        <f>IF(Table1[[#This Row],[World Rank]]&lt;=250,"Q1-Elite",IF(Table1[[#This Row],[World Rank]]&lt;=500,"Q2-Strong",IF(Table1[[#This Row],[World Rank]]&lt;=750,"Q3-Developing","Q4-Emerging")))</f>
        <v>Q1-Elite</v>
      </c>
      <c r="Z56" t="str">
        <v>Iceland</v>
      </c>
      <c r="AA56">
        <f t="shared" si="9"/>
        <v>1</v>
      </c>
    </row>
    <row r="57" spans="1:28" x14ac:dyDescent="0.2">
      <c r="A57" s="1">
        <v>56</v>
      </c>
      <c r="B57" s="1" t="s">
        <v>79</v>
      </c>
      <c r="C57" s="1" t="s">
        <v>15</v>
      </c>
      <c r="D57" s="1" t="s">
        <v>1120</v>
      </c>
      <c r="E57" s="1">
        <v>35</v>
      </c>
      <c r="F57" s="1">
        <v>572</v>
      </c>
      <c r="G57" s="1">
        <v>112</v>
      </c>
      <c r="H57" s="1">
        <v>106</v>
      </c>
      <c r="I57" s="1">
        <v>113</v>
      </c>
      <c r="J57" s="1">
        <v>75</v>
      </c>
      <c r="K57" s="1">
        <v>52</v>
      </c>
      <c r="L57" s="1">
        <v>26</v>
      </c>
      <c r="M57" s="1">
        <v>84</v>
      </c>
      <c r="N57" s="1">
        <v>39.783730400000003</v>
      </c>
      <c r="O57" s="1">
        <v>-100.445882</v>
      </c>
      <c r="P57" s="14">
        <f t="shared" si="0"/>
        <v>92.600000000000009</v>
      </c>
      <c r="Q57" s="13">
        <v>20</v>
      </c>
      <c r="R57" s="16">
        <f t="shared" si="2"/>
        <v>88.9</v>
      </c>
      <c r="S57" s="14">
        <f t="shared" si="3"/>
        <v>65.346534653465355</v>
      </c>
      <c r="T57" s="13">
        <f t="shared" si="4"/>
        <v>88.8</v>
      </c>
      <c r="U57" s="14">
        <f t="shared" si="5"/>
        <v>94.899999999999991</v>
      </c>
      <c r="V57" s="14">
        <f t="shared" si="6"/>
        <v>97.5</v>
      </c>
      <c r="W57" s="1">
        <f t="shared" si="7"/>
        <v>94.5</v>
      </c>
      <c r="X57" s="1" t="str">
        <f>IF(Table1[[#This Row],[World Rank]]&lt;=250,"Q1-Elite",IF(Table1[[#This Row],[World Rank]]&lt;=500,"Q2-Strong",IF(Table1[[#This Row],[World Rank]]&lt;=750,"Q3-Developing","Q4-Emerging")))</f>
        <v>Q1-Elite</v>
      </c>
      <c r="Z57" t="str">
        <v>Estonia</v>
      </c>
      <c r="AA57">
        <f t="shared" si="9"/>
        <v>1</v>
      </c>
    </row>
    <row r="58" spans="1:28" x14ac:dyDescent="0.2">
      <c r="A58" s="1">
        <v>57</v>
      </c>
      <c r="B58" s="1" t="s">
        <v>80</v>
      </c>
      <c r="C58" s="1" t="s">
        <v>81</v>
      </c>
      <c r="D58" s="1" t="s">
        <v>1121</v>
      </c>
      <c r="E58" s="1">
        <v>1</v>
      </c>
      <c r="F58" s="1">
        <v>232</v>
      </c>
      <c r="G58" s="1">
        <v>408</v>
      </c>
      <c r="H58" s="1">
        <v>180</v>
      </c>
      <c r="I58" s="1">
        <v>35</v>
      </c>
      <c r="J58" s="1">
        <v>34</v>
      </c>
      <c r="K58" s="1">
        <v>54</v>
      </c>
      <c r="L58" s="1">
        <v>40</v>
      </c>
      <c r="M58" s="1">
        <v>83.9</v>
      </c>
      <c r="N58" s="1">
        <v>-24.776108600000001</v>
      </c>
      <c r="O58" s="1">
        <v>134.755</v>
      </c>
      <c r="P58" s="14">
        <f t="shared" si="0"/>
        <v>96.7</v>
      </c>
      <c r="Q58" s="13">
        <f t="shared" si="1"/>
        <v>65.315315315315317</v>
      </c>
      <c r="R58" s="16">
        <f t="shared" si="2"/>
        <v>59.3</v>
      </c>
      <c r="S58" s="14">
        <f t="shared" si="3"/>
        <v>40.924092409240927</v>
      </c>
      <c r="T58" s="13">
        <f t="shared" si="4"/>
        <v>96.6</v>
      </c>
      <c r="U58" s="14">
        <f t="shared" si="5"/>
        <v>94.699999999999989</v>
      </c>
      <c r="V58" s="14">
        <f t="shared" si="6"/>
        <v>96.1</v>
      </c>
      <c r="W58" s="1">
        <f t="shared" si="7"/>
        <v>94.399999999999991</v>
      </c>
      <c r="X58" s="1" t="str">
        <f>IF(Table1[[#This Row],[World Rank]]&lt;=250,"Q1-Elite",IF(Table1[[#This Row],[World Rank]]&lt;=500,"Q2-Strong",IF(Table1[[#This Row],[World Rank]]&lt;=750,"Q3-Developing","Q4-Emerging")))</f>
        <v>Q1-Elite</v>
      </c>
      <c r="Z58" t="str">
        <v>Turkey</v>
      </c>
      <c r="AA58">
        <f t="shared" si="9"/>
        <v>13</v>
      </c>
    </row>
    <row r="59" spans="1:28" x14ac:dyDescent="0.2">
      <c r="A59" s="1">
        <v>58</v>
      </c>
      <c r="B59" s="1" t="s">
        <v>82</v>
      </c>
      <c r="C59" s="1" t="s">
        <v>15</v>
      </c>
      <c r="D59" s="1" t="s">
        <v>1120</v>
      </c>
      <c r="E59" s="1">
        <v>36</v>
      </c>
      <c r="F59" s="1">
        <v>95</v>
      </c>
      <c r="G59" s="1">
        <v>50</v>
      </c>
      <c r="H59" s="1">
        <v>50</v>
      </c>
      <c r="I59" s="1">
        <v>186</v>
      </c>
      <c r="J59" s="1">
        <v>125</v>
      </c>
      <c r="K59" s="1">
        <v>85</v>
      </c>
      <c r="L59" s="1">
        <v>80</v>
      </c>
      <c r="M59" s="1">
        <v>83.8</v>
      </c>
      <c r="N59" s="1">
        <v>39.783730400000003</v>
      </c>
      <c r="O59" s="1">
        <v>-100.445882</v>
      </c>
      <c r="P59" s="14">
        <f t="shared" si="0"/>
        <v>87.6</v>
      </c>
      <c r="Q59" s="13">
        <f t="shared" si="1"/>
        <v>85.885885885885884</v>
      </c>
      <c r="R59" s="16">
        <f t="shared" si="2"/>
        <v>95.1</v>
      </c>
      <c r="S59" s="14">
        <f t="shared" si="3"/>
        <v>83.828382838283829</v>
      </c>
      <c r="T59" s="13">
        <f t="shared" si="4"/>
        <v>81.5</v>
      </c>
      <c r="U59" s="14">
        <f t="shared" si="5"/>
        <v>91.600000000000009</v>
      </c>
      <c r="V59" s="14">
        <f t="shared" si="6"/>
        <v>92.100000000000009</v>
      </c>
      <c r="W59" s="1">
        <f t="shared" si="7"/>
        <v>94.3</v>
      </c>
      <c r="X59" s="1" t="str">
        <f>IF(Table1[[#This Row],[World Rank]]&lt;=250,"Q1-Elite",IF(Table1[[#This Row],[World Rank]]&lt;=500,"Q2-Strong",IF(Table1[[#This Row],[World Rank]]&lt;=750,"Q3-Developing","Q4-Emerging")))</f>
        <v>Q1-Elite</v>
      </c>
      <c r="Z59" t="str">
        <v>Slovak Republic</v>
      </c>
      <c r="AA59">
        <f t="shared" si="9"/>
        <v>1</v>
      </c>
    </row>
    <row r="60" spans="1:28" x14ac:dyDescent="0.2">
      <c r="A60" s="1">
        <v>59</v>
      </c>
      <c r="B60" s="1" t="s">
        <v>83</v>
      </c>
      <c r="C60" s="1" t="s">
        <v>15</v>
      </c>
      <c r="D60" s="1" t="s">
        <v>1120</v>
      </c>
      <c r="E60" s="1">
        <v>37</v>
      </c>
      <c r="F60" s="1">
        <v>264</v>
      </c>
      <c r="G60" s="1">
        <v>1001</v>
      </c>
      <c r="H60" s="1">
        <v>42</v>
      </c>
      <c r="I60" s="1">
        <v>133</v>
      </c>
      <c r="J60" s="1">
        <v>97</v>
      </c>
      <c r="K60" s="1">
        <v>64</v>
      </c>
      <c r="L60" s="1">
        <v>57</v>
      </c>
      <c r="M60" s="1">
        <v>83.8</v>
      </c>
      <c r="N60" s="1">
        <v>39.783730400000003</v>
      </c>
      <c r="O60" s="1">
        <v>-100.445882</v>
      </c>
      <c r="P60" s="14">
        <f t="shared" si="0"/>
        <v>90.4</v>
      </c>
      <c r="Q60" s="13">
        <f t="shared" si="1"/>
        <v>60.510510510510507</v>
      </c>
      <c r="R60" s="16">
        <f t="shared" si="2"/>
        <v>0</v>
      </c>
      <c r="S60" s="14">
        <f t="shared" si="3"/>
        <v>86.468646864686477</v>
      </c>
      <c r="T60" s="13">
        <f t="shared" si="4"/>
        <v>86.8</v>
      </c>
      <c r="U60" s="14">
        <f t="shared" si="5"/>
        <v>93.7</v>
      </c>
      <c r="V60" s="14">
        <f t="shared" si="6"/>
        <v>94.399999999999991</v>
      </c>
      <c r="W60" s="1">
        <f t="shared" si="7"/>
        <v>94.199999999999989</v>
      </c>
      <c r="X60" s="1" t="str">
        <f>IF(Table1[[#This Row],[World Rank]]&lt;=250,"Q1-Elite",IF(Table1[[#This Row],[World Rank]]&lt;=500,"Q2-Strong",IF(Table1[[#This Row],[World Rank]]&lt;=750,"Q3-Developing","Q4-Emerging")))</f>
        <v>Q1-Elite</v>
      </c>
      <c r="Z60" t="str">
        <v>Uruguay</v>
      </c>
      <c r="AA60">
        <f t="shared" si="9"/>
        <v>1</v>
      </c>
    </row>
    <row r="61" spans="1:28" x14ac:dyDescent="0.2">
      <c r="A61" s="1">
        <v>60</v>
      </c>
      <c r="B61" s="1" t="s">
        <v>84</v>
      </c>
      <c r="C61" s="1" t="s">
        <v>85</v>
      </c>
      <c r="D61" s="1" t="s">
        <v>1125</v>
      </c>
      <c r="E61" s="1">
        <v>1</v>
      </c>
      <c r="F61" s="1">
        <v>667</v>
      </c>
      <c r="G61" s="1">
        <v>20</v>
      </c>
      <c r="H61" s="1">
        <v>304</v>
      </c>
      <c r="I61" s="1">
        <v>19</v>
      </c>
      <c r="J61" s="1">
        <v>39</v>
      </c>
      <c r="K61" s="1">
        <v>146</v>
      </c>
      <c r="L61" s="1">
        <v>129</v>
      </c>
      <c r="M61" s="1">
        <v>83.7</v>
      </c>
      <c r="N61" s="1">
        <v>36.638392000000003</v>
      </c>
      <c r="O61" s="1">
        <v>127.69611879999999</v>
      </c>
      <c r="P61" s="14">
        <f t="shared" si="0"/>
        <v>96.2</v>
      </c>
      <c r="Q61" s="13">
        <v>20</v>
      </c>
      <c r="R61" s="16">
        <f>(1001 - G61) / 1000 * 100</f>
        <v>98.1</v>
      </c>
      <c r="S61" s="14">
        <f t="shared" si="3"/>
        <v>0</v>
      </c>
      <c r="T61" s="13">
        <f t="shared" si="4"/>
        <v>98.2</v>
      </c>
      <c r="U61" s="14">
        <f t="shared" si="5"/>
        <v>85.5</v>
      </c>
      <c r="V61" s="14">
        <f t="shared" si="6"/>
        <v>87.2</v>
      </c>
      <c r="W61" s="1">
        <f t="shared" si="7"/>
        <v>94.1</v>
      </c>
      <c r="X61" s="1" t="str">
        <f>IF(Table1[[#This Row],[World Rank]]&lt;=250,"Q1-Elite",IF(Table1[[#This Row],[World Rank]]&lt;=500,"Q2-Strong",IF(Table1[[#This Row],[World Rank]]&lt;=750,"Q3-Developing","Q4-Emerging")))</f>
        <v>Q1-Elite</v>
      </c>
      <c r="Z61" t="str">
        <v>Lithuania</v>
      </c>
      <c r="AA61">
        <f t="shared" si="9"/>
        <v>1</v>
      </c>
      <c r="AB61">
        <f>COUNTA(Z11:Z71)</f>
        <v>61</v>
      </c>
    </row>
    <row r="62" spans="1:28" x14ac:dyDescent="0.2">
      <c r="A62" s="1">
        <v>61</v>
      </c>
      <c r="B62" s="1" t="s">
        <v>86</v>
      </c>
      <c r="C62" s="1" t="s">
        <v>66</v>
      </c>
      <c r="D62" s="1" t="s">
        <v>1125</v>
      </c>
      <c r="E62" s="1">
        <v>2</v>
      </c>
      <c r="F62" s="1">
        <v>19</v>
      </c>
      <c r="G62" s="1">
        <v>400</v>
      </c>
      <c r="H62" s="1">
        <v>15</v>
      </c>
      <c r="I62" s="1">
        <v>177</v>
      </c>
      <c r="J62" s="1">
        <v>143</v>
      </c>
      <c r="K62" s="1">
        <v>122</v>
      </c>
      <c r="L62" s="1">
        <v>405</v>
      </c>
      <c r="M62" s="1">
        <v>83.6</v>
      </c>
      <c r="N62" s="1">
        <v>39.3181528</v>
      </c>
      <c r="O62" s="1">
        <v>-79.810901400000006</v>
      </c>
      <c r="P62" s="14">
        <f t="shared" si="0"/>
        <v>85.8</v>
      </c>
      <c r="Q62" s="13">
        <f t="shared" si="1"/>
        <v>97.297297297297305</v>
      </c>
      <c r="R62" s="16">
        <f t="shared" si="2"/>
        <v>60.099999999999994</v>
      </c>
      <c r="S62" s="14">
        <f t="shared" si="3"/>
        <v>95.379537953795378</v>
      </c>
      <c r="T62" s="13">
        <f t="shared" si="4"/>
        <v>82.399999999999991</v>
      </c>
      <c r="U62" s="14">
        <f t="shared" si="5"/>
        <v>87.9</v>
      </c>
      <c r="V62" s="14">
        <f t="shared" si="6"/>
        <v>59.599999999999994</v>
      </c>
      <c r="W62" s="1">
        <f t="shared" si="7"/>
        <v>94</v>
      </c>
      <c r="X62" s="1" t="str">
        <f>IF(Table1[[#This Row],[World Rank]]&lt;=250,"Q1-Elite",IF(Table1[[#This Row],[World Rank]]&lt;=500,"Q2-Strong",IF(Table1[[#This Row],[World Rank]]&lt;=750,"Q3-Developing","Q4-Emerging")))</f>
        <v>Q1-Elite</v>
      </c>
      <c r="Z62" t="str">
        <v>Colombia</v>
      </c>
      <c r="AA62">
        <f t="shared" si="9"/>
        <v>3</v>
      </c>
    </row>
    <row r="63" spans="1:28" x14ac:dyDescent="0.2">
      <c r="A63" s="1">
        <v>62</v>
      </c>
      <c r="B63" s="1" t="s">
        <v>87</v>
      </c>
      <c r="C63" s="1" t="s">
        <v>15</v>
      </c>
      <c r="D63" s="1" t="s">
        <v>1120</v>
      </c>
      <c r="E63" s="1">
        <v>38</v>
      </c>
      <c r="F63" s="1">
        <v>472</v>
      </c>
      <c r="G63" s="1">
        <v>485</v>
      </c>
      <c r="H63" s="1">
        <v>113</v>
      </c>
      <c r="I63" s="1">
        <v>40</v>
      </c>
      <c r="J63" s="1">
        <v>44</v>
      </c>
      <c r="K63" s="1">
        <v>90</v>
      </c>
      <c r="L63" s="1">
        <v>43</v>
      </c>
      <c r="M63" s="1">
        <v>83.6</v>
      </c>
      <c r="N63" s="1">
        <v>39.783730400000003</v>
      </c>
      <c r="O63" s="1">
        <v>-100.445882</v>
      </c>
      <c r="P63" s="14">
        <f t="shared" si="0"/>
        <v>95.7</v>
      </c>
      <c r="Q63" s="13">
        <f t="shared" si="1"/>
        <v>29.27927927927928</v>
      </c>
      <c r="R63" s="16">
        <f t="shared" si="2"/>
        <v>51.6</v>
      </c>
      <c r="S63" s="14">
        <f t="shared" si="3"/>
        <v>63.036303630363037</v>
      </c>
      <c r="T63" s="13">
        <f t="shared" si="4"/>
        <v>96.1</v>
      </c>
      <c r="U63" s="14">
        <f t="shared" si="5"/>
        <v>91.100000000000009</v>
      </c>
      <c r="V63" s="14">
        <f t="shared" si="6"/>
        <v>95.8</v>
      </c>
      <c r="W63" s="1">
        <f t="shared" si="7"/>
        <v>93.899999999999991</v>
      </c>
      <c r="X63" s="1" t="str">
        <f>IF(Table1[[#This Row],[World Rank]]&lt;=250,"Q1-Elite",IF(Table1[[#This Row],[World Rank]]&lt;=500,"Q2-Strong",IF(Table1[[#This Row],[World Rank]]&lt;=750,"Q3-Developing","Q4-Emerging")))</f>
        <v>Q1-Elite</v>
      </c>
      <c r="Z63" t="str">
        <v>Uganda</v>
      </c>
      <c r="AA63">
        <f t="shared" si="9"/>
        <v>1</v>
      </c>
    </row>
    <row r="64" spans="1:28" x14ac:dyDescent="0.2">
      <c r="A64" s="1">
        <v>63</v>
      </c>
      <c r="B64" s="1" t="s">
        <v>88</v>
      </c>
      <c r="C64" s="1" t="s">
        <v>15</v>
      </c>
      <c r="D64" s="1" t="s">
        <v>1120</v>
      </c>
      <c r="E64" s="1">
        <v>39</v>
      </c>
      <c r="F64" s="1">
        <v>96</v>
      </c>
      <c r="G64" s="1">
        <v>83</v>
      </c>
      <c r="H64" s="1">
        <v>58</v>
      </c>
      <c r="I64" s="1">
        <v>94</v>
      </c>
      <c r="J64" s="1">
        <v>93</v>
      </c>
      <c r="K64" s="1">
        <v>106</v>
      </c>
      <c r="L64" s="1">
        <v>129</v>
      </c>
      <c r="M64" s="1">
        <v>83.5</v>
      </c>
      <c r="N64" s="1">
        <v>39.783730400000003</v>
      </c>
      <c r="O64" s="1">
        <v>-100.445882</v>
      </c>
      <c r="P64" s="14">
        <f t="shared" si="0"/>
        <v>90.8</v>
      </c>
      <c r="Q64" s="13">
        <f t="shared" si="1"/>
        <v>85.735735735735744</v>
      </c>
      <c r="R64" s="16">
        <f t="shared" si="2"/>
        <v>91.8</v>
      </c>
      <c r="S64" s="14">
        <f t="shared" si="3"/>
        <v>81.188118811881196</v>
      </c>
      <c r="T64" s="13">
        <f t="shared" si="4"/>
        <v>90.7</v>
      </c>
      <c r="U64" s="14">
        <f t="shared" si="5"/>
        <v>89.5</v>
      </c>
      <c r="V64" s="14">
        <f t="shared" si="6"/>
        <v>87.2</v>
      </c>
      <c r="W64" s="1">
        <f t="shared" si="7"/>
        <v>93.8</v>
      </c>
      <c r="X64" s="1" t="str">
        <f>IF(Table1[[#This Row],[World Rank]]&lt;=250,"Q1-Elite",IF(Table1[[#This Row],[World Rank]]&lt;=500,"Q2-Strong",IF(Table1[[#This Row],[World Rank]]&lt;=750,"Q3-Developing","Q4-Emerging")))</f>
        <v>Q1-Elite</v>
      </c>
      <c r="Z64" t="str">
        <v>Lebanon</v>
      </c>
      <c r="AA64">
        <f t="shared" si="9"/>
        <v>1</v>
      </c>
    </row>
    <row r="65" spans="1:27" x14ac:dyDescent="0.2">
      <c r="A65" s="1">
        <v>64</v>
      </c>
      <c r="B65" s="1" t="s">
        <v>89</v>
      </c>
      <c r="C65" s="1" t="s">
        <v>15</v>
      </c>
      <c r="D65" s="1" t="s">
        <v>1120</v>
      </c>
      <c r="E65" s="1">
        <v>40</v>
      </c>
      <c r="F65" s="1">
        <v>148</v>
      </c>
      <c r="G65" s="1">
        <v>91</v>
      </c>
      <c r="H65" s="1">
        <v>140</v>
      </c>
      <c r="I65" s="1">
        <v>95</v>
      </c>
      <c r="J65" s="1">
        <v>63</v>
      </c>
      <c r="K65" s="1">
        <v>57</v>
      </c>
      <c r="L65" s="1">
        <v>45</v>
      </c>
      <c r="M65" s="1">
        <v>83.4</v>
      </c>
      <c r="N65" s="1">
        <v>39.783730400000003</v>
      </c>
      <c r="O65" s="1">
        <v>-100.445882</v>
      </c>
      <c r="P65" s="14">
        <f t="shared" si="0"/>
        <v>93.8</v>
      </c>
      <c r="Q65" s="13">
        <f t="shared" si="1"/>
        <v>77.927927927927925</v>
      </c>
      <c r="R65" s="16">
        <f t="shared" si="2"/>
        <v>91</v>
      </c>
      <c r="S65" s="14">
        <f t="shared" si="3"/>
        <v>54.125412541254128</v>
      </c>
      <c r="T65" s="13">
        <f t="shared" si="4"/>
        <v>90.600000000000009</v>
      </c>
      <c r="U65" s="14">
        <f t="shared" si="5"/>
        <v>94.399999999999991</v>
      </c>
      <c r="V65" s="14">
        <f t="shared" si="6"/>
        <v>95.6</v>
      </c>
      <c r="W65" s="1">
        <f t="shared" si="7"/>
        <v>93.7</v>
      </c>
      <c r="X65" s="1" t="str">
        <f>IF(Table1[[#This Row],[World Rank]]&lt;=250,"Q1-Elite",IF(Table1[[#This Row],[World Rank]]&lt;=500,"Q2-Strong",IF(Table1[[#This Row],[World Rank]]&lt;=750,"Q3-Developing","Q4-Emerging")))</f>
        <v>Q1-Elite</v>
      </c>
      <c r="Z65" t="str">
        <v>Pakistan</v>
      </c>
      <c r="AA65">
        <f t="shared" si="9"/>
        <v>3</v>
      </c>
    </row>
    <row r="66" spans="1:27" x14ac:dyDescent="0.2">
      <c r="A66" s="1">
        <v>65</v>
      </c>
      <c r="B66" s="1" t="s">
        <v>90</v>
      </c>
      <c r="C66" s="1" t="s">
        <v>19</v>
      </c>
      <c r="D66" s="1" t="s">
        <v>1124</v>
      </c>
      <c r="E66" s="1">
        <v>7</v>
      </c>
      <c r="F66" s="1">
        <v>186</v>
      </c>
      <c r="G66" s="1">
        <v>296</v>
      </c>
      <c r="H66" s="1">
        <v>48</v>
      </c>
      <c r="I66" s="1">
        <v>126</v>
      </c>
      <c r="J66" s="1">
        <v>100</v>
      </c>
      <c r="K66" s="1">
        <v>67</v>
      </c>
      <c r="L66" s="1">
        <v>85</v>
      </c>
      <c r="M66" s="1">
        <v>83.4</v>
      </c>
      <c r="N66" s="1">
        <v>54.702354499999998</v>
      </c>
      <c r="O66" s="1">
        <v>-3.2765753000000002</v>
      </c>
      <c r="P66" s="14">
        <f t="shared" ref="P66:P129" si="10">((1001 - J66) / 1000) * 100</f>
        <v>90.100000000000009</v>
      </c>
      <c r="Q66" s="13">
        <f t="shared" ref="Q66:Q129" si="11">((667 - F66) / 666) * 100</f>
        <v>72.222222222222214</v>
      </c>
      <c r="R66" s="16">
        <f t="shared" ref="R66:R129" si="12">(1001 - G66) / 1000 * 100</f>
        <v>70.5</v>
      </c>
      <c r="S66" s="14">
        <f t="shared" ref="S66:S129" si="13">(304 - H66) / 303 * 100</f>
        <v>84.488448844884488</v>
      </c>
      <c r="T66" s="13">
        <f t="shared" ref="T66:T129" si="14">(1001 - I66) / 1000 * 100</f>
        <v>87.5</v>
      </c>
      <c r="U66" s="14">
        <f t="shared" ref="U66:U129" si="15">(1001 - K66) / 1000 * 100</f>
        <v>93.4</v>
      </c>
      <c r="V66" s="14">
        <f t="shared" ref="V66:V129" si="16">(1001 - L66) / 1000 * 100</f>
        <v>91.600000000000009</v>
      </c>
      <c r="W66" s="1">
        <f t="shared" ref="W66:W129" si="17">(1001 - A66) / 1000 * 100</f>
        <v>93.600000000000009</v>
      </c>
      <c r="X66" s="1" t="str">
        <f>IF(Table1[[#This Row],[World Rank]]&lt;=250,"Q1-Elite",IF(Table1[[#This Row],[World Rank]]&lt;=500,"Q2-Strong",IF(Table1[[#This Row],[World Rank]]&lt;=750,"Q3-Developing","Q4-Emerging")))</f>
        <v>Q1-Elite</v>
      </c>
      <c r="Z66" t="str">
        <v>Romania</v>
      </c>
      <c r="AA66">
        <f t="shared" si="9"/>
        <v>3</v>
      </c>
    </row>
    <row r="67" spans="1:27" x14ac:dyDescent="0.2">
      <c r="A67" s="1">
        <v>66</v>
      </c>
      <c r="B67" s="1" t="s">
        <v>91</v>
      </c>
      <c r="C67" s="1" t="s">
        <v>15</v>
      </c>
      <c r="D67" s="1" t="s">
        <v>1120</v>
      </c>
      <c r="E67" s="1">
        <v>41</v>
      </c>
      <c r="F67" s="1">
        <v>33</v>
      </c>
      <c r="G67" s="1">
        <v>1001</v>
      </c>
      <c r="H67" s="1">
        <v>39</v>
      </c>
      <c r="I67" s="1">
        <v>244</v>
      </c>
      <c r="J67" s="1">
        <v>151</v>
      </c>
      <c r="K67" s="1">
        <v>34</v>
      </c>
      <c r="L67" s="1">
        <v>187</v>
      </c>
      <c r="M67" s="1">
        <v>83.3</v>
      </c>
      <c r="N67" s="1">
        <v>39.783730400000003</v>
      </c>
      <c r="O67" s="1">
        <v>-100.445882</v>
      </c>
      <c r="P67" s="14">
        <f t="shared" si="10"/>
        <v>85</v>
      </c>
      <c r="Q67" s="13">
        <f t="shared" si="11"/>
        <v>95.195195195195197</v>
      </c>
      <c r="R67" s="16">
        <f t="shared" si="12"/>
        <v>0</v>
      </c>
      <c r="S67" s="14">
        <f t="shared" si="13"/>
        <v>87.458745874587464</v>
      </c>
      <c r="T67" s="13">
        <f t="shared" si="14"/>
        <v>75.7</v>
      </c>
      <c r="U67" s="14">
        <f t="shared" si="15"/>
        <v>96.7</v>
      </c>
      <c r="V67" s="14">
        <f t="shared" si="16"/>
        <v>81.399999999999991</v>
      </c>
      <c r="W67" s="1">
        <f t="shared" si="17"/>
        <v>93.5</v>
      </c>
      <c r="X67" s="1" t="str">
        <f>IF(Table1[[#This Row],[World Rank]]&lt;=250,"Q1-Elite",IF(Table1[[#This Row],[World Rank]]&lt;=500,"Q2-Strong",IF(Table1[[#This Row],[World Rank]]&lt;=750,"Q3-Developing","Q4-Emerging")))</f>
        <v>Q1-Elite</v>
      </c>
      <c r="Z67" t="str">
        <v>Bulgaria</v>
      </c>
      <c r="AA67">
        <f t="shared" si="9"/>
        <v>1</v>
      </c>
    </row>
    <row r="68" spans="1:27" x14ac:dyDescent="0.2">
      <c r="A68" s="1">
        <v>67</v>
      </c>
      <c r="B68" s="1" t="s">
        <v>92</v>
      </c>
      <c r="C68" s="1" t="s">
        <v>93</v>
      </c>
      <c r="D68" s="1" t="s">
        <v>1124</v>
      </c>
      <c r="E68" s="1">
        <v>1</v>
      </c>
      <c r="F68" s="1">
        <v>117</v>
      </c>
      <c r="G68" s="1">
        <v>486</v>
      </c>
      <c r="H68" s="1">
        <v>34</v>
      </c>
      <c r="I68" s="1">
        <v>61</v>
      </c>
      <c r="J68" s="1">
        <v>103</v>
      </c>
      <c r="K68" s="1">
        <v>195</v>
      </c>
      <c r="L68" s="1">
        <v>71</v>
      </c>
      <c r="M68" s="1">
        <v>83.2</v>
      </c>
      <c r="N68" s="1">
        <v>42.638426099999997</v>
      </c>
      <c r="O68" s="1">
        <v>12.674296999999999</v>
      </c>
      <c r="P68" s="14">
        <f t="shared" si="10"/>
        <v>89.8</v>
      </c>
      <c r="Q68" s="13">
        <f t="shared" si="11"/>
        <v>82.582582582582589</v>
      </c>
      <c r="R68" s="16">
        <f t="shared" si="12"/>
        <v>51.5</v>
      </c>
      <c r="S68" s="14">
        <f t="shared" si="13"/>
        <v>89.10891089108911</v>
      </c>
      <c r="T68" s="13">
        <f t="shared" si="14"/>
        <v>94</v>
      </c>
      <c r="U68" s="14">
        <f t="shared" si="15"/>
        <v>80.600000000000009</v>
      </c>
      <c r="V68" s="14">
        <f t="shared" si="16"/>
        <v>93</v>
      </c>
      <c r="W68" s="1">
        <f t="shared" si="17"/>
        <v>93.4</v>
      </c>
      <c r="X68" s="1" t="str">
        <f>IF(Table1[[#This Row],[World Rank]]&lt;=250,"Q1-Elite",IF(Table1[[#This Row],[World Rank]]&lt;=500,"Q2-Strong",IF(Table1[[#This Row],[World Rank]]&lt;=750,"Q3-Developing","Q4-Emerging")))</f>
        <v>Q1-Elite</v>
      </c>
      <c r="Z68" t="str">
        <v>Cyprus</v>
      </c>
      <c r="AA68">
        <f t="shared" si="9"/>
        <v>1</v>
      </c>
    </row>
    <row r="69" spans="1:27" x14ac:dyDescent="0.2">
      <c r="A69" s="1">
        <v>68</v>
      </c>
      <c r="B69" s="1" t="s">
        <v>94</v>
      </c>
      <c r="C69" s="1" t="s">
        <v>19</v>
      </c>
      <c r="D69" s="1" t="s">
        <v>1124</v>
      </c>
      <c r="E69" s="1">
        <v>8</v>
      </c>
      <c r="F69" s="1">
        <v>43</v>
      </c>
      <c r="G69" s="1">
        <v>341</v>
      </c>
      <c r="H69" s="1">
        <v>110</v>
      </c>
      <c r="I69" s="1">
        <v>88</v>
      </c>
      <c r="J69" s="1">
        <v>65</v>
      </c>
      <c r="K69" s="1">
        <v>79</v>
      </c>
      <c r="L69" s="1">
        <v>72</v>
      </c>
      <c r="M69" s="1">
        <v>83.2</v>
      </c>
      <c r="N69" s="1">
        <v>54.702354499999998</v>
      </c>
      <c r="O69" s="1">
        <v>-3.2765753000000002</v>
      </c>
      <c r="P69" s="14">
        <f t="shared" si="10"/>
        <v>93.600000000000009</v>
      </c>
      <c r="Q69" s="13">
        <f t="shared" si="11"/>
        <v>93.693693693693689</v>
      </c>
      <c r="R69" s="16">
        <f t="shared" si="12"/>
        <v>66</v>
      </c>
      <c r="S69" s="14">
        <f t="shared" si="13"/>
        <v>64.026402640264024</v>
      </c>
      <c r="T69" s="13">
        <f t="shared" si="14"/>
        <v>91.3</v>
      </c>
      <c r="U69" s="14">
        <f t="shared" si="15"/>
        <v>92.2</v>
      </c>
      <c r="V69" s="14">
        <f t="shared" si="16"/>
        <v>92.9</v>
      </c>
      <c r="W69" s="1">
        <f t="shared" si="17"/>
        <v>93.300000000000011</v>
      </c>
      <c r="X69" s="1" t="str">
        <f>IF(Table1[[#This Row],[World Rank]]&lt;=250,"Q1-Elite",IF(Table1[[#This Row],[World Rank]]&lt;=500,"Q2-Strong",IF(Table1[[#This Row],[World Rank]]&lt;=750,"Q3-Developing","Q4-Emerging")))</f>
        <v>Q1-Elite</v>
      </c>
      <c r="Z69" t="str">
        <v>Tunisia</v>
      </c>
      <c r="AA69">
        <f t="shared" si="9"/>
        <v>1</v>
      </c>
    </row>
    <row r="70" spans="1:27" x14ac:dyDescent="0.2">
      <c r="A70" s="1">
        <v>69</v>
      </c>
      <c r="B70" s="1" t="s">
        <v>95</v>
      </c>
      <c r="C70" s="1" t="s">
        <v>46</v>
      </c>
      <c r="D70" s="1" t="s">
        <v>1124</v>
      </c>
      <c r="E70" s="1">
        <v>3</v>
      </c>
      <c r="F70" s="1">
        <v>267</v>
      </c>
      <c r="G70" s="1">
        <v>771</v>
      </c>
      <c r="H70" s="1">
        <v>108</v>
      </c>
      <c r="I70" s="1">
        <v>80</v>
      </c>
      <c r="J70" s="1">
        <v>70</v>
      </c>
      <c r="K70" s="1">
        <v>49</v>
      </c>
      <c r="L70" s="1">
        <v>51</v>
      </c>
      <c r="M70" s="1">
        <v>83.1</v>
      </c>
      <c r="N70" s="1">
        <v>46.798562400000002</v>
      </c>
      <c r="O70" s="1">
        <v>8.2319735999999999</v>
      </c>
      <c r="P70" s="14">
        <f t="shared" si="10"/>
        <v>93.100000000000009</v>
      </c>
      <c r="Q70" s="13">
        <f t="shared" si="11"/>
        <v>60.06006006006006</v>
      </c>
      <c r="R70" s="16">
        <f t="shared" si="12"/>
        <v>23</v>
      </c>
      <c r="S70" s="14">
        <f t="shared" si="13"/>
        <v>64.686468646864682</v>
      </c>
      <c r="T70" s="13">
        <f t="shared" si="14"/>
        <v>92.100000000000009</v>
      </c>
      <c r="U70" s="14">
        <f t="shared" si="15"/>
        <v>95.199999999999989</v>
      </c>
      <c r="V70" s="14">
        <f t="shared" si="16"/>
        <v>95</v>
      </c>
      <c r="W70" s="1">
        <f t="shared" si="17"/>
        <v>93.2</v>
      </c>
      <c r="X70" s="1" t="str">
        <f>IF(Table1[[#This Row],[World Rank]]&lt;=250,"Q1-Elite",IF(Table1[[#This Row],[World Rank]]&lt;=500,"Q2-Strong",IF(Table1[[#This Row],[World Rank]]&lt;=750,"Q3-Developing","Q4-Emerging")))</f>
        <v>Q1-Elite</v>
      </c>
      <c r="Z70" t="str">
        <v>Nigeria</v>
      </c>
      <c r="AA70">
        <f t="shared" si="9"/>
        <v>1</v>
      </c>
    </row>
    <row r="71" spans="1:27" x14ac:dyDescent="0.2">
      <c r="A71" s="1">
        <v>70</v>
      </c>
      <c r="B71" s="1" t="s">
        <v>96</v>
      </c>
      <c r="C71" s="1" t="s">
        <v>15</v>
      </c>
      <c r="D71" s="1" t="s">
        <v>1120</v>
      </c>
      <c r="E71" s="1">
        <v>42</v>
      </c>
      <c r="F71" s="1">
        <v>149</v>
      </c>
      <c r="G71" s="1">
        <v>596</v>
      </c>
      <c r="H71" s="1">
        <v>25</v>
      </c>
      <c r="I71" s="1">
        <v>229</v>
      </c>
      <c r="J71" s="1">
        <v>146</v>
      </c>
      <c r="K71" s="1">
        <v>80</v>
      </c>
      <c r="L71" s="1">
        <v>63</v>
      </c>
      <c r="M71" s="1">
        <v>83</v>
      </c>
      <c r="N71" s="1">
        <v>39.783730400000003</v>
      </c>
      <c r="O71" s="1">
        <v>-100.445882</v>
      </c>
      <c r="P71" s="14">
        <f t="shared" si="10"/>
        <v>85.5</v>
      </c>
      <c r="Q71" s="13">
        <f t="shared" si="11"/>
        <v>77.777777777777786</v>
      </c>
      <c r="R71" s="16">
        <f t="shared" si="12"/>
        <v>40.5</v>
      </c>
      <c r="S71" s="14">
        <f t="shared" si="13"/>
        <v>92.079207920792086</v>
      </c>
      <c r="T71" s="13">
        <f t="shared" si="14"/>
        <v>77.2</v>
      </c>
      <c r="U71" s="14">
        <f t="shared" si="15"/>
        <v>92.100000000000009</v>
      </c>
      <c r="V71" s="14">
        <f t="shared" si="16"/>
        <v>93.8</v>
      </c>
      <c r="W71" s="1">
        <f t="shared" si="17"/>
        <v>93.100000000000009</v>
      </c>
      <c r="X71" s="1" t="str">
        <f>IF(Table1[[#This Row],[World Rank]]&lt;=250,"Q1-Elite",IF(Table1[[#This Row],[World Rank]]&lt;=500,"Q2-Strong",IF(Table1[[#This Row],[World Rank]]&lt;=750,"Q3-Developing","Q4-Emerging")))</f>
        <v>Q1-Elite</v>
      </c>
      <c r="Z71" t="str">
        <v>Macau</v>
      </c>
      <c r="AA71">
        <f t="shared" si="9"/>
        <v>1</v>
      </c>
    </row>
    <row r="72" spans="1:27" x14ac:dyDescent="0.2">
      <c r="A72" s="1">
        <v>71</v>
      </c>
      <c r="B72" s="1" t="s">
        <v>97</v>
      </c>
      <c r="C72" s="1" t="s">
        <v>81</v>
      </c>
      <c r="D72" s="1" t="s">
        <v>1121</v>
      </c>
      <c r="E72" s="1">
        <v>2</v>
      </c>
      <c r="F72" s="1">
        <v>231</v>
      </c>
      <c r="G72" s="1">
        <v>590</v>
      </c>
      <c r="H72" s="1">
        <v>208</v>
      </c>
      <c r="I72" s="1">
        <v>27</v>
      </c>
      <c r="J72" s="1">
        <v>33</v>
      </c>
      <c r="K72" s="1">
        <v>71</v>
      </c>
      <c r="L72" s="1">
        <v>46</v>
      </c>
      <c r="M72" s="1">
        <v>83</v>
      </c>
      <c r="N72" s="1">
        <v>-24.776108600000001</v>
      </c>
      <c r="O72" s="1">
        <v>134.755</v>
      </c>
      <c r="P72" s="14">
        <f t="shared" si="10"/>
        <v>96.8</v>
      </c>
      <c r="Q72" s="13">
        <f t="shared" si="11"/>
        <v>65.465465465465471</v>
      </c>
      <c r="R72" s="16">
        <f t="shared" si="12"/>
        <v>41.099999999999994</v>
      </c>
      <c r="S72" s="14">
        <f t="shared" si="13"/>
        <v>31.683168316831683</v>
      </c>
      <c r="T72" s="13">
        <f t="shared" si="14"/>
        <v>97.399999999999991</v>
      </c>
      <c r="U72" s="14">
        <f t="shared" si="15"/>
        <v>93</v>
      </c>
      <c r="V72" s="14">
        <f t="shared" si="16"/>
        <v>95.5</v>
      </c>
      <c r="W72" s="1">
        <f t="shared" si="17"/>
        <v>93</v>
      </c>
      <c r="X72" s="1" t="str">
        <f>IF(Table1[[#This Row],[World Rank]]&lt;=250,"Q1-Elite",IF(Table1[[#This Row],[World Rank]]&lt;=500,"Q2-Strong",IF(Table1[[#This Row],[World Rank]]&lt;=750,"Q3-Developing","Q4-Emerging")))</f>
        <v>Q1-Elite</v>
      </c>
      <c r="Z72">
        <v>0</v>
      </c>
      <c r="AA72">
        <f>SUM(AA11:AA71)</f>
        <v>1000</v>
      </c>
    </row>
    <row r="73" spans="1:27" x14ac:dyDescent="0.2">
      <c r="A73" s="1">
        <v>72</v>
      </c>
      <c r="B73" s="1" t="s">
        <v>98</v>
      </c>
      <c r="C73" s="1" t="s">
        <v>99</v>
      </c>
      <c r="D73" s="1" t="s">
        <v>1124</v>
      </c>
      <c r="E73" s="1">
        <v>1</v>
      </c>
      <c r="F73" s="1">
        <v>122</v>
      </c>
      <c r="G73" s="1">
        <v>352</v>
      </c>
      <c r="H73" s="1">
        <v>137</v>
      </c>
      <c r="I73" s="1">
        <v>58</v>
      </c>
      <c r="J73" s="1">
        <v>43</v>
      </c>
      <c r="K73" s="1">
        <v>56</v>
      </c>
      <c r="L73" s="1">
        <v>66</v>
      </c>
      <c r="M73" s="1">
        <v>82.9</v>
      </c>
      <c r="N73" s="1">
        <v>52.243497900000001</v>
      </c>
      <c r="O73" s="1">
        <v>5.6343227000000002</v>
      </c>
      <c r="P73" s="14">
        <f t="shared" si="10"/>
        <v>95.8</v>
      </c>
      <c r="Q73" s="13">
        <f t="shared" si="11"/>
        <v>81.831831831831835</v>
      </c>
      <c r="R73" s="16">
        <f t="shared" si="12"/>
        <v>64.900000000000006</v>
      </c>
      <c r="S73" s="14">
        <f t="shared" si="13"/>
        <v>55.115511551155116</v>
      </c>
      <c r="T73" s="13">
        <f t="shared" si="14"/>
        <v>94.3</v>
      </c>
      <c r="U73" s="14">
        <f t="shared" si="15"/>
        <v>94.5</v>
      </c>
      <c r="V73" s="14">
        <f t="shared" si="16"/>
        <v>93.5</v>
      </c>
      <c r="W73" s="1">
        <f t="shared" si="17"/>
        <v>92.9</v>
      </c>
      <c r="X73" s="1" t="str">
        <f>IF(Table1[[#This Row],[World Rank]]&lt;=250,"Q1-Elite",IF(Table1[[#This Row],[World Rank]]&lt;=500,"Q2-Strong",IF(Table1[[#This Row],[World Rank]]&lt;=750,"Q3-Developing","Q4-Emerging")))</f>
        <v>Q1-Elite</v>
      </c>
    </row>
    <row r="74" spans="1:27" x14ac:dyDescent="0.2">
      <c r="A74" s="1">
        <v>73</v>
      </c>
      <c r="B74" s="1" t="s">
        <v>100</v>
      </c>
      <c r="C74" s="1" t="s">
        <v>15</v>
      </c>
      <c r="D74" s="1" t="s">
        <v>1120</v>
      </c>
      <c r="E74" s="1">
        <v>43</v>
      </c>
      <c r="F74" s="1">
        <v>187</v>
      </c>
      <c r="G74" s="1">
        <v>233</v>
      </c>
      <c r="H74" s="1">
        <v>304</v>
      </c>
      <c r="I74" s="1">
        <v>34</v>
      </c>
      <c r="J74" s="1">
        <v>25</v>
      </c>
      <c r="K74" s="1">
        <v>47</v>
      </c>
      <c r="L74" s="1">
        <v>18</v>
      </c>
      <c r="M74" s="1">
        <v>82.9</v>
      </c>
      <c r="N74" s="1">
        <v>39.783730400000003</v>
      </c>
      <c r="O74" s="1">
        <v>-100.445882</v>
      </c>
      <c r="P74" s="14">
        <f t="shared" si="10"/>
        <v>97.6</v>
      </c>
      <c r="Q74" s="13">
        <f t="shared" si="11"/>
        <v>72.072072072072075</v>
      </c>
      <c r="R74" s="16">
        <f t="shared" si="12"/>
        <v>76.8</v>
      </c>
      <c r="S74" s="14">
        <f t="shared" si="13"/>
        <v>0</v>
      </c>
      <c r="T74" s="13">
        <f t="shared" si="14"/>
        <v>96.7</v>
      </c>
      <c r="U74" s="14">
        <f t="shared" si="15"/>
        <v>95.399999999999991</v>
      </c>
      <c r="V74" s="14">
        <f t="shared" si="16"/>
        <v>98.3</v>
      </c>
      <c r="W74" s="1">
        <f t="shared" si="17"/>
        <v>92.800000000000011</v>
      </c>
      <c r="X74" s="1" t="str">
        <f>IF(Table1[[#This Row],[World Rank]]&lt;=250,"Q1-Elite",IF(Table1[[#This Row],[World Rank]]&lt;=500,"Q2-Strong",IF(Table1[[#This Row],[World Rank]]&lt;=750,"Q3-Developing","Q4-Emerging")))</f>
        <v>Q1-Elite</v>
      </c>
    </row>
    <row r="75" spans="1:27" x14ac:dyDescent="0.2">
      <c r="A75" s="1">
        <v>74</v>
      </c>
      <c r="B75" s="1" t="s">
        <v>101</v>
      </c>
      <c r="C75" s="1" t="s">
        <v>81</v>
      </c>
      <c r="D75" s="1" t="s">
        <v>1121</v>
      </c>
      <c r="E75" s="1">
        <v>3</v>
      </c>
      <c r="F75" s="1">
        <v>310</v>
      </c>
      <c r="G75" s="1">
        <v>541</v>
      </c>
      <c r="H75" s="1">
        <v>181</v>
      </c>
      <c r="I75" s="1">
        <v>46</v>
      </c>
      <c r="J75" s="1">
        <v>51</v>
      </c>
      <c r="K75" s="1">
        <v>63</v>
      </c>
      <c r="L75" s="1">
        <v>53</v>
      </c>
      <c r="M75" s="1">
        <v>82.8</v>
      </c>
      <c r="N75" s="1">
        <v>-24.776108600000001</v>
      </c>
      <c r="O75" s="1">
        <v>134.755</v>
      </c>
      <c r="P75" s="14">
        <f t="shared" si="10"/>
        <v>95</v>
      </c>
      <c r="Q75" s="13">
        <f t="shared" si="11"/>
        <v>53.603603603603602</v>
      </c>
      <c r="R75" s="16">
        <f t="shared" si="12"/>
        <v>46</v>
      </c>
      <c r="S75" s="14">
        <f t="shared" si="13"/>
        <v>40.594059405940598</v>
      </c>
      <c r="T75" s="13">
        <f t="shared" si="14"/>
        <v>95.5</v>
      </c>
      <c r="U75" s="14">
        <f t="shared" si="15"/>
        <v>93.8</v>
      </c>
      <c r="V75" s="14">
        <f t="shared" si="16"/>
        <v>94.8</v>
      </c>
      <c r="W75" s="1">
        <f t="shared" si="17"/>
        <v>92.7</v>
      </c>
      <c r="X75" s="1" t="str">
        <f>IF(Table1[[#This Row],[World Rank]]&lt;=250,"Q1-Elite",IF(Table1[[#This Row],[World Rank]]&lt;=500,"Q2-Strong",IF(Table1[[#This Row],[World Rank]]&lt;=750,"Q3-Developing","Q4-Emerging")))</f>
        <v>Q1-Elite</v>
      </c>
    </row>
    <row r="76" spans="1:27" x14ac:dyDescent="0.2">
      <c r="A76" s="1">
        <v>75</v>
      </c>
      <c r="B76" s="1" t="s">
        <v>102</v>
      </c>
      <c r="C76" s="1" t="s">
        <v>103</v>
      </c>
      <c r="D76" s="1" t="s">
        <v>1124</v>
      </c>
      <c r="E76" s="1">
        <v>1</v>
      </c>
      <c r="F76" s="1">
        <v>97</v>
      </c>
      <c r="G76" s="1">
        <v>633</v>
      </c>
      <c r="H76" s="1">
        <v>52</v>
      </c>
      <c r="I76" s="1">
        <v>99</v>
      </c>
      <c r="J76" s="1">
        <v>102</v>
      </c>
      <c r="K76" s="1">
        <v>112</v>
      </c>
      <c r="L76" s="1">
        <v>93</v>
      </c>
      <c r="M76" s="1">
        <v>82.8</v>
      </c>
      <c r="N76" s="1">
        <v>64.573153700000006</v>
      </c>
      <c r="O76" s="2" t="s">
        <v>104</v>
      </c>
      <c r="P76" s="14">
        <f t="shared" si="10"/>
        <v>89.9</v>
      </c>
      <c r="Q76" s="13">
        <f t="shared" si="11"/>
        <v>85.585585585585591</v>
      </c>
      <c r="R76" s="16">
        <f t="shared" si="12"/>
        <v>36.799999999999997</v>
      </c>
      <c r="S76" s="14">
        <f t="shared" si="13"/>
        <v>83.168316831683171</v>
      </c>
      <c r="T76" s="13">
        <f t="shared" si="14"/>
        <v>90.2</v>
      </c>
      <c r="U76" s="14">
        <f t="shared" si="15"/>
        <v>88.9</v>
      </c>
      <c r="V76" s="14">
        <f t="shared" si="16"/>
        <v>90.8</v>
      </c>
      <c r="W76" s="1">
        <f t="shared" si="17"/>
        <v>92.600000000000009</v>
      </c>
      <c r="X76" s="1" t="str">
        <f>IF(Table1[[#This Row],[World Rank]]&lt;=250,"Q1-Elite",IF(Table1[[#This Row],[World Rank]]&lt;=500,"Q2-Strong",IF(Table1[[#This Row],[World Rank]]&lt;=750,"Q3-Developing","Q4-Emerging")))</f>
        <v>Q1-Elite</v>
      </c>
    </row>
    <row r="77" spans="1:27" x14ac:dyDescent="0.2">
      <c r="A77" s="1">
        <v>76</v>
      </c>
      <c r="B77" s="1" t="s">
        <v>105</v>
      </c>
      <c r="C77" s="1" t="s">
        <v>15</v>
      </c>
      <c r="D77" s="1" t="s">
        <v>1120</v>
      </c>
      <c r="E77" s="1">
        <v>44</v>
      </c>
      <c r="F77" s="1">
        <v>15</v>
      </c>
      <c r="G77" s="1">
        <v>1001</v>
      </c>
      <c r="H77" s="1">
        <v>14</v>
      </c>
      <c r="I77" s="1">
        <v>786</v>
      </c>
      <c r="J77" s="1">
        <v>434</v>
      </c>
      <c r="K77" s="1">
        <v>32</v>
      </c>
      <c r="L77" s="1">
        <v>275</v>
      </c>
      <c r="M77" s="1">
        <v>82.7</v>
      </c>
      <c r="N77" s="1">
        <v>39.783730400000003</v>
      </c>
      <c r="O77" s="1">
        <v>-100.445882</v>
      </c>
      <c r="P77" s="14">
        <f t="shared" si="10"/>
        <v>56.699999999999996</v>
      </c>
      <c r="Q77" s="13">
        <f t="shared" si="11"/>
        <v>97.897897897897906</v>
      </c>
      <c r="R77" s="16">
        <f t="shared" si="12"/>
        <v>0</v>
      </c>
      <c r="S77" s="14">
        <f t="shared" si="13"/>
        <v>95.709570957095707</v>
      </c>
      <c r="T77" s="13">
        <f t="shared" si="14"/>
        <v>21.5</v>
      </c>
      <c r="U77" s="14">
        <f t="shared" si="15"/>
        <v>96.899999999999991</v>
      </c>
      <c r="V77" s="14">
        <f t="shared" si="16"/>
        <v>72.599999999999994</v>
      </c>
      <c r="W77" s="1">
        <f t="shared" si="17"/>
        <v>92.5</v>
      </c>
      <c r="X77" s="1" t="str">
        <f>IF(Table1[[#This Row],[World Rank]]&lt;=250,"Q1-Elite",IF(Table1[[#This Row],[World Rank]]&lt;=500,"Q2-Strong",IF(Table1[[#This Row],[World Rank]]&lt;=750,"Q3-Developing","Q4-Emerging")))</f>
        <v>Q1-Elite</v>
      </c>
    </row>
    <row r="78" spans="1:27" x14ac:dyDescent="0.2">
      <c r="A78" s="1">
        <v>77</v>
      </c>
      <c r="B78" s="1" t="s">
        <v>106</v>
      </c>
      <c r="C78" s="1" t="s">
        <v>107</v>
      </c>
      <c r="D78" s="1" t="s">
        <v>1123</v>
      </c>
      <c r="E78" s="1">
        <v>1</v>
      </c>
      <c r="F78" s="1">
        <v>583</v>
      </c>
      <c r="G78" s="1">
        <v>256</v>
      </c>
      <c r="H78" s="1">
        <v>109</v>
      </c>
      <c r="I78" s="1">
        <v>4</v>
      </c>
      <c r="J78" s="1">
        <v>60</v>
      </c>
      <c r="K78" s="1">
        <v>162</v>
      </c>
      <c r="L78" s="1">
        <v>139</v>
      </c>
      <c r="M78" s="1">
        <v>82.6</v>
      </c>
      <c r="N78" s="1">
        <v>-10.3333333</v>
      </c>
      <c r="O78" s="1">
        <v>-53.2</v>
      </c>
      <c r="P78" s="14">
        <f t="shared" si="10"/>
        <v>94.1</v>
      </c>
      <c r="Q78" s="13">
        <v>20</v>
      </c>
      <c r="R78" s="16">
        <f t="shared" si="12"/>
        <v>74.5</v>
      </c>
      <c r="S78" s="14">
        <f t="shared" si="13"/>
        <v>64.356435643564353</v>
      </c>
      <c r="T78" s="13">
        <f t="shared" si="14"/>
        <v>99.7</v>
      </c>
      <c r="U78" s="14">
        <f t="shared" si="15"/>
        <v>83.899999999999991</v>
      </c>
      <c r="V78" s="14">
        <f t="shared" si="16"/>
        <v>86.2</v>
      </c>
      <c r="W78" s="1">
        <f t="shared" si="17"/>
        <v>92.4</v>
      </c>
      <c r="X78" s="1" t="str">
        <f>IF(Table1[[#This Row],[World Rank]]&lt;=250,"Q1-Elite",IF(Table1[[#This Row],[World Rank]]&lt;=500,"Q2-Strong",IF(Table1[[#This Row],[World Rank]]&lt;=750,"Q3-Developing","Q4-Emerging")))</f>
        <v>Q1-Elite</v>
      </c>
    </row>
    <row r="79" spans="1:27" x14ac:dyDescent="0.2">
      <c r="A79" s="1">
        <v>78</v>
      </c>
      <c r="B79" s="1" t="s">
        <v>108</v>
      </c>
      <c r="C79" s="1" t="s">
        <v>15</v>
      </c>
      <c r="D79" s="1" t="s">
        <v>1120</v>
      </c>
      <c r="E79" s="1">
        <v>45</v>
      </c>
      <c r="F79" s="1">
        <v>625</v>
      </c>
      <c r="G79" s="1">
        <v>183</v>
      </c>
      <c r="H79" s="1">
        <v>57</v>
      </c>
      <c r="I79" s="1">
        <v>85</v>
      </c>
      <c r="J79" s="1">
        <v>95</v>
      </c>
      <c r="K79" s="1">
        <v>133</v>
      </c>
      <c r="L79" s="1">
        <v>101</v>
      </c>
      <c r="M79" s="1">
        <v>82.6</v>
      </c>
      <c r="N79" s="1">
        <v>39.783730400000003</v>
      </c>
      <c r="O79" s="1">
        <v>-100.445882</v>
      </c>
      <c r="P79" s="14">
        <f t="shared" si="10"/>
        <v>90.600000000000009</v>
      </c>
      <c r="Q79" s="13">
        <v>20</v>
      </c>
      <c r="R79" s="16">
        <f t="shared" si="12"/>
        <v>81.8</v>
      </c>
      <c r="S79" s="14">
        <f t="shared" si="13"/>
        <v>81.518151815181511</v>
      </c>
      <c r="T79" s="13">
        <f t="shared" si="14"/>
        <v>91.600000000000009</v>
      </c>
      <c r="U79" s="14">
        <f t="shared" si="15"/>
        <v>86.8</v>
      </c>
      <c r="V79" s="14">
        <f t="shared" si="16"/>
        <v>90</v>
      </c>
      <c r="W79" s="1">
        <f t="shared" si="17"/>
        <v>92.300000000000011</v>
      </c>
      <c r="X79" s="1" t="str">
        <f>IF(Table1[[#This Row],[World Rank]]&lt;=250,"Q1-Elite",IF(Table1[[#This Row],[World Rank]]&lt;=500,"Q2-Strong",IF(Table1[[#This Row],[World Rank]]&lt;=750,"Q3-Developing","Q4-Emerging")))</f>
        <v>Q1-Elite</v>
      </c>
    </row>
    <row r="80" spans="1:27" x14ac:dyDescent="0.2">
      <c r="A80" s="1">
        <v>79</v>
      </c>
      <c r="B80" s="1" t="s">
        <v>109</v>
      </c>
      <c r="C80" s="1" t="s">
        <v>15</v>
      </c>
      <c r="D80" s="1" t="s">
        <v>1120</v>
      </c>
      <c r="E80" s="1">
        <v>46</v>
      </c>
      <c r="F80" s="1">
        <v>271</v>
      </c>
      <c r="G80" s="1">
        <v>31</v>
      </c>
      <c r="H80" s="1">
        <v>168</v>
      </c>
      <c r="I80" s="1">
        <v>151</v>
      </c>
      <c r="J80" s="1">
        <v>116</v>
      </c>
      <c r="K80" s="1">
        <v>95</v>
      </c>
      <c r="L80" s="1">
        <v>85</v>
      </c>
      <c r="M80" s="1">
        <v>82.5</v>
      </c>
      <c r="N80" s="1">
        <v>39.783730400000003</v>
      </c>
      <c r="O80" s="1">
        <v>-100.445882</v>
      </c>
      <c r="P80" s="14">
        <f t="shared" si="10"/>
        <v>88.5</v>
      </c>
      <c r="Q80" s="13">
        <f t="shared" si="11"/>
        <v>59.45945945945946</v>
      </c>
      <c r="R80" s="16">
        <f t="shared" si="12"/>
        <v>97</v>
      </c>
      <c r="S80" s="14">
        <f t="shared" si="13"/>
        <v>44.884488448844884</v>
      </c>
      <c r="T80" s="13">
        <f t="shared" si="14"/>
        <v>85</v>
      </c>
      <c r="U80" s="14">
        <f t="shared" si="15"/>
        <v>90.600000000000009</v>
      </c>
      <c r="V80" s="14">
        <f t="shared" si="16"/>
        <v>91.600000000000009</v>
      </c>
      <c r="W80" s="1">
        <f t="shared" si="17"/>
        <v>92.2</v>
      </c>
      <c r="X80" s="1" t="str">
        <f>IF(Table1[[#This Row],[World Rank]]&lt;=250,"Q1-Elite",IF(Table1[[#This Row],[World Rank]]&lt;=500,"Q2-Strong",IF(Table1[[#This Row],[World Rank]]&lt;=750,"Q3-Developing","Q4-Emerging")))</f>
        <v>Q1-Elite</v>
      </c>
    </row>
    <row r="81" spans="1:24" x14ac:dyDescent="0.2">
      <c r="A81" s="1">
        <v>80</v>
      </c>
      <c r="B81" s="1" t="s">
        <v>110</v>
      </c>
      <c r="C81" s="1" t="s">
        <v>15</v>
      </c>
      <c r="D81" s="1" t="s">
        <v>1120</v>
      </c>
      <c r="E81" s="1">
        <v>47</v>
      </c>
      <c r="F81" s="1">
        <v>667</v>
      </c>
      <c r="G81" s="1">
        <v>197</v>
      </c>
      <c r="H81" s="1">
        <v>164</v>
      </c>
      <c r="I81" s="1">
        <v>101</v>
      </c>
      <c r="J81" s="1">
        <v>66</v>
      </c>
      <c r="K81" s="1">
        <v>55</v>
      </c>
      <c r="L81" s="1">
        <v>63</v>
      </c>
      <c r="M81" s="1">
        <v>82.5</v>
      </c>
      <c r="N81" s="1">
        <v>39.783730400000003</v>
      </c>
      <c r="O81" s="1">
        <v>-100.445882</v>
      </c>
      <c r="P81" s="14">
        <f t="shared" si="10"/>
        <v>93.5</v>
      </c>
      <c r="Q81" s="13">
        <v>20</v>
      </c>
      <c r="R81" s="16">
        <f t="shared" si="12"/>
        <v>80.400000000000006</v>
      </c>
      <c r="S81" s="14">
        <f t="shared" si="13"/>
        <v>46.204620462046201</v>
      </c>
      <c r="T81" s="13">
        <f t="shared" si="14"/>
        <v>90</v>
      </c>
      <c r="U81" s="14">
        <f t="shared" si="15"/>
        <v>94.6</v>
      </c>
      <c r="V81" s="14">
        <f t="shared" si="16"/>
        <v>93.8</v>
      </c>
      <c r="W81" s="1">
        <f t="shared" si="17"/>
        <v>92.100000000000009</v>
      </c>
      <c r="X81" s="1" t="str">
        <f>IF(Table1[[#This Row],[World Rank]]&lt;=250,"Q1-Elite",IF(Table1[[#This Row],[World Rank]]&lt;=500,"Q2-Strong",IF(Table1[[#This Row],[World Rank]]&lt;=750,"Q3-Developing","Q4-Emerging")))</f>
        <v>Q1-Elite</v>
      </c>
    </row>
    <row r="82" spans="1:24" x14ac:dyDescent="0.2">
      <c r="A82" s="1">
        <v>81</v>
      </c>
      <c r="B82" s="1" t="s">
        <v>111</v>
      </c>
      <c r="C82" s="1" t="s">
        <v>68</v>
      </c>
      <c r="D82" s="1" t="s">
        <v>1124</v>
      </c>
      <c r="E82" s="1">
        <v>3</v>
      </c>
      <c r="F82" s="1">
        <v>112</v>
      </c>
      <c r="G82" s="1">
        <v>1001</v>
      </c>
      <c r="H82" s="1">
        <v>124</v>
      </c>
      <c r="I82" s="1">
        <v>64</v>
      </c>
      <c r="J82" s="1">
        <v>76</v>
      </c>
      <c r="K82" s="1">
        <v>72</v>
      </c>
      <c r="L82" s="1">
        <v>85</v>
      </c>
      <c r="M82" s="1">
        <v>82.4</v>
      </c>
      <c r="N82" s="1">
        <v>40.420347900000003</v>
      </c>
      <c r="O82" s="1">
        <v>-79.116698299999996</v>
      </c>
      <c r="P82" s="14">
        <f t="shared" si="10"/>
        <v>92.5</v>
      </c>
      <c r="Q82" s="13">
        <f t="shared" si="11"/>
        <v>83.333333333333343</v>
      </c>
      <c r="R82" s="16">
        <f t="shared" si="12"/>
        <v>0</v>
      </c>
      <c r="S82" s="14">
        <f t="shared" si="13"/>
        <v>59.405940594059402</v>
      </c>
      <c r="T82" s="13">
        <f t="shared" si="14"/>
        <v>93.7</v>
      </c>
      <c r="U82" s="14">
        <f t="shared" si="15"/>
        <v>92.9</v>
      </c>
      <c r="V82" s="14">
        <f t="shared" si="16"/>
        <v>91.600000000000009</v>
      </c>
      <c r="W82" s="1">
        <f t="shared" si="17"/>
        <v>92</v>
      </c>
      <c r="X82" s="1" t="str">
        <f>IF(Table1[[#This Row],[World Rank]]&lt;=250,"Q1-Elite",IF(Table1[[#This Row],[World Rank]]&lt;=500,"Q2-Strong",IF(Table1[[#This Row],[World Rank]]&lt;=750,"Q3-Developing","Q4-Emerging")))</f>
        <v>Q1-Elite</v>
      </c>
    </row>
    <row r="83" spans="1:24" x14ac:dyDescent="0.2">
      <c r="A83" s="1">
        <v>82</v>
      </c>
      <c r="B83" s="1" t="s">
        <v>112</v>
      </c>
      <c r="C83" s="1" t="s">
        <v>81</v>
      </c>
      <c r="D83" s="1" t="s">
        <v>1121</v>
      </c>
      <c r="E83" s="1">
        <v>4</v>
      </c>
      <c r="F83" s="1">
        <v>188</v>
      </c>
      <c r="G83" s="1">
        <v>666</v>
      </c>
      <c r="H83" s="1">
        <v>37</v>
      </c>
      <c r="I83" s="1">
        <v>153</v>
      </c>
      <c r="J83" s="1">
        <v>136</v>
      </c>
      <c r="K83" s="1">
        <v>101</v>
      </c>
      <c r="L83" s="1">
        <v>121</v>
      </c>
      <c r="M83" s="1">
        <v>82.4</v>
      </c>
      <c r="N83" s="1">
        <v>-24.776108600000001</v>
      </c>
      <c r="O83" s="1">
        <v>134.755</v>
      </c>
      <c r="P83" s="14">
        <f t="shared" si="10"/>
        <v>86.5</v>
      </c>
      <c r="Q83" s="13">
        <f t="shared" si="11"/>
        <v>71.921921921921921</v>
      </c>
      <c r="R83" s="16">
        <f t="shared" si="12"/>
        <v>33.5</v>
      </c>
      <c r="S83" s="14">
        <f t="shared" si="13"/>
        <v>88.118811881188122</v>
      </c>
      <c r="T83" s="13">
        <f t="shared" si="14"/>
        <v>84.8</v>
      </c>
      <c r="U83" s="14">
        <f t="shared" si="15"/>
        <v>90</v>
      </c>
      <c r="V83" s="14">
        <f t="shared" si="16"/>
        <v>88</v>
      </c>
      <c r="W83" s="1">
        <f t="shared" si="17"/>
        <v>91.9</v>
      </c>
      <c r="X83" s="1" t="str">
        <f>IF(Table1[[#This Row],[World Rank]]&lt;=250,"Q1-Elite",IF(Table1[[#This Row],[World Rank]]&lt;=500,"Q2-Strong",IF(Table1[[#This Row],[World Rank]]&lt;=750,"Q3-Developing","Q4-Emerging")))</f>
        <v>Q1-Elite</v>
      </c>
    </row>
    <row r="84" spans="1:24" x14ac:dyDescent="0.2">
      <c r="A84" s="1">
        <v>83</v>
      </c>
      <c r="B84" s="1" t="s">
        <v>113</v>
      </c>
      <c r="C84" s="1" t="s">
        <v>15</v>
      </c>
      <c r="D84" s="1" t="s">
        <v>1120</v>
      </c>
      <c r="E84" s="1">
        <v>48</v>
      </c>
      <c r="F84" s="1">
        <v>169</v>
      </c>
      <c r="G84" s="1">
        <v>187</v>
      </c>
      <c r="H84" s="1">
        <v>80</v>
      </c>
      <c r="I84" s="1">
        <v>125</v>
      </c>
      <c r="J84" s="1">
        <v>105</v>
      </c>
      <c r="K84" s="1">
        <v>68</v>
      </c>
      <c r="L84" s="1">
        <v>93</v>
      </c>
      <c r="M84" s="1">
        <v>82.3</v>
      </c>
      <c r="N84" s="1">
        <v>39.783730400000003</v>
      </c>
      <c r="O84" s="1">
        <v>-100.445882</v>
      </c>
      <c r="P84" s="14">
        <f t="shared" si="10"/>
        <v>89.600000000000009</v>
      </c>
      <c r="Q84" s="13">
        <f t="shared" si="11"/>
        <v>74.774774774774784</v>
      </c>
      <c r="R84" s="16">
        <f t="shared" si="12"/>
        <v>81.399999999999991</v>
      </c>
      <c r="S84" s="14">
        <f t="shared" si="13"/>
        <v>73.927392739273927</v>
      </c>
      <c r="T84" s="13">
        <f t="shared" si="14"/>
        <v>87.6</v>
      </c>
      <c r="U84" s="14">
        <f t="shared" si="15"/>
        <v>93.300000000000011</v>
      </c>
      <c r="V84" s="14">
        <f t="shared" si="16"/>
        <v>90.8</v>
      </c>
      <c r="W84" s="1">
        <f t="shared" si="17"/>
        <v>91.8</v>
      </c>
      <c r="X84" s="1" t="str">
        <f>IF(Table1[[#This Row],[World Rank]]&lt;=250,"Q1-Elite",IF(Table1[[#This Row],[World Rank]]&lt;=500,"Q2-Strong",IF(Table1[[#This Row],[World Rank]]&lt;=750,"Q3-Developing","Q4-Emerging")))</f>
        <v>Q1-Elite</v>
      </c>
    </row>
    <row r="85" spans="1:24" x14ac:dyDescent="0.2">
      <c r="A85" s="1">
        <v>84</v>
      </c>
      <c r="B85" s="1" t="s">
        <v>114</v>
      </c>
      <c r="C85" s="1" t="s">
        <v>48</v>
      </c>
      <c r="D85" s="1" t="s">
        <v>1124</v>
      </c>
      <c r="E85" s="1">
        <v>3</v>
      </c>
      <c r="F85" s="1">
        <v>192</v>
      </c>
      <c r="G85" s="1">
        <v>1001</v>
      </c>
      <c r="H85" s="1">
        <v>101</v>
      </c>
      <c r="I85" s="1">
        <v>122</v>
      </c>
      <c r="J85" s="1">
        <v>108</v>
      </c>
      <c r="K85" s="1">
        <v>44</v>
      </c>
      <c r="L85" s="1">
        <v>76</v>
      </c>
      <c r="M85" s="1">
        <v>82.3</v>
      </c>
      <c r="N85" s="1">
        <v>46.603354000000003</v>
      </c>
      <c r="O85" s="1">
        <v>1.8883335000000001</v>
      </c>
      <c r="P85" s="14">
        <f t="shared" si="10"/>
        <v>89.3</v>
      </c>
      <c r="Q85" s="13">
        <f t="shared" si="11"/>
        <v>71.321321321321321</v>
      </c>
      <c r="R85" s="16">
        <f t="shared" si="12"/>
        <v>0</v>
      </c>
      <c r="S85" s="14">
        <f t="shared" si="13"/>
        <v>66.996699669967001</v>
      </c>
      <c r="T85" s="13">
        <f t="shared" si="14"/>
        <v>87.9</v>
      </c>
      <c r="U85" s="14">
        <f t="shared" si="15"/>
        <v>95.7</v>
      </c>
      <c r="V85" s="14">
        <f t="shared" si="16"/>
        <v>92.5</v>
      </c>
      <c r="W85" s="1">
        <f t="shared" si="17"/>
        <v>91.7</v>
      </c>
      <c r="X85" s="1" t="str">
        <f>IF(Table1[[#This Row],[World Rank]]&lt;=250,"Q1-Elite",IF(Table1[[#This Row],[World Rank]]&lt;=500,"Q2-Strong",IF(Table1[[#This Row],[World Rank]]&lt;=750,"Q3-Developing","Q4-Emerging")))</f>
        <v>Q1-Elite</v>
      </c>
    </row>
    <row r="86" spans="1:24" x14ac:dyDescent="0.2">
      <c r="A86" s="1">
        <v>85</v>
      </c>
      <c r="B86" s="1" t="s">
        <v>115</v>
      </c>
      <c r="C86" s="1" t="s">
        <v>66</v>
      </c>
      <c r="D86" s="1" t="s">
        <v>1125</v>
      </c>
      <c r="E86" s="1">
        <v>3</v>
      </c>
      <c r="F86" s="1">
        <v>105</v>
      </c>
      <c r="G86" s="1">
        <v>143</v>
      </c>
      <c r="H86" s="1">
        <v>59</v>
      </c>
      <c r="I86" s="1">
        <v>108</v>
      </c>
      <c r="J86" s="1">
        <v>115</v>
      </c>
      <c r="K86" s="1">
        <v>129</v>
      </c>
      <c r="L86" s="1">
        <v>151</v>
      </c>
      <c r="M86" s="1">
        <v>82.2</v>
      </c>
      <c r="N86" s="1">
        <v>39.3181528</v>
      </c>
      <c r="O86" s="1">
        <v>-79.810901400000006</v>
      </c>
      <c r="P86" s="14">
        <f t="shared" si="10"/>
        <v>88.6</v>
      </c>
      <c r="Q86" s="13">
        <f t="shared" si="11"/>
        <v>84.384384384384376</v>
      </c>
      <c r="R86" s="16">
        <f t="shared" si="12"/>
        <v>85.8</v>
      </c>
      <c r="S86" s="14">
        <f t="shared" si="13"/>
        <v>80.858085808580853</v>
      </c>
      <c r="T86" s="13">
        <f t="shared" si="14"/>
        <v>89.3</v>
      </c>
      <c r="U86" s="14">
        <f t="shared" si="15"/>
        <v>87.2</v>
      </c>
      <c r="V86" s="14">
        <f t="shared" si="16"/>
        <v>85</v>
      </c>
      <c r="W86" s="1">
        <f t="shared" si="17"/>
        <v>91.600000000000009</v>
      </c>
      <c r="X86" s="1" t="str">
        <f>IF(Table1[[#This Row],[World Rank]]&lt;=250,"Q1-Elite",IF(Table1[[#This Row],[World Rank]]&lt;=500,"Q2-Strong",IF(Table1[[#This Row],[World Rank]]&lt;=750,"Q3-Developing","Q4-Emerging")))</f>
        <v>Q1-Elite</v>
      </c>
    </row>
    <row r="87" spans="1:24" x14ac:dyDescent="0.2">
      <c r="A87" s="1">
        <v>86</v>
      </c>
      <c r="B87" s="1" t="s">
        <v>116</v>
      </c>
      <c r="C87" s="1" t="s">
        <v>72</v>
      </c>
      <c r="D87" s="1" t="s">
        <v>1124</v>
      </c>
      <c r="E87" s="1">
        <v>2</v>
      </c>
      <c r="F87" s="1">
        <v>102</v>
      </c>
      <c r="G87" s="1">
        <v>548</v>
      </c>
      <c r="H87" s="1">
        <v>84</v>
      </c>
      <c r="I87" s="1">
        <v>107</v>
      </c>
      <c r="J87" s="1">
        <v>107</v>
      </c>
      <c r="K87" s="1">
        <v>66</v>
      </c>
      <c r="L87" s="1">
        <v>114</v>
      </c>
      <c r="M87" s="1">
        <v>82.2</v>
      </c>
      <c r="N87" s="1">
        <v>44.133434999999999</v>
      </c>
      <c r="O87" s="1">
        <v>-70.822677999999996</v>
      </c>
      <c r="P87" s="14">
        <f t="shared" si="10"/>
        <v>89.4</v>
      </c>
      <c r="Q87" s="13">
        <f t="shared" si="11"/>
        <v>84.834834834834837</v>
      </c>
      <c r="R87" s="16">
        <f t="shared" si="12"/>
        <v>45.300000000000004</v>
      </c>
      <c r="S87" s="14">
        <f t="shared" si="13"/>
        <v>72.60726072607261</v>
      </c>
      <c r="T87" s="13">
        <f t="shared" si="14"/>
        <v>89.4</v>
      </c>
      <c r="U87" s="14">
        <f t="shared" si="15"/>
        <v>93.5</v>
      </c>
      <c r="V87" s="14">
        <f t="shared" si="16"/>
        <v>88.7</v>
      </c>
      <c r="W87" s="1">
        <f t="shared" si="17"/>
        <v>91.5</v>
      </c>
      <c r="X87" s="1" t="str">
        <f>IF(Table1[[#This Row],[World Rank]]&lt;=250,"Q1-Elite",IF(Table1[[#This Row],[World Rank]]&lt;=500,"Q2-Strong",IF(Table1[[#This Row],[World Rank]]&lt;=750,"Q3-Developing","Q4-Emerging")))</f>
        <v>Q1-Elite</v>
      </c>
    </row>
    <row r="88" spans="1:24" x14ac:dyDescent="0.2">
      <c r="A88" s="1">
        <v>87</v>
      </c>
      <c r="B88" s="1" t="s">
        <v>117</v>
      </c>
      <c r="C88" s="1" t="s">
        <v>118</v>
      </c>
      <c r="D88" s="1" t="s">
        <v>1124</v>
      </c>
      <c r="E88" s="1">
        <v>1</v>
      </c>
      <c r="F88" s="1">
        <v>386</v>
      </c>
      <c r="G88" s="1">
        <v>472</v>
      </c>
      <c r="H88" s="1">
        <v>181</v>
      </c>
      <c r="I88" s="1">
        <v>47</v>
      </c>
      <c r="J88" s="1">
        <v>54</v>
      </c>
      <c r="K88" s="1">
        <v>91</v>
      </c>
      <c r="L88" s="1">
        <v>72</v>
      </c>
      <c r="M88" s="1">
        <v>82.1</v>
      </c>
      <c r="N88" s="1">
        <v>39.326068499999998</v>
      </c>
      <c r="O88" s="1">
        <v>-4.8379791000000001</v>
      </c>
      <c r="P88" s="14">
        <f t="shared" si="10"/>
        <v>94.699999999999989</v>
      </c>
      <c r="Q88" s="13">
        <f t="shared" si="11"/>
        <v>42.192192192192188</v>
      </c>
      <c r="R88" s="16">
        <f t="shared" si="12"/>
        <v>52.900000000000006</v>
      </c>
      <c r="S88" s="14">
        <f t="shared" si="13"/>
        <v>40.594059405940598</v>
      </c>
      <c r="T88" s="13">
        <f t="shared" si="14"/>
        <v>95.399999999999991</v>
      </c>
      <c r="U88" s="14">
        <f t="shared" si="15"/>
        <v>91</v>
      </c>
      <c r="V88" s="14">
        <f t="shared" si="16"/>
        <v>92.9</v>
      </c>
      <c r="W88" s="1">
        <f t="shared" si="17"/>
        <v>91.4</v>
      </c>
      <c r="X88" s="1" t="str">
        <f>IF(Table1[[#This Row],[World Rank]]&lt;=250,"Q1-Elite",IF(Table1[[#This Row],[World Rank]]&lt;=500,"Q2-Strong",IF(Table1[[#This Row],[World Rank]]&lt;=750,"Q3-Developing","Q4-Emerging")))</f>
        <v>Q1-Elite</v>
      </c>
    </row>
    <row r="89" spans="1:24" x14ac:dyDescent="0.2">
      <c r="A89" s="1">
        <v>88</v>
      </c>
      <c r="B89" s="1" t="s">
        <v>119</v>
      </c>
      <c r="C89" s="1" t="s">
        <v>59</v>
      </c>
      <c r="D89" s="1" t="s">
        <v>1124</v>
      </c>
      <c r="E89" s="1">
        <v>2</v>
      </c>
      <c r="F89" s="1">
        <v>589</v>
      </c>
      <c r="G89" s="1">
        <v>379</v>
      </c>
      <c r="H89" s="1">
        <v>114</v>
      </c>
      <c r="I89" s="1">
        <v>83</v>
      </c>
      <c r="J89" s="1">
        <v>79</v>
      </c>
      <c r="K89" s="1">
        <v>78</v>
      </c>
      <c r="L89" s="1">
        <v>121</v>
      </c>
      <c r="M89" s="1">
        <v>82.1</v>
      </c>
      <c r="N89" s="1">
        <v>55.670248999999998</v>
      </c>
      <c r="O89" s="1">
        <v>10.3333283</v>
      </c>
      <c r="P89" s="14">
        <f t="shared" si="10"/>
        <v>92.2</v>
      </c>
      <c r="Q89" s="13">
        <v>20</v>
      </c>
      <c r="R89" s="16">
        <f t="shared" si="12"/>
        <v>62.2</v>
      </c>
      <c r="S89" s="14">
        <f t="shared" si="13"/>
        <v>62.706270627062707</v>
      </c>
      <c r="T89" s="13">
        <f t="shared" si="14"/>
        <v>91.8</v>
      </c>
      <c r="U89" s="14">
        <f t="shared" si="15"/>
        <v>92.300000000000011</v>
      </c>
      <c r="V89" s="14">
        <f t="shared" si="16"/>
        <v>88</v>
      </c>
      <c r="W89" s="1">
        <f t="shared" si="17"/>
        <v>91.3</v>
      </c>
      <c r="X89" s="1" t="str">
        <f>IF(Table1[[#This Row],[World Rank]]&lt;=250,"Q1-Elite",IF(Table1[[#This Row],[World Rank]]&lt;=500,"Q2-Strong",IF(Table1[[#This Row],[World Rank]]&lt;=750,"Q3-Developing","Q4-Emerging")))</f>
        <v>Q1-Elite</v>
      </c>
    </row>
    <row r="90" spans="1:24" x14ac:dyDescent="0.2">
      <c r="A90" s="1">
        <v>89</v>
      </c>
      <c r="B90" s="1" t="s">
        <v>120</v>
      </c>
      <c r="C90" s="1" t="s">
        <v>15</v>
      </c>
      <c r="D90" s="1" t="s">
        <v>1120</v>
      </c>
      <c r="E90" s="1">
        <v>49</v>
      </c>
      <c r="F90" s="1">
        <v>667</v>
      </c>
      <c r="G90" s="1">
        <v>1001</v>
      </c>
      <c r="H90" s="1">
        <v>91</v>
      </c>
      <c r="I90" s="1">
        <v>158</v>
      </c>
      <c r="J90" s="1">
        <v>104</v>
      </c>
      <c r="K90" s="1">
        <v>70</v>
      </c>
      <c r="L90" s="1">
        <v>66</v>
      </c>
      <c r="M90" s="1">
        <v>82</v>
      </c>
      <c r="N90" s="1">
        <v>39.783730400000003</v>
      </c>
      <c r="O90" s="1">
        <v>-100.445882</v>
      </c>
      <c r="P90" s="14">
        <f t="shared" si="10"/>
        <v>89.7</v>
      </c>
      <c r="Q90" s="13">
        <v>20</v>
      </c>
      <c r="R90" s="16">
        <f t="shared" si="12"/>
        <v>0</v>
      </c>
      <c r="S90" s="14">
        <f t="shared" si="13"/>
        <v>70.297029702970292</v>
      </c>
      <c r="T90" s="13">
        <f t="shared" si="14"/>
        <v>84.3</v>
      </c>
      <c r="U90" s="14">
        <f t="shared" si="15"/>
        <v>93.100000000000009</v>
      </c>
      <c r="V90" s="14">
        <f t="shared" si="16"/>
        <v>93.5</v>
      </c>
      <c r="W90" s="1">
        <f t="shared" si="17"/>
        <v>91.2</v>
      </c>
      <c r="X90" s="1" t="str">
        <f>IF(Table1[[#This Row],[World Rank]]&lt;=250,"Q1-Elite",IF(Table1[[#This Row],[World Rank]]&lt;=500,"Q2-Strong",IF(Table1[[#This Row],[World Rank]]&lt;=750,"Q3-Developing","Q4-Emerging")))</f>
        <v>Q1-Elite</v>
      </c>
    </row>
    <row r="91" spans="1:24" x14ac:dyDescent="0.2">
      <c r="A91" s="1">
        <v>90</v>
      </c>
      <c r="B91" s="1" t="s">
        <v>121</v>
      </c>
      <c r="C91" s="1" t="s">
        <v>99</v>
      </c>
      <c r="D91" s="1" t="s">
        <v>1124</v>
      </c>
      <c r="E91" s="1">
        <v>2</v>
      </c>
      <c r="F91" s="1">
        <v>228</v>
      </c>
      <c r="G91" s="1">
        <v>1001</v>
      </c>
      <c r="H91" s="1">
        <v>118</v>
      </c>
      <c r="I91" s="1">
        <v>118</v>
      </c>
      <c r="J91" s="1">
        <v>78</v>
      </c>
      <c r="K91" s="1">
        <v>81</v>
      </c>
      <c r="L91" s="1">
        <v>80</v>
      </c>
      <c r="M91" s="1">
        <v>82</v>
      </c>
      <c r="N91" s="1">
        <v>52.243497900000001</v>
      </c>
      <c r="O91" s="1">
        <v>5.6343227000000002</v>
      </c>
      <c r="P91" s="14">
        <f t="shared" si="10"/>
        <v>92.300000000000011</v>
      </c>
      <c r="Q91" s="13">
        <f t="shared" si="11"/>
        <v>65.915915915915917</v>
      </c>
      <c r="R91" s="16">
        <f t="shared" si="12"/>
        <v>0</v>
      </c>
      <c r="S91" s="14">
        <f t="shared" si="13"/>
        <v>61.386138613861384</v>
      </c>
      <c r="T91" s="13">
        <f t="shared" si="14"/>
        <v>88.3</v>
      </c>
      <c r="U91" s="14">
        <f t="shared" si="15"/>
        <v>92</v>
      </c>
      <c r="V91" s="14">
        <f t="shared" si="16"/>
        <v>92.100000000000009</v>
      </c>
      <c r="W91" s="1">
        <f t="shared" si="17"/>
        <v>91.100000000000009</v>
      </c>
      <c r="X91" s="1" t="str">
        <f>IF(Table1[[#This Row],[World Rank]]&lt;=250,"Q1-Elite",IF(Table1[[#This Row],[World Rank]]&lt;=500,"Q2-Strong",IF(Table1[[#This Row],[World Rank]]&lt;=750,"Q3-Developing","Q4-Emerging")))</f>
        <v>Q1-Elite</v>
      </c>
    </row>
    <row r="92" spans="1:24" x14ac:dyDescent="0.2">
      <c r="A92" s="1">
        <v>91</v>
      </c>
      <c r="B92" s="1" t="s">
        <v>122</v>
      </c>
      <c r="C92" s="1" t="s">
        <v>15</v>
      </c>
      <c r="D92" s="1" t="s">
        <v>1120</v>
      </c>
      <c r="E92" s="1">
        <v>50</v>
      </c>
      <c r="F92" s="1">
        <v>34</v>
      </c>
      <c r="G92" s="1">
        <v>145</v>
      </c>
      <c r="H92" s="1">
        <v>21</v>
      </c>
      <c r="I92" s="1">
        <v>318</v>
      </c>
      <c r="J92" s="1">
        <v>228</v>
      </c>
      <c r="K92" s="1">
        <v>221</v>
      </c>
      <c r="L92" s="1">
        <v>129</v>
      </c>
      <c r="M92" s="1">
        <v>81.900000000000006</v>
      </c>
      <c r="N92" s="1">
        <v>39.783730400000003</v>
      </c>
      <c r="O92" s="1">
        <v>-100.445882</v>
      </c>
      <c r="P92" s="14">
        <f t="shared" si="10"/>
        <v>77.3</v>
      </c>
      <c r="Q92" s="13">
        <f t="shared" si="11"/>
        <v>95.045045045045043</v>
      </c>
      <c r="R92" s="16">
        <f t="shared" si="12"/>
        <v>85.6</v>
      </c>
      <c r="S92" s="14">
        <f t="shared" si="13"/>
        <v>93.399339933993403</v>
      </c>
      <c r="T92" s="13">
        <f t="shared" si="14"/>
        <v>68.300000000000011</v>
      </c>
      <c r="U92" s="14">
        <f t="shared" si="15"/>
        <v>78</v>
      </c>
      <c r="V92" s="14">
        <f t="shared" si="16"/>
        <v>87.2</v>
      </c>
      <c r="W92" s="1">
        <f t="shared" si="17"/>
        <v>91</v>
      </c>
      <c r="X92" s="1" t="str">
        <f>IF(Table1[[#This Row],[World Rank]]&lt;=250,"Q1-Elite",IF(Table1[[#This Row],[World Rank]]&lt;=500,"Q2-Strong",IF(Table1[[#This Row],[World Rank]]&lt;=750,"Q3-Developing","Q4-Emerging")))</f>
        <v>Q1-Elite</v>
      </c>
    </row>
    <row r="93" spans="1:24" x14ac:dyDescent="0.2">
      <c r="A93" s="1">
        <v>92</v>
      </c>
      <c r="B93" s="1" t="s">
        <v>123</v>
      </c>
      <c r="C93" s="1" t="s">
        <v>124</v>
      </c>
      <c r="D93" s="1" t="s">
        <v>1125</v>
      </c>
      <c r="E93" s="1">
        <v>1</v>
      </c>
      <c r="F93" s="1">
        <v>340</v>
      </c>
      <c r="G93" s="1">
        <v>67</v>
      </c>
      <c r="H93" s="1">
        <v>304</v>
      </c>
      <c r="I93" s="1">
        <v>23</v>
      </c>
      <c r="J93" s="1">
        <v>38</v>
      </c>
      <c r="K93" s="1">
        <v>88</v>
      </c>
      <c r="L93" s="1">
        <v>167</v>
      </c>
      <c r="M93" s="1">
        <v>81.900000000000006</v>
      </c>
      <c r="N93" s="1">
        <v>30.047992000000001</v>
      </c>
      <c r="O93" s="1">
        <v>-94.335743300000004</v>
      </c>
      <c r="P93" s="14">
        <f t="shared" si="10"/>
        <v>96.3</v>
      </c>
      <c r="Q93" s="13">
        <f t="shared" si="11"/>
        <v>49.099099099099099</v>
      </c>
      <c r="R93" s="16">
        <f t="shared" si="12"/>
        <v>93.4</v>
      </c>
      <c r="S93" s="14">
        <f t="shared" si="13"/>
        <v>0</v>
      </c>
      <c r="T93" s="13">
        <f t="shared" si="14"/>
        <v>97.8</v>
      </c>
      <c r="U93" s="14">
        <f t="shared" si="15"/>
        <v>91.3</v>
      </c>
      <c r="V93" s="14">
        <f t="shared" si="16"/>
        <v>83.399999999999991</v>
      </c>
      <c r="W93" s="1">
        <f t="shared" si="17"/>
        <v>90.9</v>
      </c>
      <c r="X93" s="1" t="str">
        <f>IF(Table1[[#This Row],[World Rank]]&lt;=250,"Q1-Elite",IF(Table1[[#This Row],[World Rank]]&lt;=500,"Q2-Strong",IF(Table1[[#This Row],[World Rank]]&lt;=750,"Q3-Developing","Q4-Emerging")))</f>
        <v>Q1-Elite</v>
      </c>
    </row>
    <row r="94" spans="1:24" x14ac:dyDescent="0.2">
      <c r="A94" s="1">
        <v>93</v>
      </c>
      <c r="B94" s="1" t="s">
        <v>125</v>
      </c>
      <c r="C94" s="1" t="s">
        <v>126</v>
      </c>
      <c r="D94" s="1" t="s">
        <v>1124</v>
      </c>
      <c r="E94" s="1">
        <v>1</v>
      </c>
      <c r="F94" s="1">
        <v>109</v>
      </c>
      <c r="G94" s="1">
        <v>1001</v>
      </c>
      <c r="H94" s="1">
        <v>135</v>
      </c>
      <c r="I94" s="1">
        <v>82</v>
      </c>
      <c r="J94" s="1">
        <v>83</v>
      </c>
      <c r="K94" s="1">
        <v>77</v>
      </c>
      <c r="L94" s="1">
        <v>108</v>
      </c>
      <c r="M94" s="1">
        <v>81.8</v>
      </c>
      <c r="N94" s="1">
        <v>63.246777700000003</v>
      </c>
      <c r="O94" s="1">
        <v>25.920916399999999</v>
      </c>
      <c r="P94" s="14">
        <f t="shared" si="10"/>
        <v>91.8</v>
      </c>
      <c r="Q94" s="13">
        <f t="shared" si="11"/>
        <v>83.78378378378379</v>
      </c>
      <c r="R94" s="16">
        <f t="shared" si="12"/>
        <v>0</v>
      </c>
      <c r="S94" s="14">
        <f t="shared" si="13"/>
        <v>55.775577557755774</v>
      </c>
      <c r="T94" s="13">
        <f t="shared" si="14"/>
        <v>91.9</v>
      </c>
      <c r="U94" s="14">
        <f t="shared" si="15"/>
        <v>92.4</v>
      </c>
      <c r="V94" s="14">
        <f t="shared" si="16"/>
        <v>89.3</v>
      </c>
      <c r="W94" s="1">
        <f t="shared" si="17"/>
        <v>90.8</v>
      </c>
      <c r="X94" s="1" t="str">
        <f>IF(Table1[[#This Row],[World Rank]]&lt;=250,"Q1-Elite",IF(Table1[[#This Row],[World Rank]]&lt;=500,"Q2-Strong",IF(Table1[[#This Row],[World Rank]]&lt;=750,"Q3-Developing","Q4-Emerging")))</f>
        <v>Q1-Elite</v>
      </c>
    </row>
    <row r="95" spans="1:24" x14ac:dyDescent="0.2">
      <c r="A95" s="1">
        <v>94</v>
      </c>
      <c r="B95" s="1" t="s">
        <v>127</v>
      </c>
      <c r="C95" s="1" t="s">
        <v>15</v>
      </c>
      <c r="D95" s="1" t="s">
        <v>1120</v>
      </c>
      <c r="E95" s="1">
        <v>51</v>
      </c>
      <c r="F95" s="1">
        <v>667</v>
      </c>
      <c r="G95" s="1">
        <v>1001</v>
      </c>
      <c r="H95" s="1">
        <v>141</v>
      </c>
      <c r="I95" s="1">
        <v>161</v>
      </c>
      <c r="J95" s="1">
        <v>118</v>
      </c>
      <c r="K95" s="1">
        <v>38</v>
      </c>
      <c r="L95" s="1">
        <v>53</v>
      </c>
      <c r="M95" s="1">
        <v>81.8</v>
      </c>
      <c r="N95" s="1">
        <v>39.783730400000003</v>
      </c>
      <c r="O95" s="1">
        <v>-100.445882</v>
      </c>
      <c r="P95" s="14">
        <f t="shared" si="10"/>
        <v>88.3</v>
      </c>
      <c r="Q95" s="13">
        <v>20</v>
      </c>
      <c r="R95" s="16">
        <f t="shared" si="12"/>
        <v>0</v>
      </c>
      <c r="S95" s="14">
        <f t="shared" si="13"/>
        <v>53.795379537953792</v>
      </c>
      <c r="T95" s="13">
        <f t="shared" si="14"/>
        <v>84</v>
      </c>
      <c r="U95" s="14">
        <f t="shared" si="15"/>
        <v>96.3</v>
      </c>
      <c r="V95" s="14">
        <f t="shared" si="16"/>
        <v>94.8</v>
      </c>
      <c r="W95" s="1">
        <f t="shared" si="17"/>
        <v>90.7</v>
      </c>
      <c r="X95" s="1" t="str">
        <f>IF(Table1[[#This Row],[World Rank]]&lt;=250,"Q1-Elite",IF(Table1[[#This Row],[World Rank]]&lt;=500,"Q2-Strong",IF(Table1[[#This Row],[World Rank]]&lt;=750,"Q3-Developing","Q4-Emerging")))</f>
        <v>Q1-Elite</v>
      </c>
    </row>
    <row r="96" spans="1:24" x14ac:dyDescent="0.2">
      <c r="A96" s="1">
        <v>95</v>
      </c>
      <c r="B96" s="1" t="s">
        <v>128</v>
      </c>
      <c r="C96" s="1" t="s">
        <v>72</v>
      </c>
      <c r="D96" s="1" t="s">
        <v>1124</v>
      </c>
      <c r="E96" s="1">
        <v>3</v>
      </c>
      <c r="F96" s="1">
        <v>294</v>
      </c>
      <c r="G96" s="1">
        <v>753</v>
      </c>
      <c r="H96" s="1">
        <v>122</v>
      </c>
      <c r="I96" s="1">
        <v>90</v>
      </c>
      <c r="J96" s="1">
        <v>90</v>
      </c>
      <c r="K96" s="1">
        <v>121</v>
      </c>
      <c r="L96" s="1">
        <v>76</v>
      </c>
      <c r="M96" s="1">
        <v>81.7</v>
      </c>
      <c r="N96" s="1">
        <v>44.133434999999999</v>
      </c>
      <c r="O96" s="1">
        <v>-70.822677999999996</v>
      </c>
      <c r="P96" s="14">
        <f t="shared" si="10"/>
        <v>91.100000000000009</v>
      </c>
      <c r="Q96" s="13">
        <f t="shared" si="11"/>
        <v>56.006006006006004</v>
      </c>
      <c r="R96" s="16">
        <f t="shared" si="12"/>
        <v>24.8</v>
      </c>
      <c r="S96" s="14">
        <f t="shared" si="13"/>
        <v>60.066006600660074</v>
      </c>
      <c r="T96" s="13">
        <f t="shared" si="14"/>
        <v>91.100000000000009</v>
      </c>
      <c r="U96" s="14">
        <f t="shared" si="15"/>
        <v>88</v>
      </c>
      <c r="V96" s="14">
        <f t="shared" si="16"/>
        <v>92.5</v>
      </c>
      <c r="W96" s="1">
        <f t="shared" si="17"/>
        <v>90.600000000000009</v>
      </c>
      <c r="X96" s="1" t="str">
        <f>IF(Table1[[#This Row],[World Rank]]&lt;=250,"Q1-Elite",IF(Table1[[#This Row],[World Rank]]&lt;=500,"Q2-Strong",IF(Table1[[#This Row],[World Rank]]&lt;=750,"Q3-Developing","Q4-Emerging")))</f>
        <v>Q1-Elite</v>
      </c>
    </row>
    <row r="97" spans="1:24" x14ac:dyDescent="0.2">
      <c r="A97" s="1">
        <v>96</v>
      </c>
      <c r="B97" s="1" t="s">
        <v>129</v>
      </c>
      <c r="C97" s="1" t="s">
        <v>34</v>
      </c>
      <c r="D97" s="1" t="s">
        <v>1120</v>
      </c>
      <c r="E97" s="1">
        <v>4</v>
      </c>
      <c r="F97" s="1">
        <v>281</v>
      </c>
      <c r="G97" s="1">
        <v>371</v>
      </c>
      <c r="H97" s="1">
        <v>192</v>
      </c>
      <c r="I97" s="1">
        <v>62</v>
      </c>
      <c r="J97" s="1">
        <v>69</v>
      </c>
      <c r="K97" s="1">
        <v>117</v>
      </c>
      <c r="L97" s="1">
        <v>80</v>
      </c>
      <c r="M97" s="1">
        <v>81.7</v>
      </c>
      <c r="N97" s="1">
        <v>61.066692199999999</v>
      </c>
      <c r="O97" s="1">
        <v>-107.99170700000001</v>
      </c>
      <c r="P97" s="14">
        <f t="shared" si="10"/>
        <v>93.2</v>
      </c>
      <c r="Q97" s="13">
        <f t="shared" si="11"/>
        <v>57.957957957957959</v>
      </c>
      <c r="R97" s="16">
        <f t="shared" si="12"/>
        <v>63</v>
      </c>
      <c r="S97" s="14">
        <f t="shared" si="13"/>
        <v>36.963696369636963</v>
      </c>
      <c r="T97" s="13">
        <f t="shared" si="14"/>
        <v>93.899999999999991</v>
      </c>
      <c r="U97" s="14">
        <f t="shared" si="15"/>
        <v>88.4</v>
      </c>
      <c r="V97" s="14">
        <f t="shared" si="16"/>
        <v>92.100000000000009</v>
      </c>
      <c r="W97" s="1">
        <f t="shared" si="17"/>
        <v>90.5</v>
      </c>
      <c r="X97" s="1" t="str">
        <f>IF(Table1[[#This Row],[World Rank]]&lt;=250,"Q1-Elite",IF(Table1[[#This Row],[World Rank]]&lt;=500,"Q2-Strong",IF(Table1[[#This Row],[World Rank]]&lt;=750,"Q3-Developing","Q4-Emerging")))</f>
        <v>Q1-Elite</v>
      </c>
    </row>
    <row r="98" spans="1:24" x14ac:dyDescent="0.2">
      <c r="A98" s="1">
        <v>97</v>
      </c>
      <c r="B98" s="1" t="s">
        <v>130</v>
      </c>
      <c r="C98" s="1" t="s">
        <v>48</v>
      </c>
      <c r="D98" s="1" t="s">
        <v>1124</v>
      </c>
      <c r="E98" s="1">
        <v>4</v>
      </c>
      <c r="F98" s="1">
        <v>334</v>
      </c>
      <c r="G98" s="1">
        <v>1001</v>
      </c>
      <c r="H98" s="1">
        <v>157</v>
      </c>
      <c r="I98" s="1">
        <v>89</v>
      </c>
      <c r="J98" s="1">
        <v>87</v>
      </c>
      <c r="K98" s="1">
        <v>75</v>
      </c>
      <c r="L98" s="1">
        <v>93</v>
      </c>
      <c r="M98" s="1">
        <v>81.7</v>
      </c>
      <c r="N98" s="1">
        <v>46.603354000000003</v>
      </c>
      <c r="O98" s="1">
        <v>1.8883335000000001</v>
      </c>
      <c r="P98" s="14">
        <f t="shared" si="10"/>
        <v>91.4</v>
      </c>
      <c r="Q98" s="13">
        <f t="shared" si="11"/>
        <v>50</v>
      </c>
      <c r="R98" s="16">
        <f t="shared" si="12"/>
        <v>0</v>
      </c>
      <c r="S98" s="14">
        <f t="shared" si="13"/>
        <v>48.514851485148512</v>
      </c>
      <c r="T98" s="13">
        <f t="shared" si="14"/>
        <v>91.2</v>
      </c>
      <c r="U98" s="14">
        <f t="shared" si="15"/>
        <v>92.600000000000009</v>
      </c>
      <c r="V98" s="14">
        <f t="shared" si="16"/>
        <v>90.8</v>
      </c>
      <c r="W98" s="1">
        <f t="shared" si="17"/>
        <v>90.4</v>
      </c>
      <c r="X98" s="1" t="str">
        <f>IF(Table1[[#This Row],[World Rank]]&lt;=250,"Q1-Elite",IF(Table1[[#This Row],[World Rank]]&lt;=500,"Q2-Strong",IF(Table1[[#This Row],[World Rank]]&lt;=750,"Q3-Developing","Q4-Emerging")))</f>
        <v>Q1-Elite</v>
      </c>
    </row>
    <row r="99" spans="1:24" x14ac:dyDescent="0.2">
      <c r="A99" s="1">
        <v>98</v>
      </c>
      <c r="B99" s="1" t="s">
        <v>131</v>
      </c>
      <c r="C99" s="1" t="s">
        <v>124</v>
      </c>
      <c r="D99" s="1" t="s">
        <v>1125</v>
      </c>
      <c r="E99" s="1">
        <v>2</v>
      </c>
      <c r="F99" s="1">
        <v>586</v>
      </c>
      <c r="G99" s="1">
        <v>109</v>
      </c>
      <c r="H99" s="1">
        <v>304</v>
      </c>
      <c r="I99" s="1">
        <v>22</v>
      </c>
      <c r="J99" s="1">
        <v>41</v>
      </c>
      <c r="K99" s="1">
        <v>96</v>
      </c>
      <c r="L99" s="1">
        <v>108</v>
      </c>
      <c r="M99" s="1">
        <v>81.599999999999994</v>
      </c>
      <c r="N99" s="1">
        <v>30.047992000000001</v>
      </c>
      <c r="O99" s="1">
        <v>-94.335743300000004</v>
      </c>
      <c r="P99" s="14">
        <f t="shared" si="10"/>
        <v>96</v>
      </c>
      <c r="Q99" s="13">
        <v>20</v>
      </c>
      <c r="R99" s="16">
        <f t="shared" si="12"/>
        <v>89.2</v>
      </c>
      <c r="S99" s="14">
        <f t="shared" si="13"/>
        <v>0</v>
      </c>
      <c r="T99" s="13">
        <f t="shared" si="14"/>
        <v>97.899999999999991</v>
      </c>
      <c r="U99" s="14">
        <f t="shared" si="15"/>
        <v>90.5</v>
      </c>
      <c r="V99" s="14">
        <f t="shared" si="16"/>
        <v>89.3</v>
      </c>
      <c r="W99" s="1">
        <f t="shared" si="17"/>
        <v>90.3</v>
      </c>
      <c r="X99" s="1" t="str">
        <f>IF(Table1[[#This Row],[World Rank]]&lt;=250,"Q1-Elite",IF(Table1[[#This Row],[World Rank]]&lt;=500,"Q2-Strong",IF(Table1[[#This Row],[World Rank]]&lt;=750,"Q3-Developing","Q4-Emerging")))</f>
        <v>Q1-Elite</v>
      </c>
    </row>
    <row r="100" spans="1:24" x14ac:dyDescent="0.2">
      <c r="A100" s="1">
        <v>99</v>
      </c>
      <c r="B100" s="1" t="s">
        <v>132</v>
      </c>
      <c r="C100" s="1" t="s">
        <v>46</v>
      </c>
      <c r="D100" s="1" t="s">
        <v>1124</v>
      </c>
      <c r="E100" s="1">
        <v>4</v>
      </c>
      <c r="F100" s="1">
        <v>142</v>
      </c>
      <c r="G100" s="1">
        <v>393</v>
      </c>
      <c r="H100" s="1">
        <v>54</v>
      </c>
      <c r="I100" s="1">
        <v>218</v>
      </c>
      <c r="J100" s="1">
        <v>162</v>
      </c>
      <c r="K100" s="1">
        <v>89</v>
      </c>
      <c r="L100" s="1">
        <v>139</v>
      </c>
      <c r="M100" s="1">
        <v>81.599999999999994</v>
      </c>
      <c r="N100" s="1">
        <v>46.798562400000002</v>
      </c>
      <c r="O100" s="1">
        <v>8.2319735999999999</v>
      </c>
      <c r="P100" s="14">
        <f t="shared" si="10"/>
        <v>83.899999999999991</v>
      </c>
      <c r="Q100" s="13">
        <f t="shared" si="11"/>
        <v>78.828828828828833</v>
      </c>
      <c r="R100" s="16">
        <f t="shared" si="12"/>
        <v>60.8</v>
      </c>
      <c r="S100" s="14">
        <f t="shared" si="13"/>
        <v>82.508250825082513</v>
      </c>
      <c r="T100" s="13">
        <f t="shared" si="14"/>
        <v>78.3</v>
      </c>
      <c r="U100" s="14">
        <f t="shared" si="15"/>
        <v>91.2</v>
      </c>
      <c r="V100" s="14">
        <f t="shared" si="16"/>
        <v>86.2</v>
      </c>
      <c r="W100" s="1">
        <f t="shared" si="17"/>
        <v>90.2</v>
      </c>
      <c r="X100" s="1" t="str">
        <f>IF(Table1[[#This Row],[World Rank]]&lt;=250,"Q1-Elite",IF(Table1[[#This Row],[World Rank]]&lt;=500,"Q2-Strong",IF(Table1[[#This Row],[World Rank]]&lt;=750,"Q3-Developing","Q4-Emerging")))</f>
        <v>Q1-Elite</v>
      </c>
    </row>
    <row r="101" spans="1:24" x14ac:dyDescent="0.2">
      <c r="A101" s="1">
        <v>100</v>
      </c>
      <c r="B101" s="1" t="s">
        <v>133</v>
      </c>
      <c r="C101" s="1" t="s">
        <v>99</v>
      </c>
      <c r="D101" s="1" t="s">
        <v>1124</v>
      </c>
      <c r="E101" s="1">
        <v>3</v>
      </c>
      <c r="F101" s="1">
        <v>363</v>
      </c>
      <c r="G101" s="1">
        <v>482</v>
      </c>
      <c r="H101" s="1">
        <v>131</v>
      </c>
      <c r="I101" s="1">
        <v>97</v>
      </c>
      <c r="J101" s="1">
        <v>73</v>
      </c>
      <c r="K101" s="1">
        <v>104</v>
      </c>
      <c r="L101" s="1">
        <v>93</v>
      </c>
      <c r="M101" s="1">
        <v>81.5</v>
      </c>
      <c r="N101" s="1">
        <v>52.243497900000001</v>
      </c>
      <c r="O101" s="1">
        <v>5.6343227000000002</v>
      </c>
      <c r="P101" s="14">
        <f t="shared" si="10"/>
        <v>92.800000000000011</v>
      </c>
      <c r="Q101" s="13">
        <f t="shared" si="11"/>
        <v>45.645645645645644</v>
      </c>
      <c r="R101" s="16">
        <f t="shared" si="12"/>
        <v>51.9</v>
      </c>
      <c r="S101" s="14">
        <f t="shared" si="13"/>
        <v>57.095709570957098</v>
      </c>
      <c r="T101" s="13">
        <f t="shared" si="14"/>
        <v>90.4</v>
      </c>
      <c r="U101" s="14">
        <f t="shared" si="15"/>
        <v>89.7</v>
      </c>
      <c r="V101" s="14">
        <f t="shared" si="16"/>
        <v>90.8</v>
      </c>
      <c r="W101" s="1">
        <f t="shared" si="17"/>
        <v>90.100000000000009</v>
      </c>
      <c r="X101" s="1" t="str">
        <f>IF(Table1[[#This Row],[World Rank]]&lt;=250,"Q1-Elite",IF(Table1[[#This Row],[World Rank]]&lt;=500,"Q2-Strong",IF(Table1[[#This Row],[World Rank]]&lt;=750,"Q3-Developing","Q4-Emerging")))</f>
        <v>Q1-Elite</v>
      </c>
    </row>
    <row r="102" spans="1:24" x14ac:dyDescent="0.2">
      <c r="A102" s="1">
        <v>101</v>
      </c>
      <c r="B102" s="1" t="s">
        <v>134</v>
      </c>
      <c r="C102" s="1" t="s">
        <v>68</v>
      </c>
      <c r="D102" s="1" t="s">
        <v>1124</v>
      </c>
      <c r="E102" s="1">
        <v>4</v>
      </c>
      <c r="F102" s="1">
        <v>570</v>
      </c>
      <c r="G102" s="1">
        <v>1001</v>
      </c>
      <c r="H102" s="1">
        <v>225</v>
      </c>
      <c r="I102" s="1">
        <v>69</v>
      </c>
      <c r="J102" s="1">
        <v>77</v>
      </c>
      <c r="K102" s="1">
        <v>73</v>
      </c>
      <c r="L102" s="1">
        <v>80</v>
      </c>
      <c r="M102" s="1">
        <v>81.5</v>
      </c>
      <c r="N102" s="1">
        <v>40.420347900000003</v>
      </c>
      <c r="O102" s="1">
        <v>-79.116698299999996</v>
      </c>
      <c r="P102" s="14">
        <f t="shared" si="10"/>
        <v>92.4</v>
      </c>
      <c r="Q102" s="13">
        <v>20</v>
      </c>
      <c r="R102" s="16">
        <f t="shared" si="12"/>
        <v>0</v>
      </c>
      <c r="S102" s="14">
        <f t="shared" si="13"/>
        <v>26.072607260726073</v>
      </c>
      <c r="T102" s="13">
        <f t="shared" si="14"/>
        <v>93.2</v>
      </c>
      <c r="U102" s="14">
        <f t="shared" si="15"/>
        <v>92.800000000000011</v>
      </c>
      <c r="V102" s="14">
        <f t="shared" si="16"/>
        <v>92.100000000000009</v>
      </c>
      <c r="W102" s="1">
        <f t="shared" si="17"/>
        <v>90</v>
      </c>
      <c r="X102" s="1" t="str">
        <f>IF(Table1[[#This Row],[World Rank]]&lt;=250,"Q1-Elite",IF(Table1[[#This Row],[World Rank]]&lt;=500,"Q2-Strong",IF(Table1[[#This Row],[World Rank]]&lt;=750,"Q3-Developing","Q4-Emerging")))</f>
        <v>Q1-Elite</v>
      </c>
    </row>
    <row r="103" spans="1:24" x14ac:dyDescent="0.2">
      <c r="A103" s="1">
        <v>102</v>
      </c>
      <c r="B103" s="1" t="s">
        <v>135</v>
      </c>
      <c r="C103" s="1" t="s">
        <v>46</v>
      </c>
      <c r="D103" s="1" t="s">
        <v>1124</v>
      </c>
      <c r="E103" s="1">
        <v>5</v>
      </c>
      <c r="F103" s="1">
        <v>400</v>
      </c>
      <c r="G103" s="1">
        <v>92</v>
      </c>
      <c r="H103" s="1">
        <v>141</v>
      </c>
      <c r="I103" s="1">
        <v>184</v>
      </c>
      <c r="J103" s="1">
        <v>126</v>
      </c>
      <c r="K103" s="1">
        <v>102</v>
      </c>
      <c r="L103" s="1">
        <v>53</v>
      </c>
      <c r="M103" s="1">
        <v>81.400000000000006</v>
      </c>
      <c r="N103" s="1">
        <v>46.798562400000002</v>
      </c>
      <c r="O103" s="1">
        <v>8.2319735999999999</v>
      </c>
      <c r="P103" s="14">
        <f t="shared" si="10"/>
        <v>87.5</v>
      </c>
      <c r="Q103" s="13">
        <f t="shared" si="11"/>
        <v>40.090090090090094</v>
      </c>
      <c r="R103" s="16">
        <f t="shared" si="12"/>
        <v>90.9</v>
      </c>
      <c r="S103" s="14">
        <f t="shared" si="13"/>
        <v>53.795379537953792</v>
      </c>
      <c r="T103" s="13">
        <f t="shared" si="14"/>
        <v>81.699999999999989</v>
      </c>
      <c r="U103" s="14">
        <f t="shared" si="15"/>
        <v>89.9</v>
      </c>
      <c r="V103" s="14">
        <f t="shared" si="16"/>
        <v>94.8</v>
      </c>
      <c r="W103" s="1">
        <f t="shared" si="17"/>
        <v>89.9</v>
      </c>
      <c r="X103" s="1" t="str">
        <f>IF(Table1[[#This Row],[World Rank]]&lt;=250,"Q1-Elite",IF(Table1[[#This Row],[World Rank]]&lt;=500,"Q2-Strong",IF(Table1[[#This Row],[World Rank]]&lt;=750,"Q3-Developing","Q4-Emerging")))</f>
        <v>Q1-Elite</v>
      </c>
    </row>
    <row r="104" spans="1:24" x14ac:dyDescent="0.2">
      <c r="A104" s="1">
        <v>103</v>
      </c>
      <c r="B104" s="1" t="s">
        <v>136</v>
      </c>
      <c r="C104" s="1" t="s">
        <v>137</v>
      </c>
      <c r="D104" s="1" t="s">
        <v>1125</v>
      </c>
      <c r="E104" s="1">
        <v>1</v>
      </c>
      <c r="F104" s="1">
        <v>667</v>
      </c>
      <c r="G104" s="1">
        <v>148</v>
      </c>
      <c r="H104" s="1">
        <v>304</v>
      </c>
      <c r="I104" s="1">
        <v>38</v>
      </c>
      <c r="J104" s="1">
        <v>32</v>
      </c>
      <c r="K104" s="1">
        <v>94</v>
      </c>
      <c r="L104" s="1">
        <v>85</v>
      </c>
      <c r="M104" s="1">
        <v>81.400000000000006</v>
      </c>
      <c r="N104" s="1">
        <v>1.3571070000000001</v>
      </c>
      <c r="O104" s="1">
        <v>103.8194992</v>
      </c>
      <c r="P104" s="14">
        <f t="shared" si="10"/>
        <v>96.899999999999991</v>
      </c>
      <c r="Q104" s="13">
        <v>20</v>
      </c>
      <c r="R104" s="16">
        <f t="shared" si="12"/>
        <v>85.3</v>
      </c>
      <c r="S104" s="14">
        <f t="shared" si="13"/>
        <v>0</v>
      </c>
      <c r="T104" s="13">
        <f t="shared" si="14"/>
        <v>96.3</v>
      </c>
      <c r="U104" s="14">
        <f t="shared" si="15"/>
        <v>90.7</v>
      </c>
      <c r="V104" s="14">
        <f t="shared" si="16"/>
        <v>91.600000000000009</v>
      </c>
      <c r="W104" s="1">
        <f t="shared" si="17"/>
        <v>89.8</v>
      </c>
      <c r="X104" s="1" t="str">
        <f>IF(Table1[[#This Row],[World Rank]]&lt;=250,"Q1-Elite",IF(Table1[[#This Row],[World Rank]]&lt;=500,"Q2-Strong",IF(Table1[[#This Row],[World Rank]]&lt;=750,"Q3-Developing","Q4-Emerging")))</f>
        <v>Q1-Elite</v>
      </c>
    </row>
    <row r="105" spans="1:24" x14ac:dyDescent="0.2">
      <c r="A105" s="1">
        <v>104</v>
      </c>
      <c r="B105" s="1" t="s">
        <v>138</v>
      </c>
      <c r="C105" s="1" t="s">
        <v>139</v>
      </c>
      <c r="D105" s="1" t="s">
        <v>1124</v>
      </c>
      <c r="E105" s="1">
        <v>1</v>
      </c>
      <c r="F105" s="1">
        <v>311</v>
      </c>
      <c r="G105" s="1">
        <v>685</v>
      </c>
      <c r="H105" s="1">
        <v>190</v>
      </c>
      <c r="I105" s="1">
        <v>55</v>
      </c>
      <c r="J105" s="1">
        <v>68</v>
      </c>
      <c r="K105" s="1">
        <v>136</v>
      </c>
      <c r="L105" s="1">
        <v>101</v>
      </c>
      <c r="M105" s="1">
        <v>81.3</v>
      </c>
      <c r="N105" s="1">
        <v>50.6402809</v>
      </c>
      <c r="O105" s="1">
        <v>4.6667145000000003</v>
      </c>
      <c r="P105" s="14">
        <f t="shared" si="10"/>
        <v>93.300000000000011</v>
      </c>
      <c r="Q105" s="13">
        <f t="shared" si="11"/>
        <v>53.453453453453456</v>
      </c>
      <c r="R105" s="16">
        <f t="shared" si="12"/>
        <v>31.6</v>
      </c>
      <c r="S105" s="14">
        <f t="shared" si="13"/>
        <v>37.623762376237622</v>
      </c>
      <c r="T105" s="13">
        <f t="shared" si="14"/>
        <v>94.6</v>
      </c>
      <c r="U105" s="14">
        <f t="shared" si="15"/>
        <v>86.5</v>
      </c>
      <c r="V105" s="14">
        <f t="shared" si="16"/>
        <v>90</v>
      </c>
      <c r="W105" s="1">
        <f t="shared" si="17"/>
        <v>89.7</v>
      </c>
      <c r="X105" s="1" t="str">
        <f>IF(Table1[[#This Row],[World Rank]]&lt;=250,"Q1-Elite",IF(Table1[[#This Row],[World Rank]]&lt;=500,"Q2-Strong",IF(Table1[[#This Row],[World Rank]]&lt;=750,"Q3-Developing","Q4-Emerging")))</f>
        <v>Q1-Elite</v>
      </c>
    </row>
    <row r="106" spans="1:24" x14ac:dyDescent="0.2">
      <c r="A106" s="1">
        <v>105</v>
      </c>
      <c r="B106" s="1" t="s">
        <v>140</v>
      </c>
      <c r="C106" s="1" t="s">
        <v>15</v>
      </c>
      <c r="D106" s="1" t="s">
        <v>1120</v>
      </c>
      <c r="E106" s="1">
        <v>52</v>
      </c>
      <c r="F106" s="1">
        <v>73</v>
      </c>
      <c r="G106" s="1">
        <v>74</v>
      </c>
      <c r="H106" s="1">
        <v>139</v>
      </c>
      <c r="I106" s="1">
        <v>220</v>
      </c>
      <c r="J106" s="1">
        <v>148</v>
      </c>
      <c r="K106" s="1">
        <v>139</v>
      </c>
      <c r="L106" s="1">
        <v>66</v>
      </c>
      <c r="M106" s="1">
        <v>81.3</v>
      </c>
      <c r="N106" s="1">
        <v>39.783730400000003</v>
      </c>
      <c r="O106" s="1">
        <v>-100.445882</v>
      </c>
      <c r="P106" s="14">
        <f t="shared" si="10"/>
        <v>85.3</v>
      </c>
      <c r="Q106" s="13">
        <f t="shared" si="11"/>
        <v>89.189189189189193</v>
      </c>
      <c r="R106" s="16">
        <f t="shared" si="12"/>
        <v>92.7</v>
      </c>
      <c r="S106" s="14">
        <f t="shared" si="13"/>
        <v>54.455445544554458</v>
      </c>
      <c r="T106" s="13">
        <f t="shared" si="14"/>
        <v>78.100000000000009</v>
      </c>
      <c r="U106" s="14">
        <f t="shared" si="15"/>
        <v>86.2</v>
      </c>
      <c r="V106" s="14">
        <f t="shared" si="16"/>
        <v>93.5</v>
      </c>
      <c r="W106" s="1">
        <f t="shared" si="17"/>
        <v>89.600000000000009</v>
      </c>
      <c r="X106" s="1" t="str">
        <f>IF(Table1[[#This Row],[World Rank]]&lt;=250,"Q1-Elite",IF(Table1[[#This Row],[World Rank]]&lt;=500,"Q2-Strong",IF(Table1[[#This Row],[World Rank]]&lt;=750,"Q3-Developing","Q4-Emerging")))</f>
        <v>Q1-Elite</v>
      </c>
    </row>
    <row r="107" spans="1:24" x14ac:dyDescent="0.2">
      <c r="A107" s="1">
        <v>106</v>
      </c>
      <c r="B107" s="1" t="s">
        <v>141</v>
      </c>
      <c r="C107" s="1" t="s">
        <v>99</v>
      </c>
      <c r="D107" s="1" t="s">
        <v>1124</v>
      </c>
      <c r="E107" s="1">
        <v>4</v>
      </c>
      <c r="F107" s="1">
        <v>667</v>
      </c>
      <c r="G107" s="1">
        <v>90</v>
      </c>
      <c r="H107" s="1">
        <v>264</v>
      </c>
      <c r="I107" s="1">
        <v>120</v>
      </c>
      <c r="J107" s="1">
        <v>84</v>
      </c>
      <c r="K107" s="1">
        <v>107</v>
      </c>
      <c r="L107" s="1">
        <v>72</v>
      </c>
      <c r="M107" s="1">
        <v>81.3</v>
      </c>
      <c r="N107" s="1">
        <v>52.243497900000001</v>
      </c>
      <c r="O107" s="1">
        <v>5.6343227000000002</v>
      </c>
      <c r="P107" s="14">
        <f t="shared" si="10"/>
        <v>91.7</v>
      </c>
      <c r="Q107" s="13">
        <v>20</v>
      </c>
      <c r="R107" s="16">
        <f t="shared" si="12"/>
        <v>91.100000000000009</v>
      </c>
      <c r="S107" s="14">
        <f t="shared" si="13"/>
        <v>13.201320132013199</v>
      </c>
      <c r="T107" s="13">
        <f t="shared" si="14"/>
        <v>88.1</v>
      </c>
      <c r="U107" s="14">
        <f t="shared" si="15"/>
        <v>89.4</v>
      </c>
      <c r="V107" s="14">
        <f t="shared" si="16"/>
        <v>92.9</v>
      </c>
      <c r="W107" s="1">
        <f t="shared" si="17"/>
        <v>89.5</v>
      </c>
      <c r="X107" s="1" t="str">
        <f>IF(Table1[[#This Row],[World Rank]]&lt;=250,"Q1-Elite",IF(Table1[[#This Row],[World Rank]]&lt;=500,"Q2-Strong",IF(Table1[[#This Row],[World Rank]]&lt;=750,"Q3-Developing","Q4-Emerging")))</f>
        <v>Q1-Elite</v>
      </c>
    </row>
    <row r="108" spans="1:24" x14ac:dyDescent="0.2">
      <c r="A108" s="1">
        <v>107</v>
      </c>
      <c r="B108" s="1" t="s">
        <v>142</v>
      </c>
      <c r="C108" s="1" t="s">
        <v>139</v>
      </c>
      <c r="D108" s="1" t="s">
        <v>1124</v>
      </c>
      <c r="E108" s="1">
        <v>2</v>
      </c>
      <c r="F108" s="1">
        <v>667</v>
      </c>
      <c r="G108" s="1">
        <v>429</v>
      </c>
      <c r="H108" s="1">
        <v>304</v>
      </c>
      <c r="I108" s="1">
        <v>48</v>
      </c>
      <c r="J108" s="1">
        <v>47</v>
      </c>
      <c r="K108" s="1">
        <v>84</v>
      </c>
      <c r="L108" s="1">
        <v>66</v>
      </c>
      <c r="M108" s="1">
        <v>81.2</v>
      </c>
      <c r="N108" s="1">
        <v>50.6402809</v>
      </c>
      <c r="O108" s="1">
        <v>4.6667145000000003</v>
      </c>
      <c r="P108" s="14">
        <f t="shared" si="10"/>
        <v>95.399999999999991</v>
      </c>
      <c r="Q108" s="13">
        <v>20</v>
      </c>
      <c r="R108" s="16">
        <f t="shared" si="12"/>
        <v>57.199999999999996</v>
      </c>
      <c r="S108" s="14">
        <f t="shared" si="13"/>
        <v>0</v>
      </c>
      <c r="T108" s="13">
        <f t="shared" si="14"/>
        <v>95.3</v>
      </c>
      <c r="U108" s="14">
        <f t="shared" si="15"/>
        <v>91.7</v>
      </c>
      <c r="V108" s="14">
        <f t="shared" si="16"/>
        <v>93.5</v>
      </c>
      <c r="W108" s="1">
        <f t="shared" si="17"/>
        <v>89.4</v>
      </c>
      <c r="X108" s="1" t="str">
        <f>IF(Table1[[#This Row],[World Rank]]&lt;=250,"Q1-Elite",IF(Table1[[#This Row],[World Rank]]&lt;=500,"Q2-Strong",IF(Table1[[#This Row],[World Rank]]&lt;=750,"Q3-Developing","Q4-Emerging")))</f>
        <v>Q1-Elite</v>
      </c>
    </row>
    <row r="109" spans="1:24" x14ac:dyDescent="0.2">
      <c r="A109" s="1">
        <v>108</v>
      </c>
      <c r="B109" s="1" t="s">
        <v>143</v>
      </c>
      <c r="C109" s="1" t="s">
        <v>46</v>
      </c>
      <c r="D109" s="1" t="s">
        <v>1124</v>
      </c>
      <c r="E109" s="1">
        <v>6</v>
      </c>
      <c r="F109" s="1">
        <v>183</v>
      </c>
      <c r="G109" s="1">
        <v>1001</v>
      </c>
      <c r="H109" s="1">
        <v>102</v>
      </c>
      <c r="I109" s="1">
        <v>160</v>
      </c>
      <c r="J109" s="1">
        <v>144</v>
      </c>
      <c r="K109" s="1">
        <v>105</v>
      </c>
      <c r="L109" s="1">
        <v>85</v>
      </c>
      <c r="M109" s="1">
        <v>81.2</v>
      </c>
      <c r="N109" s="1">
        <v>46.798562400000002</v>
      </c>
      <c r="O109" s="1">
        <v>8.2319735999999999</v>
      </c>
      <c r="P109" s="14">
        <f t="shared" si="10"/>
        <v>85.7</v>
      </c>
      <c r="Q109" s="13">
        <f t="shared" si="11"/>
        <v>72.672672672672675</v>
      </c>
      <c r="R109" s="16">
        <f t="shared" si="12"/>
        <v>0</v>
      </c>
      <c r="S109" s="14">
        <f t="shared" si="13"/>
        <v>66.666666666666657</v>
      </c>
      <c r="T109" s="13">
        <f t="shared" si="14"/>
        <v>84.1</v>
      </c>
      <c r="U109" s="14">
        <f t="shared" si="15"/>
        <v>89.600000000000009</v>
      </c>
      <c r="V109" s="14">
        <f t="shared" si="16"/>
        <v>91.600000000000009</v>
      </c>
      <c r="W109" s="1">
        <f t="shared" si="17"/>
        <v>89.3</v>
      </c>
      <c r="X109" s="1" t="str">
        <f>IF(Table1[[#This Row],[World Rank]]&lt;=250,"Q1-Elite",IF(Table1[[#This Row],[World Rank]]&lt;=500,"Q2-Strong",IF(Table1[[#This Row],[World Rank]]&lt;=750,"Q3-Developing","Q4-Emerging")))</f>
        <v>Q1-Elite</v>
      </c>
    </row>
    <row r="110" spans="1:24" x14ac:dyDescent="0.2">
      <c r="A110" s="1">
        <v>109</v>
      </c>
      <c r="B110" s="1" t="s">
        <v>144</v>
      </c>
      <c r="C110" s="1" t="s">
        <v>145</v>
      </c>
      <c r="D110" s="1" t="s">
        <v>1125</v>
      </c>
      <c r="E110" s="1">
        <v>1</v>
      </c>
      <c r="F110" s="1">
        <v>140</v>
      </c>
      <c r="G110" s="1">
        <v>37</v>
      </c>
      <c r="H110" s="1">
        <v>304</v>
      </c>
      <c r="I110" s="1">
        <v>51</v>
      </c>
      <c r="J110" s="1">
        <v>61</v>
      </c>
      <c r="K110" s="1">
        <v>223</v>
      </c>
      <c r="L110" s="1">
        <v>151</v>
      </c>
      <c r="M110" s="1">
        <v>81.099999999999994</v>
      </c>
      <c r="N110" s="1">
        <v>23.598322700000001</v>
      </c>
      <c r="O110" s="2" t="s">
        <v>146</v>
      </c>
      <c r="P110" s="14">
        <f t="shared" si="10"/>
        <v>94</v>
      </c>
      <c r="Q110" s="13">
        <f t="shared" si="11"/>
        <v>79.129129129129126</v>
      </c>
      <c r="R110" s="16">
        <f t="shared" si="12"/>
        <v>96.399999999999991</v>
      </c>
      <c r="S110" s="14">
        <f t="shared" si="13"/>
        <v>0</v>
      </c>
      <c r="T110" s="13">
        <f t="shared" si="14"/>
        <v>95</v>
      </c>
      <c r="U110" s="14">
        <f t="shared" si="15"/>
        <v>77.8</v>
      </c>
      <c r="V110" s="14">
        <f t="shared" si="16"/>
        <v>85</v>
      </c>
      <c r="W110" s="1">
        <f t="shared" si="17"/>
        <v>89.2</v>
      </c>
      <c r="X110" s="1" t="str">
        <f>IF(Table1[[#This Row],[World Rank]]&lt;=250,"Q1-Elite",IF(Table1[[#This Row],[World Rank]]&lt;=500,"Q2-Strong",IF(Table1[[#This Row],[World Rank]]&lt;=750,"Q3-Developing","Q4-Emerging")))</f>
        <v>Q1-Elite</v>
      </c>
    </row>
    <row r="111" spans="1:24" x14ac:dyDescent="0.2">
      <c r="A111" s="1">
        <v>110</v>
      </c>
      <c r="B111" s="1" t="s">
        <v>147</v>
      </c>
      <c r="C111" s="1" t="s">
        <v>34</v>
      </c>
      <c r="D111" s="1" t="s">
        <v>1120</v>
      </c>
      <c r="E111" s="1">
        <v>5</v>
      </c>
      <c r="F111" s="1">
        <v>486</v>
      </c>
      <c r="G111" s="1">
        <v>455</v>
      </c>
      <c r="H111" s="1">
        <v>205</v>
      </c>
      <c r="I111" s="1">
        <v>86</v>
      </c>
      <c r="J111" s="1">
        <v>91</v>
      </c>
      <c r="K111" s="1">
        <v>93</v>
      </c>
      <c r="L111" s="1">
        <v>139</v>
      </c>
      <c r="M111" s="1">
        <v>81.099999999999994</v>
      </c>
      <c r="N111" s="1">
        <v>61.066692199999999</v>
      </c>
      <c r="O111" s="1">
        <v>-107.99170700000001</v>
      </c>
      <c r="P111" s="14">
        <f t="shared" si="10"/>
        <v>91</v>
      </c>
      <c r="Q111" s="13">
        <f t="shared" si="11"/>
        <v>27.177177177177175</v>
      </c>
      <c r="R111" s="16">
        <f t="shared" si="12"/>
        <v>54.6</v>
      </c>
      <c r="S111" s="14">
        <f t="shared" si="13"/>
        <v>32.673267326732677</v>
      </c>
      <c r="T111" s="13">
        <f t="shared" si="14"/>
        <v>91.5</v>
      </c>
      <c r="U111" s="14">
        <f t="shared" si="15"/>
        <v>90.8</v>
      </c>
      <c r="V111" s="14">
        <f t="shared" si="16"/>
        <v>86.2</v>
      </c>
      <c r="W111" s="1">
        <f t="shared" si="17"/>
        <v>89.1</v>
      </c>
      <c r="X111" s="1" t="str">
        <f>IF(Table1[[#This Row],[World Rank]]&lt;=250,"Q1-Elite",IF(Table1[[#This Row],[World Rank]]&lt;=500,"Q2-Strong",IF(Table1[[#This Row],[World Rank]]&lt;=750,"Q3-Developing","Q4-Emerging")))</f>
        <v>Q1-Elite</v>
      </c>
    </row>
    <row r="112" spans="1:24" x14ac:dyDescent="0.2">
      <c r="A112" s="1">
        <v>111</v>
      </c>
      <c r="B112" s="1" t="s">
        <v>148</v>
      </c>
      <c r="C112" s="1" t="s">
        <v>15</v>
      </c>
      <c r="D112" s="1" t="s">
        <v>1120</v>
      </c>
      <c r="E112" s="1">
        <v>53</v>
      </c>
      <c r="F112" s="1">
        <v>343</v>
      </c>
      <c r="G112" s="1">
        <v>1001</v>
      </c>
      <c r="H112" s="1">
        <v>45</v>
      </c>
      <c r="I112" s="1">
        <v>412</v>
      </c>
      <c r="J112" s="1">
        <v>275</v>
      </c>
      <c r="K112" s="1">
        <v>60</v>
      </c>
      <c r="L112" s="1">
        <v>93</v>
      </c>
      <c r="M112" s="1">
        <v>81.099999999999994</v>
      </c>
      <c r="N112" s="1">
        <v>39.783730400000003</v>
      </c>
      <c r="O112" s="1">
        <v>-100.445882</v>
      </c>
      <c r="P112" s="14">
        <f t="shared" si="10"/>
        <v>72.599999999999994</v>
      </c>
      <c r="Q112" s="13">
        <f t="shared" si="11"/>
        <v>48.648648648648653</v>
      </c>
      <c r="R112" s="16">
        <f t="shared" si="12"/>
        <v>0</v>
      </c>
      <c r="S112" s="14">
        <f t="shared" si="13"/>
        <v>85.478547854785475</v>
      </c>
      <c r="T112" s="13">
        <f t="shared" si="14"/>
        <v>58.9</v>
      </c>
      <c r="U112" s="14">
        <f t="shared" si="15"/>
        <v>94.1</v>
      </c>
      <c r="V112" s="14">
        <f t="shared" si="16"/>
        <v>90.8</v>
      </c>
      <c r="W112" s="1">
        <f t="shared" si="17"/>
        <v>89</v>
      </c>
      <c r="X112" s="1" t="str">
        <f>IF(Table1[[#This Row],[World Rank]]&lt;=250,"Q1-Elite",IF(Table1[[#This Row],[World Rank]]&lt;=500,"Q2-Strong",IF(Table1[[#This Row],[World Rank]]&lt;=750,"Q3-Developing","Q4-Emerging")))</f>
        <v>Q1-Elite</v>
      </c>
    </row>
    <row r="113" spans="1:24" x14ac:dyDescent="0.2">
      <c r="A113" s="1">
        <v>112</v>
      </c>
      <c r="B113" s="1" t="s">
        <v>149</v>
      </c>
      <c r="C113" s="1" t="s">
        <v>68</v>
      </c>
      <c r="D113" s="1" t="s">
        <v>1124</v>
      </c>
      <c r="E113" s="1">
        <v>5</v>
      </c>
      <c r="F113" s="1">
        <v>89</v>
      </c>
      <c r="G113" s="1">
        <v>339</v>
      </c>
      <c r="H113" s="1">
        <v>226</v>
      </c>
      <c r="I113" s="1">
        <v>106</v>
      </c>
      <c r="J113" s="1">
        <v>98</v>
      </c>
      <c r="K113" s="1">
        <v>86</v>
      </c>
      <c r="L113" s="1">
        <v>139</v>
      </c>
      <c r="M113" s="1">
        <v>81</v>
      </c>
      <c r="N113" s="1">
        <v>40.420347900000003</v>
      </c>
      <c r="O113" s="1">
        <v>-79.116698299999996</v>
      </c>
      <c r="P113" s="14">
        <f t="shared" si="10"/>
        <v>90.3</v>
      </c>
      <c r="Q113" s="13">
        <f t="shared" si="11"/>
        <v>86.786786786786791</v>
      </c>
      <c r="R113" s="16">
        <f t="shared" si="12"/>
        <v>66.2</v>
      </c>
      <c r="S113" s="14">
        <f t="shared" si="13"/>
        <v>25.742574257425744</v>
      </c>
      <c r="T113" s="13">
        <f t="shared" si="14"/>
        <v>89.5</v>
      </c>
      <c r="U113" s="14">
        <f t="shared" si="15"/>
        <v>91.5</v>
      </c>
      <c r="V113" s="14">
        <f t="shared" si="16"/>
        <v>86.2</v>
      </c>
      <c r="W113" s="1">
        <f t="shared" si="17"/>
        <v>88.9</v>
      </c>
      <c r="X113" s="1" t="str">
        <f>IF(Table1[[#This Row],[World Rank]]&lt;=250,"Q1-Elite",IF(Table1[[#This Row],[World Rank]]&lt;=500,"Q2-Strong",IF(Table1[[#This Row],[World Rank]]&lt;=750,"Q3-Developing","Q4-Emerging")))</f>
        <v>Q1-Elite</v>
      </c>
    </row>
    <row r="114" spans="1:24" x14ac:dyDescent="0.2">
      <c r="A114" s="1">
        <v>113</v>
      </c>
      <c r="B114" s="1" t="s">
        <v>150</v>
      </c>
      <c r="C114" s="1" t="s">
        <v>28</v>
      </c>
      <c r="D114" s="1" t="s">
        <v>1125</v>
      </c>
      <c r="E114" s="1">
        <v>4</v>
      </c>
      <c r="F114" s="1">
        <v>69</v>
      </c>
      <c r="G114" s="1">
        <v>366</v>
      </c>
      <c r="H114" s="1">
        <v>67</v>
      </c>
      <c r="I114" s="1">
        <v>132</v>
      </c>
      <c r="J114" s="1">
        <v>165</v>
      </c>
      <c r="K114" s="1">
        <v>169</v>
      </c>
      <c r="L114" s="1">
        <v>222</v>
      </c>
      <c r="M114" s="1">
        <v>81</v>
      </c>
      <c r="N114" s="1">
        <v>36.5748441</v>
      </c>
      <c r="O114" s="1">
        <v>139.23941790000001</v>
      </c>
      <c r="P114" s="14">
        <f t="shared" si="10"/>
        <v>83.6</v>
      </c>
      <c r="Q114" s="13">
        <f t="shared" si="11"/>
        <v>89.789789789789793</v>
      </c>
      <c r="R114" s="16">
        <f t="shared" si="12"/>
        <v>63.5</v>
      </c>
      <c r="S114" s="14">
        <f t="shared" si="13"/>
        <v>78.21782178217822</v>
      </c>
      <c r="T114" s="13">
        <f t="shared" si="14"/>
        <v>86.9</v>
      </c>
      <c r="U114" s="14">
        <f t="shared" si="15"/>
        <v>83.2</v>
      </c>
      <c r="V114" s="14">
        <f t="shared" si="16"/>
        <v>77.900000000000006</v>
      </c>
      <c r="W114" s="1">
        <f t="shared" si="17"/>
        <v>88.8</v>
      </c>
      <c r="X114" s="1" t="str">
        <f>IF(Table1[[#This Row],[World Rank]]&lt;=250,"Q1-Elite",IF(Table1[[#This Row],[World Rank]]&lt;=500,"Q2-Strong",IF(Table1[[#This Row],[World Rank]]&lt;=750,"Q3-Developing","Q4-Emerging")))</f>
        <v>Q1-Elite</v>
      </c>
    </row>
    <row r="115" spans="1:24" x14ac:dyDescent="0.2">
      <c r="A115" s="1">
        <v>114</v>
      </c>
      <c r="B115" s="1" t="s">
        <v>151</v>
      </c>
      <c r="C115" s="1" t="s">
        <v>15</v>
      </c>
      <c r="D115" s="1" t="s">
        <v>1120</v>
      </c>
      <c r="E115" s="1">
        <v>54</v>
      </c>
      <c r="F115" s="1">
        <v>667</v>
      </c>
      <c r="G115" s="1">
        <v>796</v>
      </c>
      <c r="H115" s="1">
        <v>111</v>
      </c>
      <c r="I115" s="1">
        <v>155</v>
      </c>
      <c r="J115" s="1">
        <v>139</v>
      </c>
      <c r="K115" s="1">
        <v>113</v>
      </c>
      <c r="L115" s="1">
        <v>114</v>
      </c>
      <c r="M115" s="1">
        <v>80.900000000000006</v>
      </c>
      <c r="N115" s="1">
        <v>39.783730400000003</v>
      </c>
      <c r="O115" s="1">
        <v>-100.445882</v>
      </c>
      <c r="P115" s="14">
        <f t="shared" si="10"/>
        <v>86.2</v>
      </c>
      <c r="Q115" s="13">
        <v>20</v>
      </c>
      <c r="R115" s="16">
        <f t="shared" si="12"/>
        <v>20.5</v>
      </c>
      <c r="S115" s="14">
        <f t="shared" si="13"/>
        <v>63.696369636963702</v>
      </c>
      <c r="T115" s="13">
        <f t="shared" si="14"/>
        <v>84.6</v>
      </c>
      <c r="U115" s="14">
        <f t="shared" si="15"/>
        <v>88.8</v>
      </c>
      <c r="V115" s="14">
        <f t="shared" si="16"/>
        <v>88.7</v>
      </c>
      <c r="W115" s="1">
        <f t="shared" si="17"/>
        <v>88.7</v>
      </c>
      <c r="X115" s="1" t="str">
        <f>IF(Table1[[#This Row],[World Rank]]&lt;=250,"Q1-Elite",IF(Table1[[#This Row],[World Rank]]&lt;=500,"Q2-Strong",IF(Table1[[#This Row],[World Rank]]&lt;=750,"Q3-Developing","Q4-Emerging")))</f>
        <v>Q1-Elite</v>
      </c>
    </row>
    <row r="116" spans="1:24" x14ac:dyDescent="0.2">
      <c r="A116" s="1">
        <v>115</v>
      </c>
      <c r="B116" s="1" t="s">
        <v>152</v>
      </c>
      <c r="C116" s="1" t="s">
        <v>68</v>
      </c>
      <c r="D116" s="1" t="s">
        <v>1124</v>
      </c>
      <c r="E116" s="1">
        <v>6</v>
      </c>
      <c r="F116" s="1">
        <v>123</v>
      </c>
      <c r="G116" s="1">
        <v>494</v>
      </c>
      <c r="H116" s="1">
        <v>105</v>
      </c>
      <c r="I116" s="1">
        <v>167</v>
      </c>
      <c r="J116" s="1">
        <v>158</v>
      </c>
      <c r="K116" s="1">
        <v>123</v>
      </c>
      <c r="L116" s="1">
        <v>101</v>
      </c>
      <c r="M116" s="1">
        <v>80.900000000000006</v>
      </c>
      <c r="N116" s="1">
        <v>40.420347900000003</v>
      </c>
      <c r="O116" s="1">
        <v>-79.116698299999996</v>
      </c>
      <c r="P116" s="14">
        <f t="shared" si="10"/>
        <v>84.3</v>
      </c>
      <c r="Q116" s="13">
        <f t="shared" si="11"/>
        <v>81.681681681681681</v>
      </c>
      <c r="R116" s="16">
        <f t="shared" si="12"/>
        <v>50.7</v>
      </c>
      <c r="S116" s="14">
        <f t="shared" si="13"/>
        <v>65.67656765676567</v>
      </c>
      <c r="T116" s="13">
        <f t="shared" si="14"/>
        <v>83.399999999999991</v>
      </c>
      <c r="U116" s="14">
        <f t="shared" si="15"/>
        <v>87.8</v>
      </c>
      <c r="V116" s="14">
        <f t="shared" si="16"/>
        <v>90</v>
      </c>
      <c r="W116" s="1">
        <f t="shared" si="17"/>
        <v>88.6</v>
      </c>
      <c r="X116" s="1" t="str">
        <f>IF(Table1[[#This Row],[World Rank]]&lt;=250,"Q1-Elite",IF(Table1[[#This Row],[World Rank]]&lt;=500,"Q2-Strong",IF(Table1[[#This Row],[World Rank]]&lt;=750,"Q3-Developing","Q4-Emerging")))</f>
        <v>Q1-Elite</v>
      </c>
    </row>
    <row r="117" spans="1:24" x14ac:dyDescent="0.2">
      <c r="A117" s="1">
        <v>116</v>
      </c>
      <c r="B117" s="1" t="s">
        <v>153</v>
      </c>
      <c r="C117" s="1" t="s">
        <v>48</v>
      </c>
      <c r="D117" s="1" t="s">
        <v>1124</v>
      </c>
      <c r="E117" s="1">
        <v>5</v>
      </c>
      <c r="F117" s="1">
        <v>85</v>
      </c>
      <c r="G117" s="1">
        <v>5</v>
      </c>
      <c r="H117" s="1">
        <v>240</v>
      </c>
      <c r="I117" s="1">
        <v>488</v>
      </c>
      <c r="J117" s="1">
        <v>396</v>
      </c>
      <c r="K117" s="1">
        <v>348</v>
      </c>
      <c r="L117" s="1">
        <v>254</v>
      </c>
      <c r="M117" s="1">
        <v>80.900000000000006</v>
      </c>
      <c r="N117" s="1">
        <v>46.603354000000003</v>
      </c>
      <c r="O117" s="1">
        <v>1.8883335000000001</v>
      </c>
      <c r="P117" s="14">
        <f t="shared" si="10"/>
        <v>60.5</v>
      </c>
      <c r="Q117" s="13">
        <f t="shared" si="11"/>
        <v>87.387387387387378</v>
      </c>
      <c r="R117" s="16">
        <f t="shared" si="12"/>
        <v>99.6</v>
      </c>
      <c r="S117" s="14">
        <f t="shared" si="13"/>
        <v>21.122112211221122</v>
      </c>
      <c r="T117" s="13">
        <f t="shared" si="14"/>
        <v>51.300000000000004</v>
      </c>
      <c r="U117" s="14">
        <f t="shared" si="15"/>
        <v>65.3</v>
      </c>
      <c r="V117" s="14">
        <f t="shared" si="16"/>
        <v>74.7</v>
      </c>
      <c r="W117" s="1">
        <f t="shared" si="17"/>
        <v>88.5</v>
      </c>
      <c r="X117" s="1" t="str">
        <f>IF(Table1[[#This Row],[World Rank]]&lt;=250,"Q1-Elite",IF(Table1[[#This Row],[World Rank]]&lt;=500,"Q2-Strong",IF(Table1[[#This Row],[World Rank]]&lt;=750,"Q3-Developing","Q4-Emerging")))</f>
        <v>Q1-Elite</v>
      </c>
    </row>
    <row r="118" spans="1:24" x14ac:dyDescent="0.2">
      <c r="A118" s="1">
        <v>117</v>
      </c>
      <c r="B118" s="1" t="s">
        <v>154</v>
      </c>
      <c r="C118" s="1" t="s">
        <v>48</v>
      </c>
      <c r="D118" s="1" t="s">
        <v>1124</v>
      </c>
      <c r="E118" s="1">
        <v>6</v>
      </c>
      <c r="F118" s="1">
        <v>6</v>
      </c>
      <c r="G118" s="1">
        <v>627</v>
      </c>
      <c r="H118" s="1">
        <v>82</v>
      </c>
      <c r="I118" s="1">
        <v>598</v>
      </c>
      <c r="J118" s="1">
        <v>442</v>
      </c>
      <c r="K118" s="1">
        <v>227</v>
      </c>
      <c r="L118" s="1">
        <v>460</v>
      </c>
      <c r="M118" s="1">
        <v>80.8</v>
      </c>
      <c r="N118" s="1">
        <v>46.603354000000003</v>
      </c>
      <c r="O118" s="1">
        <v>1.8883335000000001</v>
      </c>
      <c r="P118" s="14">
        <f t="shared" si="10"/>
        <v>55.900000000000006</v>
      </c>
      <c r="Q118" s="13">
        <f t="shared" si="11"/>
        <v>99.249249249249246</v>
      </c>
      <c r="R118" s="16">
        <f t="shared" si="12"/>
        <v>37.4</v>
      </c>
      <c r="S118" s="14">
        <f t="shared" si="13"/>
        <v>73.267326732673268</v>
      </c>
      <c r="T118" s="13">
        <f t="shared" si="14"/>
        <v>40.300000000000004</v>
      </c>
      <c r="U118" s="14">
        <f t="shared" si="15"/>
        <v>77.400000000000006</v>
      </c>
      <c r="V118" s="14">
        <f t="shared" si="16"/>
        <v>54.1</v>
      </c>
      <c r="W118" s="1">
        <f t="shared" si="17"/>
        <v>88.4</v>
      </c>
      <c r="X118" s="1" t="str">
        <f>IF(Table1[[#This Row],[World Rank]]&lt;=250,"Q1-Elite",IF(Table1[[#This Row],[World Rank]]&lt;=500,"Q2-Strong",IF(Table1[[#This Row],[World Rank]]&lt;=750,"Q3-Developing","Q4-Emerging")))</f>
        <v>Q1-Elite</v>
      </c>
    </row>
    <row r="119" spans="1:24" x14ac:dyDescent="0.2">
      <c r="A119" s="1">
        <v>118</v>
      </c>
      <c r="B119" s="1" t="s">
        <v>155</v>
      </c>
      <c r="C119" s="1" t="s">
        <v>19</v>
      </c>
      <c r="D119" s="1" t="s">
        <v>1124</v>
      </c>
      <c r="E119" s="1">
        <v>9</v>
      </c>
      <c r="F119" s="1">
        <v>317</v>
      </c>
      <c r="G119" s="1">
        <v>375</v>
      </c>
      <c r="H119" s="1">
        <v>98</v>
      </c>
      <c r="I119" s="1">
        <v>138</v>
      </c>
      <c r="J119" s="1">
        <v>121</v>
      </c>
      <c r="K119" s="1">
        <v>179</v>
      </c>
      <c r="L119" s="1">
        <v>114</v>
      </c>
      <c r="M119" s="1">
        <v>80.8</v>
      </c>
      <c r="N119" s="1">
        <v>54.702354499999998</v>
      </c>
      <c r="O119" s="1">
        <v>-3.2765753000000002</v>
      </c>
      <c r="P119" s="14">
        <f t="shared" si="10"/>
        <v>88</v>
      </c>
      <c r="Q119" s="13">
        <f t="shared" si="11"/>
        <v>52.552552552552555</v>
      </c>
      <c r="R119" s="16">
        <f t="shared" si="12"/>
        <v>62.6</v>
      </c>
      <c r="S119" s="14">
        <f t="shared" si="13"/>
        <v>67.986798679867988</v>
      </c>
      <c r="T119" s="13">
        <f t="shared" si="14"/>
        <v>86.3</v>
      </c>
      <c r="U119" s="14">
        <f t="shared" si="15"/>
        <v>82.199999999999989</v>
      </c>
      <c r="V119" s="14">
        <f t="shared" si="16"/>
        <v>88.7</v>
      </c>
      <c r="W119" s="1">
        <f t="shared" si="17"/>
        <v>88.3</v>
      </c>
      <c r="X119" s="1" t="str">
        <f>IF(Table1[[#This Row],[World Rank]]&lt;=250,"Q1-Elite",IF(Table1[[#This Row],[World Rank]]&lt;=500,"Q2-Strong",IF(Table1[[#This Row],[World Rank]]&lt;=750,"Q3-Developing","Q4-Emerging")))</f>
        <v>Q1-Elite</v>
      </c>
    </row>
    <row r="120" spans="1:24" x14ac:dyDescent="0.2">
      <c r="A120" s="1">
        <v>119</v>
      </c>
      <c r="B120" s="1" t="s">
        <v>156</v>
      </c>
      <c r="C120" s="1" t="s">
        <v>81</v>
      </c>
      <c r="D120" s="1" t="s">
        <v>1121</v>
      </c>
      <c r="E120" s="1">
        <v>5</v>
      </c>
      <c r="F120" s="1">
        <v>399</v>
      </c>
      <c r="G120" s="1">
        <v>126</v>
      </c>
      <c r="H120" s="1">
        <v>278</v>
      </c>
      <c r="I120" s="1">
        <v>68</v>
      </c>
      <c r="J120" s="1">
        <v>74</v>
      </c>
      <c r="K120" s="1">
        <v>154</v>
      </c>
      <c r="L120" s="1">
        <v>85</v>
      </c>
      <c r="M120" s="1">
        <v>80.8</v>
      </c>
      <c r="N120" s="1">
        <v>-24.776108600000001</v>
      </c>
      <c r="O120" s="1">
        <v>134.755</v>
      </c>
      <c r="P120" s="14">
        <f t="shared" si="10"/>
        <v>92.7</v>
      </c>
      <c r="Q120" s="13">
        <f t="shared" si="11"/>
        <v>40.24024024024024</v>
      </c>
      <c r="R120" s="16">
        <f t="shared" si="12"/>
        <v>87.5</v>
      </c>
      <c r="S120" s="14">
        <f t="shared" si="13"/>
        <v>8.5808580858085808</v>
      </c>
      <c r="T120" s="13">
        <f t="shared" si="14"/>
        <v>93.300000000000011</v>
      </c>
      <c r="U120" s="14">
        <f t="shared" si="15"/>
        <v>84.7</v>
      </c>
      <c r="V120" s="14">
        <f t="shared" si="16"/>
        <v>91.600000000000009</v>
      </c>
      <c r="W120" s="1">
        <f t="shared" si="17"/>
        <v>88.2</v>
      </c>
      <c r="X120" s="1" t="str">
        <f>IF(Table1[[#This Row],[World Rank]]&lt;=250,"Q1-Elite",IF(Table1[[#This Row],[World Rank]]&lt;=500,"Q2-Strong",IF(Table1[[#This Row],[World Rank]]&lt;=750,"Q3-Developing","Q4-Emerging")))</f>
        <v>Q1-Elite</v>
      </c>
    </row>
    <row r="121" spans="1:24" x14ac:dyDescent="0.2">
      <c r="A121" s="1">
        <v>120</v>
      </c>
      <c r="B121" s="1" t="s">
        <v>157</v>
      </c>
      <c r="C121" s="1" t="s">
        <v>28</v>
      </c>
      <c r="D121" s="1" t="s">
        <v>1125</v>
      </c>
      <c r="E121" s="1">
        <v>5</v>
      </c>
      <c r="F121" s="1">
        <v>82</v>
      </c>
      <c r="G121" s="1">
        <v>158</v>
      </c>
      <c r="H121" s="1">
        <v>246</v>
      </c>
      <c r="I121" s="1">
        <v>60</v>
      </c>
      <c r="J121" s="1">
        <v>101</v>
      </c>
      <c r="K121" s="1">
        <v>166</v>
      </c>
      <c r="L121" s="1">
        <v>167</v>
      </c>
      <c r="M121" s="1">
        <v>80.7</v>
      </c>
      <c r="N121" s="1">
        <v>36.5748441</v>
      </c>
      <c r="O121" s="1">
        <v>139.23941790000001</v>
      </c>
      <c r="P121" s="14">
        <f t="shared" si="10"/>
        <v>90</v>
      </c>
      <c r="Q121" s="13">
        <f t="shared" si="11"/>
        <v>87.837837837837839</v>
      </c>
      <c r="R121" s="16">
        <f t="shared" si="12"/>
        <v>84.3</v>
      </c>
      <c r="S121" s="14">
        <f t="shared" si="13"/>
        <v>19.141914191419144</v>
      </c>
      <c r="T121" s="13">
        <f t="shared" si="14"/>
        <v>94.1</v>
      </c>
      <c r="U121" s="14">
        <f t="shared" si="15"/>
        <v>83.5</v>
      </c>
      <c r="V121" s="14">
        <f t="shared" si="16"/>
        <v>83.399999999999991</v>
      </c>
      <c r="W121" s="1">
        <f t="shared" si="17"/>
        <v>88.1</v>
      </c>
      <c r="X121" s="1" t="str">
        <f>IF(Table1[[#This Row],[World Rank]]&lt;=250,"Q1-Elite",IF(Table1[[#This Row],[World Rank]]&lt;=500,"Q2-Strong",IF(Table1[[#This Row],[World Rank]]&lt;=750,"Q3-Developing","Q4-Emerging")))</f>
        <v>Q1-Elite</v>
      </c>
    </row>
    <row r="122" spans="1:24" x14ac:dyDescent="0.2">
      <c r="A122" s="1">
        <v>121</v>
      </c>
      <c r="B122" s="1" t="s">
        <v>158</v>
      </c>
      <c r="C122" s="1" t="s">
        <v>34</v>
      </c>
      <c r="D122" s="1" t="s">
        <v>1120</v>
      </c>
      <c r="E122" s="1">
        <v>6</v>
      </c>
      <c r="F122" s="1">
        <v>339</v>
      </c>
      <c r="G122" s="1">
        <v>660</v>
      </c>
      <c r="H122" s="1">
        <v>202</v>
      </c>
      <c r="I122" s="1">
        <v>140</v>
      </c>
      <c r="J122" s="1">
        <v>133</v>
      </c>
      <c r="K122" s="1">
        <v>124</v>
      </c>
      <c r="L122" s="1">
        <v>57</v>
      </c>
      <c r="M122" s="1">
        <v>80.7</v>
      </c>
      <c r="N122" s="1">
        <v>61.066692199999999</v>
      </c>
      <c r="O122" s="1">
        <v>-107.99170700000001</v>
      </c>
      <c r="P122" s="14">
        <f t="shared" si="10"/>
        <v>86.8</v>
      </c>
      <c r="Q122" s="13">
        <f t="shared" si="11"/>
        <v>49.249249249249246</v>
      </c>
      <c r="R122" s="16">
        <f t="shared" si="12"/>
        <v>34.1</v>
      </c>
      <c r="S122" s="14">
        <f t="shared" si="13"/>
        <v>33.663366336633665</v>
      </c>
      <c r="T122" s="13">
        <f t="shared" si="14"/>
        <v>86.1</v>
      </c>
      <c r="U122" s="14">
        <f t="shared" si="15"/>
        <v>87.7</v>
      </c>
      <c r="V122" s="14">
        <f t="shared" si="16"/>
        <v>94.399999999999991</v>
      </c>
      <c r="W122" s="1">
        <f t="shared" si="17"/>
        <v>88</v>
      </c>
      <c r="X122" s="1" t="str">
        <f>IF(Table1[[#This Row],[World Rank]]&lt;=250,"Q1-Elite",IF(Table1[[#This Row],[World Rank]]&lt;=500,"Q2-Strong",IF(Table1[[#This Row],[World Rank]]&lt;=750,"Q3-Developing","Q4-Emerging")))</f>
        <v>Q1-Elite</v>
      </c>
    </row>
    <row r="123" spans="1:24" x14ac:dyDescent="0.2">
      <c r="A123" s="1">
        <v>122</v>
      </c>
      <c r="B123" s="1" t="s">
        <v>159</v>
      </c>
      <c r="C123" s="1" t="s">
        <v>15</v>
      </c>
      <c r="D123" s="1" t="s">
        <v>1120</v>
      </c>
      <c r="E123" s="1">
        <v>55</v>
      </c>
      <c r="F123" s="1">
        <v>48</v>
      </c>
      <c r="G123" s="1">
        <v>17</v>
      </c>
      <c r="H123" s="1">
        <v>232</v>
      </c>
      <c r="I123" s="1">
        <v>372</v>
      </c>
      <c r="J123" s="1">
        <v>258</v>
      </c>
      <c r="K123" s="1">
        <v>185</v>
      </c>
      <c r="L123" s="1">
        <v>240</v>
      </c>
      <c r="M123" s="1">
        <v>80.599999999999994</v>
      </c>
      <c r="N123" s="1">
        <v>39.783730400000003</v>
      </c>
      <c r="O123" s="1">
        <v>-100.445882</v>
      </c>
      <c r="P123" s="14">
        <f t="shared" si="10"/>
        <v>74.3</v>
      </c>
      <c r="Q123" s="13">
        <f t="shared" si="11"/>
        <v>92.942942942942935</v>
      </c>
      <c r="R123" s="16">
        <f t="shared" si="12"/>
        <v>98.4</v>
      </c>
      <c r="S123" s="14">
        <f t="shared" si="13"/>
        <v>23.762376237623762</v>
      </c>
      <c r="T123" s="13">
        <f t="shared" si="14"/>
        <v>62.9</v>
      </c>
      <c r="U123" s="14">
        <f t="shared" si="15"/>
        <v>81.599999999999994</v>
      </c>
      <c r="V123" s="14">
        <f t="shared" si="16"/>
        <v>76.099999999999994</v>
      </c>
      <c r="W123" s="1">
        <f t="shared" si="17"/>
        <v>87.9</v>
      </c>
      <c r="X123" s="1" t="str">
        <f>IF(Table1[[#This Row],[World Rank]]&lt;=250,"Q1-Elite",IF(Table1[[#This Row],[World Rank]]&lt;=500,"Q2-Strong",IF(Table1[[#This Row],[World Rank]]&lt;=750,"Q3-Developing","Q4-Emerging")))</f>
        <v>Q1-Elite</v>
      </c>
    </row>
    <row r="124" spans="1:24" x14ac:dyDescent="0.2">
      <c r="A124" s="1">
        <v>123</v>
      </c>
      <c r="B124" s="1" t="s">
        <v>160</v>
      </c>
      <c r="C124" s="1" t="s">
        <v>99</v>
      </c>
      <c r="D124" s="1" t="s">
        <v>1124</v>
      </c>
      <c r="E124" s="1">
        <v>5</v>
      </c>
      <c r="F124" s="1">
        <v>175</v>
      </c>
      <c r="G124" s="1">
        <v>872</v>
      </c>
      <c r="H124" s="1">
        <v>298</v>
      </c>
      <c r="I124" s="1">
        <v>79</v>
      </c>
      <c r="J124" s="1">
        <v>62</v>
      </c>
      <c r="K124" s="1">
        <v>82</v>
      </c>
      <c r="L124" s="1">
        <v>85</v>
      </c>
      <c r="M124" s="1">
        <v>80.599999999999994</v>
      </c>
      <c r="N124" s="1">
        <v>52.243497900000001</v>
      </c>
      <c r="O124" s="1">
        <v>5.6343227000000002</v>
      </c>
      <c r="P124" s="14">
        <f t="shared" si="10"/>
        <v>93.899999999999991</v>
      </c>
      <c r="Q124" s="13">
        <f t="shared" si="11"/>
        <v>73.873873873873876</v>
      </c>
      <c r="R124" s="16">
        <f t="shared" si="12"/>
        <v>12.9</v>
      </c>
      <c r="S124" s="14">
        <f t="shared" si="13"/>
        <v>1.9801980198019802</v>
      </c>
      <c r="T124" s="13">
        <f t="shared" si="14"/>
        <v>92.2</v>
      </c>
      <c r="U124" s="14">
        <f t="shared" si="15"/>
        <v>91.9</v>
      </c>
      <c r="V124" s="14">
        <f t="shared" si="16"/>
        <v>91.600000000000009</v>
      </c>
      <c r="W124" s="1">
        <f t="shared" si="17"/>
        <v>87.8</v>
      </c>
      <c r="X124" s="1" t="str">
        <f>IF(Table1[[#This Row],[World Rank]]&lt;=250,"Q1-Elite",IF(Table1[[#This Row],[World Rank]]&lt;=500,"Q2-Strong",IF(Table1[[#This Row],[World Rank]]&lt;=750,"Q3-Developing","Q4-Emerging")))</f>
        <v>Q1-Elite</v>
      </c>
    </row>
    <row r="125" spans="1:24" x14ac:dyDescent="0.2">
      <c r="A125" s="1">
        <v>124</v>
      </c>
      <c r="B125" s="1" t="s">
        <v>161</v>
      </c>
      <c r="C125" s="1" t="s">
        <v>81</v>
      </c>
      <c r="D125" s="1" t="s">
        <v>1121</v>
      </c>
      <c r="E125" s="1">
        <v>6</v>
      </c>
      <c r="F125" s="1">
        <v>455</v>
      </c>
      <c r="G125" s="1">
        <v>405</v>
      </c>
      <c r="H125" s="1">
        <v>304</v>
      </c>
      <c r="I125" s="1">
        <v>56</v>
      </c>
      <c r="J125" s="1">
        <v>59</v>
      </c>
      <c r="K125" s="1">
        <v>100</v>
      </c>
      <c r="L125" s="1">
        <v>101</v>
      </c>
      <c r="M125" s="1">
        <v>80.599999999999994</v>
      </c>
      <c r="N125" s="1">
        <v>-24.776108600000001</v>
      </c>
      <c r="O125" s="1">
        <v>134.755</v>
      </c>
      <c r="P125" s="14">
        <f t="shared" si="10"/>
        <v>94.199999999999989</v>
      </c>
      <c r="Q125" s="13">
        <f t="shared" si="11"/>
        <v>31.831831831831831</v>
      </c>
      <c r="R125" s="16">
        <f t="shared" si="12"/>
        <v>59.599999999999994</v>
      </c>
      <c r="S125" s="14">
        <f t="shared" si="13"/>
        <v>0</v>
      </c>
      <c r="T125" s="13">
        <f t="shared" si="14"/>
        <v>94.5</v>
      </c>
      <c r="U125" s="14">
        <f t="shared" si="15"/>
        <v>90.100000000000009</v>
      </c>
      <c r="V125" s="14">
        <f t="shared" si="16"/>
        <v>90</v>
      </c>
      <c r="W125" s="1">
        <f t="shared" si="17"/>
        <v>87.7</v>
      </c>
      <c r="X125" s="1" t="str">
        <f>IF(Table1[[#This Row],[World Rank]]&lt;=250,"Q1-Elite",IF(Table1[[#This Row],[World Rank]]&lt;=500,"Q2-Strong",IF(Table1[[#This Row],[World Rank]]&lt;=750,"Q3-Developing","Q4-Emerging")))</f>
        <v>Q1-Elite</v>
      </c>
    </row>
    <row r="126" spans="1:24" x14ac:dyDescent="0.2">
      <c r="A126" s="1">
        <v>125</v>
      </c>
      <c r="B126" s="1" t="s">
        <v>162</v>
      </c>
      <c r="C126" s="1" t="s">
        <v>68</v>
      </c>
      <c r="D126" s="1" t="s">
        <v>1124</v>
      </c>
      <c r="E126" s="1">
        <v>7</v>
      </c>
      <c r="F126" s="1">
        <v>594</v>
      </c>
      <c r="G126" s="1">
        <v>414</v>
      </c>
      <c r="H126" s="1">
        <v>177</v>
      </c>
      <c r="I126" s="1">
        <v>139</v>
      </c>
      <c r="J126" s="1">
        <v>138</v>
      </c>
      <c r="K126" s="1">
        <v>130</v>
      </c>
      <c r="L126" s="1">
        <v>114</v>
      </c>
      <c r="M126" s="1">
        <v>80.5</v>
      </c>
      <c r="N126" s="1">
        <v>40.420347900000003</v>
      </c>
      <c r="O126" s="1">
        <v>-79.116698299999996</v>
      </c>
      <c r="P126" s="14">
        <f t="shared" si="10"/>
        <v>86.3</v>
      </c>
      <c r="Q126" s="13">
        <v>20</v>
      </c>
      <c r="R126" s="16">
        <f t="shared" si="12"/>
        <v>58.699999999999996</v>
      </c>
      <c r="S126" s="14">
        <f t="shared" si="13"/>
        <v>41.914191419141915</v>
      </c>
      <c r="T126" s="13">
        <f t="shared" si="14"/>
        <v>86.2</v>
      </c>
      <c r="U126" s="14">
        <f t="shared" si="15"/>
        <v>87.1</v>
      </c>
      <c r="V126" s="14">
        <f t="shared" si="16"/>
        <v>88.7</v>
      </c>
      <c r="W126" s="1">
        <f t="shared" si="17"/>
        <v>87.6</v>
      </c>
      <c r="X126" s="1" t="str">
        <f>IF(Table1[[#This Row],[World Rank]]&lt;=250,"Q1-Elite",IF(Table1[[#This Row],[World Rank]]&lt;=500,"Q2-Strong",IF(Table1[[#This Row],[World Rank]]&lt;=750,"Q3-Developing","Q4-Emerging")))</f>
        <v>Q1-Elite</v>
      </c>
    </row>
    <row r="127" spans="1:24" x14ac:dyDescent="0.2">
      <c r="A127" s="1">
        <v>126</v>
      </c>
      <c r="B127" s="1" t="s">
        <v>163</v>
      </c>
      <c r="C127" s="1" t="s">
        <v>164</v>
      </c>
      <c r="D127" s="1" t="s">
        <v>1124</v>
      </c>
      <c r="E127" s="1">
        <v>1</v>
      </c>
      <c r="F127" s="1">
        <v>23</v>
      </c>
      <c r="G127" s="1">
        <v>384</v>
      </c>
      <c r="H127" s="1">
        <v>71</v>
      </c>
      <c r="I127" s="1">
        <v>98</v>
      </c>
      <c r="J127" s="1">
        <v>289</v>
      </c>
      <c r="K127" s="1">
        <v>279</v>
      </c>
      <c r="L127" s="1">
        <v>304</v>
      </c>
      <c r="M127" s="1">
        <v>80.5</v>
      </c>
      <c r="N127" s="1">
        <v>40.2338211</v>
      </c>
      <c r="O127" s="1">
        <v>-84.409672900000004</v>
      </c>
      <c r="P127" s="14">
        <f t="shared" si="10"/>
        <v>71.2</v>
      </c>
      <c r="Q127" s="13">
        <f t="shared" si="11"/>
        <v>96.696696696696691</v>
      </c>
      <c r="R127" s="16">
        <f t="shared" si="12"/>
        <v>61.7</v>
      </c>
      <c r="S127" s="14">
        <f t="shared" si="13"/>
        <v>76.897689768976889</v>
      </c>
      <c r="T127" s="13">
        <f t="shared" si="14"/>
        <v>90.3</v>
      </c>
      <c r="U127" s="14">
        <f t="shared" si="15"/>
        <v>72.2</v>
      </c>
      <c r="V127" s="14">
        <f t="shared" si="16"/>
        <v>69.699999999999989</v>
      </c>
      <c r="W127" s="1">
        <f t="shared" si="17"/>
        <v>87.5</v>
      </c>
      <c r="X127" s="1" t="str">
        <f>IF(Table1[[#This Row],[World Rank]]&lt;=250,"Q1-Elite",IF(Table1[[#This Row],[World Rank]]&lt;=500,"Q2-Strong",IF(Table1[[#This Row],[World Rank]]&lt;=750,"Q3-Developing","Q4-Emerging")))</f>
        <v>Q1-Elite</v>
      </c>
    </row>
    <row r="128" spans="1:24" x14ac:dyDescent="0.2">
      <c r="A128" s="1">
        <v>127</v>
      </c>
      <c r="B128" s="1" t="s">
        <v>165</v>
      </c>
      <c r="C128" s="1" t="s">
        <v>99</v>
      </c>
      <c r="D128" s="1" t="s">
        <v>1124</v>
      </c>
      <c r="E128" s="1">
        <v>6</v>
      </c>
      <c r="F128" s="1">
        <v>667</v>
      </c>
      <c r="G128" s="1">
        <v>984</v>
      </c>
      <c r="H128" s="1">
        <v>304</v>
      </c>
      <c r="I128" s="1">
        <v>91</v>
      </c>
      <c r="J128" s="1">
        <v>71</v>
      </c>
      <c r="K128" s="1">
        <v>132</v>
      </c>
      <c r="L128" s="1">
        <v>44</v>
      </c>
      <c r="M128" s="1">
        <v>80.5</v>
      </c>
      <c r="N128" s="1">
        <v>52.243497900000001</v>
      </c>
      <c r="O128" s="1">
        <v>5.6343227000000002</v>
      </c>
      <c r="P128" s="14">
        <f t="shared" si="10"/>
        <v>93</v>
      </c>
      <c r="Q128" s="13">
        <v>20</v>
      </c>
      <c r="R128" s="16">
        <f t="shared" si="12"/>
        <v>1.7000000000000002</v>
      </c>
      <c r="S128" s="14">
        <f t="shared" si="13"/>
        <v>0</v>
      </c>
      <c r="T128" s="13">
        <f t="shared" si="14"/>
        <v>91</v>
      </c>
      <c r="U128" s="14">
        <f t="shared" si="15"/>
        <v>86.9</v>
      </c>
      <c r="V128" s="14">
        <f t="shared" si="16"/>
        <v>95.7</v>
      </c>
      <c r="W128" s="1">
        <f t="shared" si="17"/>
        <v>87.4</v>
      </c>
      <c r="X128" s="1" t="str">
        <f>IF(Table1[[#This Row],[World Rank]]&lt;=250,"Q1-Elite",IF(Table1[[#This Row],[World Rank]]&lt;=500,"Q2-Strong",IF(Table1[[#This Row],[World Rank]]&lt;=750,"Q3-Developing","Q4-Emerging")))</f>
        <v>Q1-Elite</v>
      </c>
    </row>
    <row r="129" spans="1:24" x14ac:dyDescent="0.2">
      <c r="A129" s="1">
        <v>128</v>
      </c>
      <c r="B129" s="1" t="s">
        <v>166</v>
      </c>
      <c r="C129" s="1" t="s">
        <v>15</v>
      </c>
      <c r="D129" s="1" t="s">
        <v>1120</v>
      </c>
      <c r="E129" s="1">
        <v>56</v>
      </c>
      <c r="F129" s="1">
        <v>373</v>
      </c>
      <c r="G129" s="1">
        <v>1001</v>
      </c>
      <c r="H129" s="1">
        <v>62</v>
      </c>
      <c r="I129" s="1">
        <v>270</v>
      </c>
      <c r="J129" s="1">
        <v>197</v>
      </c>
      <c r="K129" s="1">
        <v>115</v>
      </c>
      <c r="L129" s="1">
        <v>187</v>
      </c>
      <c r="M129" s="1">
        <v>80.400000000000006</v>
      </c>
      <c r="N129" s="1">
        <v>39.783730400000003</v>
      </c>
      <c r="O129" s="1">
        <v>-100.445882</v>
      </c>
      <c r="P129" s="14">
        <f t="shared" si="10"/>
        <v>80.400000000000006</v>
      </c>
      <c r="Q129" s="13">
        <f t="shared" si="11"/>
        <v>44.144144144144143</v>
      </c>
      <c r="R129" s="16">
        <f t="shared" si="12"/>
        <v>0</v>
      </c>
      <c r="S129" s="14">
        <f t="shared" si="13"/>
        <v>79.867986798679866</v>
      </c>
      <c r="T129" s="13">
        <f t="shared" si="14"/>
        <v>73.099999999999994</v>
      </c>
      <c r="U129" s="14">
        <f t="shared" si="15"/>
        <v>88.6</v>
      </c>
      <c r="V129" s="14">
        <f t="shared" si="16"/>
        <v>81.399999999999991</v>
      </c>
      <c r="W129" s="1">
        <f t="shared" si="17"/>
        <v>87.3</v>
      </c>
      <c r="X129" s="1" t="str">
        <f>IF(Table1[[#This Row],[World Rank]]&lt;=250,"Q1-Elite",IF(Table1[[#This Row],[World Rank]]&lt;=500,"Q2-Strong",IF(Table1[[#This Row],[World Rank]]&lt;=750,"Q3-Developing","Q4-Emerging")))</f>
        <v>Q1-Elite</v>
      </c>
    </row>
    <row r="130" spans="1:24" x14ac:dyDescent="0.2">
      <c r="A130" s="1">
        <v>129</v>
      </c>
      <c r="B130" s="1" t="s">
        <v>167</v>
      </c>
      <c r="C130" s="1" t="s">
        <v>15</v>
      </c>
      <c r="D130" s="1" t="s">
        <v>1120</v>
      </c>
      <c r="E130" s="1">
        <v>57</v>
      </c>
      <c r="F130" s="1">
        <v>67</v>
      </c>
      <c r="G130" s="1">
        <v>93</v>
      </c>
      <c r="H130" s="1">
        <v>77</v>
      </c>
      <c r="I130" s="1">
        <v>407</v>
      </c>
      <c r="J130" s="1">
        <v>283</v>
      </c>
      <c r="K130" s="1">
        <v>163</v>
      </c>
      <c r="L130" s="1">
        <v>108</v>
      </c>
      <c r="M130" s="1">
        <v>80.400000000000006</v>
      </c>
      <c r="N130" s="1">
        <v>39.783730400000003</v>
      </c>
      <c r="O130" s="1">
        <v>-100.445882</v>
      </c>
      <c r="P130" s="14">
        <f t="shared" ref="P130:P193" si="18">((1001 - J130) / 1000) * 100</f>
        <v>71.8</v>
      </c>
      <c r="Q130" s="13">
        <f t="shared" ref="Q130:Q193" si="19">((667 - F130) / 666) * 100</f>
        <v>90.090090090090087</v>
      </c>
      <c r="R130" s="16">
        <f t="shared" ref="R130:R193" si="20">(1001 - G130) / 1000 * 100</f>
        <v>90.8</v>
      </c>
      <c r="S130" s="14">
        <f t="shared" ref="S130:S193" si="21">(304 - H130) / 303 * 100</f>
        <v>74.917491749174914</v>
      </c>
      <c r="T130" s="13">
        <f t="shared" ref="T130:T193" si="22">(1001 - I130) / 1000 * 100</f>
        <v>59.4</v>
      </c>
      <c r="U130" s="14">
        <f t="shared" ref="U130:U193" si="23">(1001 - K130) / 1000 * 100</f>
        <v>83.8</v>
      </c>
      <c r="V130" s="14">
        <f t="shared" ref="V130:V193" si="24">(1001 - L130) / 1000 * 100</f>
        <v>89.3</v>
      </c>
      <c r="W130" s="1">
        <f t="shared" ref="W130:W193" si="25">(1001 - A130) / 1000 * 100</f>
        <v>87.2</v>
      </c>
      <c r="X130" s="1" t="str">
        <f>IF(Table1[[#This Row],[World Rank]]&lt;=250,"Q1-Elite",IF(Table1[[#This Row],[World Rank]]&lt;=500,"Q2-Strong",IF(Table1[[#This Row],[World Rank]]&lt;=750,"Q3-Developing","Q4-Emerging")))</f>
        <v>Q1-Elite</v>
      </c>
    </row>
    <row r="131" spans="1:24" x14ac:dyDescent="0.2">
      <c r="A131" s="1">
        <v>130</v>
      </c>
      <c r="B131" s="1" t="s">
        <v>168</v>
      </c>
      <c r="C131" s="1" t="s">
        <v>99</v>
      </c>
      <c r="D131" s="1" t="s">
        <v>1124</v>
      </c>
      <c r="E131" s="1">
        <v>7</v>
      </c>
      <c r="F131" s="1">
        <v>172</v>
      </c>
      <c r="G131" s="1">
        <v>533</v>
      </c>
      <c r="H131" s="1">
        <v>304</v>
      </c>
      <c r="I131" s="1">
        <v>114</v>
      </c>
      <c r="J131" s="1">
        <v>80</v>
      </c>
      <c r="K131" s="1">
        <v>99</v>
      </c>
      <c r="L131" s="1">
        <v>59</v>
      </c>
      <c r="M131" s="1">
        <v>80.400000000000006</v>
      </c>
      <c r="N131" s="1">
        <v>52.243497900000001</v>
      </c>
      <c r="O131" s="1">
        <v>5.6343227000000002</v>
      </c>
      <c r="P131" s="14">
        <f t="shared" si="18"/>
        <v>92.100000000000009</v>
      </c>
      <c r="Q131" s="13">
        <f t="shared" si="19"/>
        <v>74.324324324324323</v>
      </c>
      <c r="R131" s="16">
        <f t="shared" si="20"/>
        <v>46.800000000000004</v>
      </c>
      <c r="S131" s="14">
        <f t="shared" si="21"/>
        <v>0</v>
      </c>
      <c r="T131" s="13">
        <f t="shared" si="22"/>
        <v>88.7</v>
      </c>
      <c r="U131" s="14">
        <f t="shared" si="23"/>
        <v>90.2</v>
      </c>
      <c r="V131" s="14">
        <f t="shared" si="24"/>
        <v>94.199999999999989</v>
      </c>
      <c r="W131" s="1">
        <f t="shared" si="25"/>
        <v>87.1</v>
      </c>
      <c r="X131" s="1" t="str">
        <f>IF(Table1[[#This Row],[World Rank]]&lt;=250,"Q1-Elite",IF(Table1[[#This Row],[World Rank]]&lt;=500,"Q2-Strong",IF(Table1[[#This Row],[World Rank]]&lt;=750,"Q3-Developing","Q4-Emerging")))</f>
        <v>Q1-Elite</v>
      </c>
    </row>
    <row r="132" spans="1:24" x14ac:dyDescent="0.2">
      <c r="A132" s="1">
        <v>131</v>
      </c>
      <c r="B132" s="1" t="s">
        <v>169</v>
      </c>
      <c r="C132" s="1" t="s">
        <v>19</v>
      </c>
      <c r="D132" s="1" t="s">
        <v>1124</v>
      </c>
      <c r="E132" s="1">
        <v>10</v>
      </c>
      <c r="F132" s="1">
        <v>338</v>
      </c>
      <c r="G132" s="1">
        <v>483</v>
      </c>
      <c r="H132" s="1">
        <v>95</v>
      </c>
      <c r="I132" s="1">
        <v>212</v>
      </c>
      <c r="J132" s="1">
        <v>182</v>
      </c>
      <c r="K132" s="1">
        <v>148</v>
      </c>
      <c r="L132" s="1">
        <v>121</v>
      </c>
      <c r="M132" s="1">
        <v>80.3</v>
      </c>
      <c r="N132" s="1">
        <v>54.702354499999998</v>
      </c>
      <c r="O132" s="1">
        <v>-3.2765753000000002</v>
      </c>
      <c r="P132" s="14">
        <f t="shared" si="18"/>
        <v>81.899999999999991</v>
      </c>
      <c r="Q132" s="13">
        <f t="shared" si="19"/>
        <v>49.3993993993994</v>
      </c>
      <c r="R132" s="16">
        <f t="shared" si="20"/>
        <v>51.800000000000004</v>
      </c>
      <c r="S132" s="14">
        <f t="shared" si="21"/>
        <v>68.976897689768975</v>
      </c>
      <c r="T132" s="13">
        <f t="shared" si="22"/>
        <v>78.900000000000006</v>
      </c>
      <c r="U132" s="14">
        <f t="shared" si="23"/>
        <v>85.3</v>
      </c>
      <c r="V132" s="14">
        <f t="shared" si="24"/>
        <v>88</v>
      </c>
      <c r="W132" s="1">
        <f t="shared" si="25"/>
        <v>87</v>
      </c>
      <c r="X132" s="1" t="str">
        <f>IF(Table1[[#This Row],[World Rank]]&lt;=250,"Q1-Elite",IF(Table1[[#This Row],[World Rank]]&lt;=500,"Q2-Strong",IF(Table1[[#This Row],[World Rank]]&lt;=750,"Q3-Developing","Q4-Emerging")))</f>
        <v>Q1-Elite</v>
      </c>
    </row>
    <row r="133" spans="1:24" x14ac:dyDescent="0.2">
      <c r="A133" s="1">
        <v>132</v>
      </c>
      <c r="B133" s="1" t="s">
        <v>170</v>
      </c>
      <c r="C133" s="1" t="s">
        <v>68</v>
      </c>
      <c r="D133" s="1" t="s">
        <v>1124</v>
      </c>
      <c r="E133" s="1">
        <v>8</v>
      </c>
      <c r="F133" s="1">
        <v>94</v>
      </c>
      <c r="G133" s="1">
        <v>1001</v>
      </c>
      <c r="H133" s="1">
        <v>122</v>
      </c>
      <c r="I133" s="1">
        <v>152</v>
      </c>
      <c r="J133" s="1">
        <v>141</v>
      </c>
      <c r="K133" s="1">
        <v>118</v>
      </c>
      <c r="L133" s="1">
        <v>240</v>
      </c>
      <c r="M133" s="1">
        <v>80.3</v>
      </c>
      <c r="N133" s="1">
        <v>40.420347900000003</v>
      </c>
      <c r="O133" s="1">
        <v>-79.116698299999996</v>
      </c>
      <c r="P133" s="14">
        <f t="shared" si="18"/>
        <v>86</v>
      </c>
      <c r="Q133" s="13">
        <f t="shared" si="19"/>
        <v>86.036036036036037</v>
      </c>
      <c r="R133" s="16">
        <f t="shared" si="20"/>
        <v>0</v>
      </c>
      <c r="S133" s="14">
        <f t="shared" si="21"/>
        <v>60.066006600660074</v>
      </c>
      <c r="T133" s="13">
        <f t="shared" si="22"/>
        <v>84.899999999999991</v>
      </c>
      <c r="U133" s="14">
        <f t="shared" si="23"/>
        <v>88.3</v>
      </c>
      <c r="V133" s="14">
        <f t="shared" si="24"/>
        <v>76.099999999999994</v>
      </c>
      <c r="W133" s="1">
        <f t="shared" si="25"/>
        <v>86.9</v>
      </c>
      <c r="X133" s="1" t="str">
        <f>IF(Table1[[#This Row],[World Rank]]&lt;=250,"Q1-Elite",IF(Table1[[#This Row],[World Rank]]&lt;=500,"Q2-Strong",IF(Table1[[#This Row],[World Rank]]&lt;=750,"Q3-Developing","Q4-Emerging")))</f>
        <v>Q1-Elite</v>
      </c>
    </row>
    <row r="134" spans="1:24" x14ac:dyDescent="0.2">
      <c r="A134" s="1">
        <v>133</v>
      </c>
      <c r="B134" s="1" t="s">
        <v>171</v>
      </c>
      <c r="C134" s="1" t="s">
        <v>15</v>
      </c>
      <c r="D134" s="1" t="s">
        <v>1120</v>
      </c>
      <c r="E134" s="1">
        <v>58</v>
      </c>
      <c r="F134" s="1">
        <v>667</v>
      </c>
      <c r="G134" s="1">
        <v>1001</v>
      </c>
      <c r="H134" s="1">
        <v>94</v>
      </c>
      <c r="I134" s="1">
        <v>234</v>
      </c>
      <c r="J134" s="1">
        <v>167</v>
      </c>
      <c r="K134" s="1">
        <v>134</v>
      </c>
      <c r="L134" s="1">
        <v>139</v>
      </c>
      <c r="M134" s="1">
        <v>80.3</v>
      </c>
      <c r="N134" s="1">
        <v>39.783730400000003</v>
      </c>
      <c r="O134" s="1">
        <v>-100.445882</v>
      </c>
      <c r="P134" s="14">
        <f t="shared" si="18"/>
        <v>83.399999999999991</v>
      </c>
      <c r="Q134" s="13">
        <v>20</v>
      </c>
      <c r="R134" s="16">
        <f t="shared" si="20"/>
        <v>0</v>
      </c>
      <c r="S134" s="14">
        <f t="shared" si="21"/>
        <v>69.306930693069305</v>
      </c>
      <c r="T134" s="13">
        <f t="shared" si="22"/>
        <v>76.7</v>
      </c>
      <c r="U134" s="14">
        <f t="shared" si="23"/>
        <v>86.7</v>
      </c>
      <c r="V134" s="14">
        <f t="shared" si="24"/>
        <v>86.2</v>
      </c>
      <c r="W134" s="1">
        <f t="shared" si="25"/>
        <v>86.8</v>
      </c>
      <c r="X134" s="1" t="str">
        <f>IF(Table1[[#This Row],[World Rank]]&lt;=250,"Q1-Elite",IF(Table1[[#This Row],[World Rank]]&lt;=500,"Q2-Strong",IF(Table1[[#This Row],[World Rank]]&lt;=750,"Q3-Developing","Q4-Emerging")))</f>
        <v>Q1-Elite</v>
      </c>
    </row>
    <row r="135" spans="1:24" x14ac:dyDescent="0.2">
      <c r="A135" s="1">
        <v>134</v>
      </c>
      <c r="B135" s="1" t="s">
        <v>172</v>
      </c>
      <c r="C135" s="1" t="s">
        <v>15</v>
      </c>
      <c r="D135" s="1" t="s">
        <v>1120</v>
      </c>
      <c r="E135" s="1">
        <v>59</v>
      </c>
      <c r="F135" s="1">
        <v>292</v>
      </c>
      <c r="G135" s="1">
        <v>373</v>
      </c>
      <c r="H135" s="1">
        <v>212</v>
      </c>
      <c r="I135" s="1">
        <v>148</v>
      </c>
      <c r="J135" s="1">
        <v>120</v>
      </c>
      <c r="K135" s="1">
        <v>108</v>
      </c>
      <c r="L135" s="1">
        <v>151</v>
      </c>
      <c r="M135" s="1">
        <v>80.2</v>
      </c>
      <c r="N135" s="1">
        <v>39.783730400000003</v>
      </c>
      <c r="O135" s="1">
        <v>-100.445882</v>
      </c>
      <c r="P135" s="14">
        <f t="shared" si="18"/>
        <v>88.1</v>
      </c>
      <c r="Q135" s="13">
        <f t="shared" si="19"/>
        <v>56.306306306306311</v>
      </c>
      <c r="R135" s="16">
        <f t="shared" si="20"/>
        <v>62.8</v>
      </c>
      <c r="S135" s="14">
        <f t="shared" si="21"/>
        <v>30.363036303630363</v>
      </c>
      <c r="T135" s="13">
        <f t="shared" si="22"/>
        <v>85.3</v>
      </c>
      <c r="U135" s="14">
        <f t="shared" si="23"/>
        <v>89.3</v>
      </c>
      <c r="V135" s="14">
        <f t="shared" si="24"/>
        <v>85</v>
      </c>
      <c r="W135" s="1">
        <f t="shared" si="25"/>
        <v>86.7</v>
      </c>
      <c r="X135" s="1" t="str">
        <f>IF(Table1[[#This Row],[World Rank]]&lt;=250,"Q1-Elite",IF(Table1[[#This Row],[World Rank]]&lt;=500,"Q2-Strong",IF(Table1[[#This Row],[World Rank]]&lt;=750,"Q3-Developing","Q4-Emerging")))</f>
        <v>Q1-Elite</v>
      </c>
    </row>
    <row r="136" spans="1:24" x14ac:dyDescent="0.2">
      <c r="A136" s="1">
        <v>135</v>
      </c>
      <c r="B136" s="1" t="s">
        <v>173</v>
      </c>
      <c r="C136" s="1" t="s">
        <v>48</v>
      </c>
      <c r="D136" s="1" t="s">
        <v>1124</v>
      </c>
      <c r="E136" s="1">
        <v>7</v>
      </c>
      <c r="F136" s="1">
        <v>113</v>
      </c>
      <c r="G136" s="1">
        <v>1001</v>
      </c>
      <c r="H136" s="1">
        <v>49</v>
      </c>
      <c r="I136" s="1">
        <v>258</v>
      </c>
      <c r="J136" s="1">
        <v>197</v>
      </c>
      <c r="K136" s="1">
        <v>157</v>
      </c>
      <c r="L136" s="1">
        <v>275</v>
      </c>
      <c r="M136" s="1">
        <v>80.2</v>
      </c>
      <c r="N136" s="1">
        <v>46.603354000000003</v>
      </c>
      <c r="O136" s="1">
        <v>1.8883335000000001</v>
      </c>
      <c r="P136" s="14">
        <f t="shared" si="18"/>
        <v>80.400000000000006</v>
      </c>
      <c r="Q136" s="13">
        <f t="shared" si="19"/>
        <v>83.183183183183189</v>
      </c>
      <c r="R136" s="16">
        <f t="shared" si="20"/>
        <v>0</v>
      </c>
      <c r="S136" s="14">
        <f t="shared" si="21"/>
        <v>84.158415841584159</v>
      </c>
      <c r="T136" s="13">
        <f t="shared" si="22"/>
        <v>74.3</v>
      </c>
      <c r="U136" s="14">
        <f t="shared" si="23"/>
        <v>84.399999999999991</v>
      </c>
      <c r="V136" s="14">
        <f t="shared" si="24"/>
        <v>72.599999999999994</v>
      </c>
      <c r="W136" s="1">
        <f t="shared" si="25"/>
        <v>86.6</v>
      </c>
      <c r="X136" s="1" t="str">
        <f>IF(Table1[[#This Row],[World Rank]]&lt;=250,"Q1-Elite",IF(Table1[[#This Row],[World Rank]]&lt;=500,"Q2-Strong",IF(Table1[[#This Row],[World Rank]]&lt;=750,"Q3-Developing","Q4-Emerging")))</f>
        <v>Q1-Elite</v>
      </c>
    </row>
    <row r="137" spans="1:24" x14ac:dyDescent="0.2">
      <c r="A137" s="1">
        <v>136</v>
      </c>
      <c r="B137" s="1" t="s">
        <v>174</v>
      </c>
      <c r="C137" s="1" t="s">
        <v>124</v>
      </c>
      <c r="D137" s="1" t="s">
        <v>1125</v>
      </c>
      <c r="E137" s="1">
        <v>3</v>
      </c>
      <c r="F137" s="1">
        <v>619</v>
      </c>
      <c r="G137" s="1">
        <v>236</v>
      </c>
      <c r="H137" s="1">
        <v>304</v>
      </c>
      <c r="I137" s="1">
        <v>17</v>
      </c>
      <c r="J137" s="1">
        <v>52</v>
      </c>
      <c r="K137" s="1">
        <v>203</v>
      </c>
      <c r="L137" s="1">
        <v>167</v>
      </c>
      <c r="M137" s="1">
        <v>80.2</v>
      </c>
      <c r="N137" s="1">
        <v>30.047992000000001</v>
      </c>
      <c r="O137" s="1">
        <v>-94.335743300000004</v>
      </c>
      <c r="P137" s="14">
        <f t="shared" si="18"/>
        <v>94.899999999999991</v>
      </c>
      <c r="Q137" s="13">
        <v>20</v>
      </c>
      <c r="R137" s="16">
        <f t="shared" si="20"/>
        <v>76.5</v>
      </c>
      <c r="S137" s="14">
        <f t="shared" si="21"/>
        <v>0</v>
      </c>
      <c r="T137" s="13">
        <f t="shared" si="22"/>
        <v>98.4</v>
      </c>
      <c r="U137" s="14">
        <f t="shared" si="23"/>
        <v>79.800000000000011</v>
      </c>
      <c r="V137" s="14">
        <f t="shared" si="24"/>
        <v>83.399999999999991</v>
      </c>
      <c r="W137" s="1">
        <f t="shared" si="25"/>
        <v>86.5</v>
      </c>
      <c r="X137" s="1" t="str">
        <f>IF(Table1[[#This Row],[World Rank]]&lt;=250,"Q1-Elite",IF(Table1[[#This Row],[World Rank]]&lt;=500,"Q2-Strong",IF(Table1[[#This Row],[World Rank]]&lt;=750,"Q3-Developing","Q4-Emerging")))</f>
        <v>Q1-Elite</v>
      </c>
    </row>
    <row r="138" spans="1:24" x14ac:dyDescent="0.2">
      <c r="A138" s="1">
        <v>137</v>
      </c>
      <c r="B138" s="1" t="s">
        <v>175</v>
      </c>
      <c r="C138" s="1" t="s">
        <v>19</v>
      </c>
      <c r="D138" s="1" t="s">
        <v>1124</v>
      </c>
      <c r="E138" s="1">
        <v>11</v>
      </c>
      <c r="F138" s="1">
        <v>603</v>
      </c>
      <c r="G138" s="1">
        <v>285</v>
      </c>
      <c r="H138" s="1">
        <v>243</v>
      </c>
      <c r="I138" s="1">
        <v>134</v>
      </c>
      <c r="J138" s="1">
        <v>114</v>
      </c>
      <c r="K138" s="1">
        <v>119</v>
      </c>
      <c r="L138" s="1">
        <v>151</v>
      </c>
      <c r="M138" s="1">
        <v>80.099999999999994</v>
      </c>
      <c r="N138" s="1">
        <v>54.702354499999998</v>
      </c>
      <c r="O138" s="1">
        <v>-3.2765753000000002</v>
      </c>
      <c r="P138" s="14">
        <f t="shared" si="18"/>
        <v>88.7</v>
      </c>
      <c r="Q138" s="13">
        <v>20</v>
      </c>
      <c r="R138" s="16">
        <f t="shared" si="20"/>
        <v>71.599999999999994</v>
      </c>
      <c r="S138" s="14">
        <f t="shared" si="21"/>
        <v>20.132013201320131</v>
      </c>
      <c r="T138" s="13">
        <f t="shared" si="22"/>
        <v>86.7</v>
      </c>
      <c r="U138" s="14">
        <f t="shared" si="23"/>
        <v>88.2</v>
      </c>
      <c r="V138" s="14">
        <f t="shared" si="24"/>
        <v>85</v>
      </c>
      <c r="W138" s="1">
        <f t="shared" si="25"/>
        <v>86.4</v>
      </c>
      <c r="X138" s="1" t="str">
        <f>IF(Table1[[#This Row],[World Rank]]&lt;=250,"Q1-Elite",IF(Table1[[#This Row],[World Rank]]&lt;=500,"Q2-Strong",IF(Table1[[#This Row],[World Rank]]&lt;=750,"Q3-Developing","Q4-Emerging")))</f>
        <v>Q1-Elite</v>
      </c>
    </row>
    <row r="139" spans="1:24" x14ac:dyDescent="0.2">
      <c r="A139" s="1">
        <v>138</v>
      </c>
      <c r="B139" s="1" t="s">
        <v>176</v>
      </c>
      <c r="C139" s="1" t="s">
        <v>48</v>
      </c>
      <c r="D139" s="1" t="s">
        <v>1124</v>
      </c>
      <c r="E139" s="1">
        <v>8</v>
      </c>
      <c r="F139" s="1">
        <v>401</v>
      </c>
      <c r="G139" s="1">
        <v>941</v>
      </c>
      <c r="H139" s="1">
        <v>304</v>
      </c>
      <c r="I139" s="1">
        <v>87</v>
      </c>
      <c r="J139" s="1">
        <v>89</v>
      </c>
      <c r="K139" s="1">
        <v>76</v>
      </c>
      <c r="L139" s="1">
        <v>139</v>
      </c>
      <c r="M139" s="1">
        <v>80.099999999999994</v>
      </c>
      <c r="N139" s="1">
        <v>46.603354000000003</v>
      </c>
      <c r="O139" s="1">
        <v>1.8883335000000001</v>
      </c>
      <c r="P139" s="14">
        <f t="shared" si="18"/>
        <v>91.2</v>
      </c>
      <c r="Q139" s="13">
        <f t="shared" si="19"/>
        <v>39.93993993993994</v>
      </c>
      <c r="R139" s="16">
        <f t="shared" si="20"/>
        <v>6</v>
      </c>
      <c r="S139" s="14">
        <f t="shared" si="21"/>
        <v>0</v>
      </c>
      <c r="T139" s="13">
        <f t="shared" si="22"/>
        <v>91.4</v>
      </c>
      <c r="U139" s="14">
        <f t="shared" si="23"/>
        <v>92.5</v>
      </c>
      <c r="V139" s="14">
        <f t="shared" si="24"/>
        <v>86.2</v>
      </c>
      <c r="W139" s="1">
        <f t="shared" si="25"/>
        <v>86.3</v>
      </c>
      <c r="X139" s="1" t="str">
        <f>IF(Table1[[#This Row],[World Rank]]&lt;=250,"Q1-Elite",IF(Table1[[#This Row],[World Rank]]&lt;=500,"Q2-Strong",IF(Table1[[#This Row],[World Rank]]&lt;=750,"Q3-Developing","Q4-Emerging")))</f>
        <v>Q1-Elite</v>
      </c>
    </row>
    <row r="140" spans="1:24" x14ac:dyDescent="0.2">
      <c r="A140" s="1">
        <v>139</v>
      </c>
      <c r="B140" s="1" t="s">
        <v>177</v>
      </c>
      <c r="C140" s="1" t="s">
        <v>15</v>
      </c>
      <c r="D140" s="1" t="s">
        <v>1120</v>
      </c>
      <c r="E140" s="1">
        <v>60</v>
      </c>
      <c r="F140" s="1">
        <v>282</v>
      </c>
      <c r="G140" s="1">
        <v>151</v>
      </c>
      <c r="H140" s="1">
        <v>157</v>
      </c>
      <c r="I140" s="1">
        <v>144</v>
      </c>
      <c r="J140" s="1">
        <v>117</v>
      </c>
      <c r="K140" s="1">
        <v>171</v>
      </c>
      <c r="L140" s="1">
        <v>222</v>
      </c>
      <c r="M140" s="1">
        <v>80.099999999999994</v>
      </c>
      <c r="N140" s="1">
        <v>39.783730400000003</v>
      </c>
      <c r="O140" s="1">
        <v>-100.445882</v>
      </c>
      <c r="P140" s="14">
        <f t="shared" si="18"/>
        <v>88.4</v>
      </c>
      <c r="Q140" s="13">
        <f t="shared" si="19"/>
        <v>57.807807807807812</v>
      </c>
      <c r="R140" s="16">
        <f t="shared" si="20"/>
        <v>85</v>
      </c>
      <c r="S140" s="14">
        <f t="shared" si="21"/>
        <v>48.514851485148512</v>
      </c>
      <c r="T140" s="13">
        <f t="shared" si="22"/>
        <v>85.7</v>
      </c>
      <c r="U140" s="14">
        <f t="shared" si="23"/>
        <v>83</v>
      </c>
      <c r="V140" s="14">
        <f t="shared" si="24"/>
        <v>77.900000000000006</v>
      </c>
      <c r="W140" s="1">
        <f t="shared" si="25"/>
        <v>86.2</v>
      </c>
      <c r="X140" s="1" t="str">
        <f>IF(Table1[[#This Row],[World Rank]]&lt;=250,"Q1-Elite",IF(Table1[[#This Row],[World Rank]]&lt;=500,"Q2-Strong",IF(Table1[[#This Row],[World Rank]]&lt;=750,"Q3-Developing","Q4-Emerging")))</f>
        <v>Q1-Elite</v>
      </c>
    </row>
    <row r="141" spans="1:24" x14ac:dyDescent="0.2">
      <c r="A141" s="1">
        <v>140</v>
      </c>
      <c r="B141" s="1" t="s">
        <v>178</v>
      </c>
      <c r="C141" s="1" t="s">
        <v>28</v>
      </c>
      <c r="D141" s="1" t="s">
        <v>1125</v>
      </c>
      <c r="E141" s="1">
        <v>6</v>
      </c>
      <c r="F141" s="1">
        <v>303</v>
      </c>
      <c r="G141" s="1">
        <v>71</v>
      </c>
      <c r="H141" s="1">
        <v>87</v>
      </c>
      <c r="I141" s="1">
        <v>195</v>
      </c>
      <c r="J141" s="1">
        <v>233</v>
      </c>
      <c r="K141" s="1">
        <v>218</v>
      </c>
      <c r="L141" s="1">
        <v>222</v>
      </c>
      <c r="M141" s="1">
        <v>80</v>
      </c>
      <c r="N141" s="1">
        <v>36.5748441</v>
      </c>
      <c r="O141" s="1">
        <v>139.23941790000001</v>
      </c>
      <c r="P141" s="14">
        <f t="shared" si="18"/>
        <v>76.8</v>
      </c>
      <c r="Q141" s="13">
        <f t="shared" si="19"/>
        <v>54.654654654654657</v>
      </c>
      <c r="R141" s="16">
        <f t="shared" si="20"/>
        <v>93</v>
      </c>
      <c r="S141" s="14">
        <f t="shared" si="21"/>
        <v>71.617161716171623</v>
      </c>
      <c r="T141" s="13">
        <f t="shared" si="22"/>
        <v>80.600000000000009</v>
      </c>
      <c r="U141" s="14">
        <f t="shared" si="23"/>
        <v>78.3</v>
      </c>
      <c r="V141" s="14">
        <f t="shared" si="24"/>
        <v>77.900000000000006</v>
      </c>
      <c r="W141" s="1">
        <f t="shared" si="25"/>
        <v>86.1</v>
      </c>
      <c r="X141" s="1" t="str">
        <f>IF(Table1[[#This Row],[World Rank]]&lt;=250,"Q1-Elite",IF(Table1[[#This Row],[World Rank]]&lt;=500,"Q2-Strong",IF(Table1[[#This Row],[World Rank]]&lt;=750,"Q3-Developing","Q4-Emerging")))</f>
        <v>Q1-Elite</v>
      </c>
    </row>
    <row r="142" spans="1:24" x14ac:dyDescent="0.2">
      <c r="A142" s="1">
        <v>141</v>
      </c>
      <c r="B142" s="1" t="s">
        <v>179</v>
      </c>
      <c r="C142" s="1" t="s">
        <v>48</v>
      </c>
      <c r="D142" s="1" t="s">
        <v>1124</v>
      </c>
      <c r="E142" s="1">
        <v>9</v>
      </c>
      <c r="F142" s="1">
        <v>565</v>
      </c>
      <c r="G142" s="1">
        <v>1001</v>
      </c>
      <c r="H142" s="1">
        <v>214</v>
      </c>
      <c r="I142" s="1">
        <v>142</v>
      </c>
      <c r="J142" s="1">
        <v>129</v>
      </c>
      <c r="K142" s="1">
        <v>125</v>
      </c>
      <c r="L142" s="1">
        <v>139</v>
      </c>
      <c r="M142" s="1">
        <v>80</v>
      </c>
      <c r="N142" s="1">
        <v>46.603354000000003</v>
      </c>
      <c r="O142" s="1">
        <v>1.8883335000000001</v>
      </c>
      <c r="P142" s="14">
        <f t="shared" si="18"/>
        <v>87.2</v>
      </c>
      <c r="Q142" s="13">
        <v>20</v>
      </c>
      <c r="R142" s="16">
        <f t="shared" si="20"/>
        <v>0</v>
      </c>
      <c r="S142" s="14">
        <f t="shared" si="21"/>
        <v>29.702970297029701</v>
      </c>
      <c r="T142" s="13">
        <f t="shared" si="22"/>
        <v>85.9</v>
      </c>
      <c r="U142" s="14">
        <f t="shared" si="23"/>
        <v>87.6</v>
      </c>
      <c r="V142" s="14">
        <f t="shared" si="24"/>
        <v>86.2</v>
      </c>
      <c r="W142" s="1">
        <f t="shared" si="25"/>
        <v>86</v>
      </c>
      <c r="X142" s="1" t="str">
        <f>IF(Table1[[#This Row],[World Rank]]&lt;=250,"Q1-Elite",IF(Table1[[#This Row],[World Rank]]&lt;=500,"Q2-Strong",IF(Table1[[#This Row],[World Rank]]&lt;=750,"Q3-Developing","Q4-Emerging")))</f>
        <v>Q1-Elite</v>
      </c>
    </row>
    <row r="143" spans="1:24" x14ac:dyDescent="0.2">
      <c r="A143" s="1">
        <v>142</v>
      </c>
      <c r="B143" s="1" t="s">
        <v>180</v>
      </c>
      <c r="C143" s="1" t="s">
        <v>15</v>
      </c>
      <c r="D143" s="1" t="s">
        <v>1120</v>
      </c>
      <c r="E143" s="1">
        <v>61</v>
      </c>
      <c r="F143" s="1">
        <v>60</v>
      </c>
      <c r="G143" s="1">
        <v>259</v>
      </c>
      <c r="H143" s="1">
        <v>280</v>
      </c>
      <c r="I143" s="1">
        <v>183</v>
      </c>
      <c r="J143" s="1">
        <v>140</v>
      </c>
      <c r="K143" s="1">
        <v>109</v>
      </c>
      <c r="L143" s="1">
        <v>76</v>
      </c>
      <c r="M143" s="1">
        <v>80</v>
      </c>
      <c r="N143" s="1">
        <v>39.783730400000003</v>
      </c>
      <c r="O143" s="1">
        <v>-100.445882</v>
      </c>
      <c r="P143" s="14">
        <f t="shared" si="18"/>
        <v>86.1</v>
      </c>
      <c r="Q143" s="13">
        <f t="shared" si="19"/>
        <v>91.141141141141148</v>
      </c>
      <c r="R143" s="16">
        <f t="shared" si="20"/>
        <v>74.2</v>
      </c>
      <c r="S143" s="14">
        <f t="shared" si="21"/>
        <v>7.9207920792079207</v>
      </c>
      <c r="T143" s="13">
        <f t="shared" si="22"/>
        <v>81.8</v>
      </c>
      <c r="U143" s="14">
        <f t="shared" si="23"/>
        <v>89.2</v>
      </c>
      <c r="V143" s="14">
        <f t="shared" si="24"/>
        <v>92.5</v>
      </c>
      <c r="W143" s="1">
        <f t="shared" si="25"/>
        <v>85.9</v>
      </c>
      <c r="X143" s="1" t="str">
        <f>IF(Table1[[#This Row],[World Rank]]&lt;=250,"Q1-Elite",IF(Table1[[#This Row],[World Rank]]&lt;=500,"Q2-Strong",IF(Table1[[#This Row],[World Rank]]&lt;=750,"Q3-Developing","Q4-Emerging")))</f>
        <v>Q1-Elite</v>
      </c>
    </row>
    <row r="144" spans="1:24" x14ac:dyDescent="0.2">
      <c r="A144" s="1">
        <v>143</v>
      </c>
      <c r="B144" s="1" t="s">
        <v>181</v>
      </c>
      <c r="C144" s="1" t="s">
        <v>15</v>
      </c>
      <c r="D144" s="1" t="s">
        <v>1120</v>
      </c>
      <c r="E144" s="1">
        <v>62</v>
      </c>
      <c r="F144" s="1">
        <v>237</v>
      </c>
      <c r="G144" s="1">
        <v>78</v>
      </c>
      <c r="H144" s="1">
        <v>133</v>
      </c>
      <c r="I144" s="1">
        <v>267</v>
      </c>
      <c r="J144" s="1">
        <v>193</v>
      </c>
      <c r="K144" s="1">
        <v>161</v>
      </c>
      <c r="L144" s="1">
        <v>163</v>
      </c>
      <c r="M144" s="1">
        <v>79.900000000000006</v>
      </c>
      <c r="N144" s="1">
        <v>39.783730400000003</v>
      </c>
      <c r="O144" s="1">
        <v>-100.445882</v>
      </c>
      <c r="P144" s="14">
        <f t="shared" si="18"/>
        <v>80.800000000000011</v>
      </c>
      <c r="Q144" s="13">
        <f t="shared" si="19"/>
        <v>64.564564564564563</v>
      </c>
      <c r="R144" s="16">
        <f t="shared" si="20"/>
        <v>92.300000000000011</v>
      </c>
      <c r="S144" s="14">
        <f t="shared" si="21"/>
        <v>56.435643564356432</v>
      </c>
      <c r="T144" s="13">
        <f t="shared" si="22"/>
        <v>73.400000000000006</v>
      </c>
      <c r="U144" s="14">
        <f t="shared" si="23"/>
        <v>84</v>
      </c>
      <c r="V144" s="14">
        <f t="shared" si="24"/>
        <v>83.8</v>
      </c>
      <c r="W144" s="1">
        <f t="shared" si="25"/>
        <v>85.8</v>
      </c>
      <c r="X144" s="1" t="str">
        <f>IF(Table1[[#This Row],[World Rank]]&lt;=250,"Q1-Elite",IF(Table1[[#This Row],[World Rank]]&lt;=500,"Q2-Strong",IF(Table1[[#This Row],[World Rank]]&lt;=750,"Q3-Developing","Q4-Emerging")))</f>
        <v>Q1-Elite</v>
      </c>
    </row>
    <row r="145" spans="1:24" x14ac:dyDescent="0.2">
      <c r="A145" s="1">
        <v>144</v>
      </c>
      <c r="B145" s="1" t="s">
        <v>182</v>
      </c>
      <c r="C145" s="1" t="s">
        <v>15</v>
      </c>
      <c r="D145" s="1" t="s">
        <v>1120</v>
      </c>
      <c r="E145" s="1">
        <v>63</v>
      </c>
      <c r="F145" s="1">
        <v>209</v>
      </c>
      <c r="G145" s="1">
        <v>281</v>
      </c>
      <c r="H145" s="1">
        <v>304</v>
      </c>
      <c r="I145" s="1">
        <v>110</v>
      </c>
      <c r="J145" s="1">
        <v>106</v>
      </c>
      <c r="K145" s="1">
        <v>145</v>
      </c>
      <c r="L145" s="1">
        <v>65</v>
      </c>
      <c r="M145" s="1">
        <v>79.900000000000006</v>
      </c>
      <c r="N145" s="1">
        <v>39.783730400000003</v>
      </c>
      <c r="O145" s="1">
        <v>-100.445882</v>
      </c>
      <c r="P145" s="14">
        <f t="shared" si="18"/>
        <v>89.5</v>
      </c>
      <c r="Q145" s="13">
        <f t="shared" si="19"/>
        <v>68.76876876876878</v>
      </c>
      <c r="R145" s="16">
        <f t="shared" si="20"/>
        <v>72</v>
      </c>
      <c r="S145" s="14">
        <f t="shared" si="21"/>
        <v>0</v>
      </c>
      <c r="T145" s="13">
        <f t="shared" si="22"/>
        <v>89.1</v>
      </c>
      <c r="U145" s="14">
        <f t="shared" si="23"/>
        <v>85.6</v>
      </c>
      <c r="V145" s="14">
        <f t="shared" si="24"/>
        <v>93.600000000000009</v>
      </c>
      <c r="W145" s="1">
        <f t="shared" si="25"/>
        <v>85.7</v>
      </c>
      <c r="X145" s="1" t="str">
        <f>IF(Table1[[#This Row],[World Rank]]&lt;=250,"Q1-Elite",IF(Table1[[#This Row],[World Rank]]&lt;=500,"Q2-Strong",IF(Table1[[#This Row],[World Rank]]&lt;=750,"Q3-Developing","Q4-Emerging")))</f>
        <v>Q1-Elite</v>
      </c>
    </row>
    <row r="146" spans="1:24" x14ac:dyDescent="0.2">
      <c r="A146" s="1">
        <v>145</v>
      </c>
      <c r="B146" s="1" t="s">
        <v>183</v>
      </c>
      <c r="C146" s="1" t="s">
        <v>81</v>
      </c>
      <c r="D146" s="1" t="s">
        <v>1121</v>
      </c>
      <c r="E146" s="1">
        <v>7</v>
      </c>
      <c r="F146" s="1">
        <v>273</v>
      </c>
      <c r="G146" s="1">
        <v>663</v>
      </c>
      <c r="H146" s="1">
        <v>253</v>
      </c>
      <c r="I146" s="1">
        <v>123</v>
      </c>
      <c r="J146" s="1">
        <v>123</v>
      </c>
      <c r="K146" s="1">
        <v>141</v>
      </c>
      <c r="L146" s="1">
        <v>121</v>
      </c>
      <c r="M146" s="1">
        <v>79.900000000000006</v>
      </c>
      <c r="N146" s="1">
        <v>-24.776108600000001</v>
      </c>
      <c r="O146" s="1">
        <v>134.755</v>
      </c>
      <c r="P146" s="14">
        <f t="shared" si="18"/>
        <v>87.8</v>
      </c>
      <c r="Q146" s="13">
        <f t="shared" si="19"/>
        <v>59.159159159159159</v>
      </c>
      <c r="R146" s="16">
        <f t="shared" si="20"/>
        <v>33.800000000000004</v>
      </c>
      <c r="S146" s="14">
        <f t="shared" si="21"/>
        <v>16.831683168316832</v>
      </c>
      <c r="T146" s="13">
        <f t="shared" si="22"/>
        <v>87.8</v>
      </c>
      <c r="U146" s="14">
        <f t="shared" si="23"/>
        <v>86</v>
      </c>
      <c r="V146" s="14">
        <f t="shared" si="24"/>
        <v>88</v>
      </c>
      <c r="W146" s="1">
        <f t="shared" si="25"/>
        <v>85.6</v>
      </c>
      <c r="X146" s="1" t="str">
        <f>IF(Table1[[#This Row],[World Rank]]&lt;=250,"Q1-Elite",IF(Table1[[#This Row],[World Rank]]&lt;=500,"Q2-Strong",IF(Table1[[#This Row],[World Rank]]&lt;=750,"Q3-Developing","Q4-Emerging")))</f>
        <v>Q1-Elite</v>
      </c>
    </row>
    <row r="147" spans="1:24" x14ac:dyDescent="0.2">
      <c r="A147" s="1">
        <v>146</v>
      </c>
      <c r="B147" s="1" t="s">
        <v>184</v>
      </c>
      <c r="C147" s="1" t="s">
        <v>46</v>
      </c>
      <c r="D147" s="1" t="s">
        <v>1124</v>
      </c>
      <c r="E147" s="1">
        <v>7</v>
      </c>
      <c r="F147" s="1">
        <v>144</v>
      </c>
      <c r="G147" s="1">
        <v>791</v>
      </c>
      <c r="H147" s="1">
        <v>104</v>
      </c>
      <c r="I147" s="1">
        <v>286</v>
      </c>
      <c r="J147" s="1">
        <v>215</v>
      </c>
      <c r="K147" s="1">
        <v>120</v>
      </c>
      <c r="L147" s="1">
        <v>151</v>
      </c>
      <c r="M147" s="1">
        <v>79.8</v>
      </c>
      <c r="N147" s="1">
        <v>46.798562400000002</v>
      </c>
      <c r="O147" s="1">
        <v>8.2319735999999999</v>
      </c>
      <c r="P147" s="14">
        <f t="shared" si="18"/>
        <v>78.600000000000009</v>
      </c>
      <c r="Q147" s="13">
        <f t="shared" si="19"/>
        <v>78.528528528528525</v>
      </c>
      <c r="R147" s="16">
        <f t="shared" si="20"/>
        <v>21</v>
      </c>
      <c r="S147" s="14">
        <f t="shared" si="21"/>
        <v>66.006600660065999</v>
      </c>
      <c r="T147" s="13">
        <f t="shared" si="22"/>
        <v>71.5</v>
      </c>
      <c r="U147" s="14">
        <f t="shared" si="23"/>
        <v>88.1</v>
      </c>
      <c r="V147" s="14">
        <f t="shared" si="24"/>
        <v>85</v>
      </c>
      <c r="W147" s="1">
        <f t="shared" si="25"/>
        <v>85.5</v>
      </c>
      <c r="X147" s="1" t="str">
        <f>IF(Table1[[#This Row],[World Rank]]&lt;=250,"Q1-Elite",IF(Table1[[#This Row],[World Rank]]&lt;=500,"Q2-Strong",IF(Table1[[#This Row],[World Rank]]&lt;=750,"Q3-Developing","Q4-Emerging")))</f>
        <v>Q1-Elite</v>
      </c>
    </row>
    <row r="148" spans="1:24" x14ac:dyDescent="0.2">
      <c r="A148" s="1">
        <v>147</v>
      </c>
      <c r="B148" s="1" t="s">
        <v>185</v>
      </c>
      <c r="C148" s="1" t="s">
        <v>66</v>
      </c>
      <c r="D148" s="1" t="s">
        <v>1125</v>
      </c>
      <c r="E148" s="1">
        <v>4</v>
      </c>
      <c r="F148" s="1">
        <v>79</v>
      </c>
      <c r="G148" s="1">
        <v>271</v>
      </c>
      <c r="H148" s="1">
        <v>69</v>
      </c>
      <c r="I148" s="1">
        <v>271</v>
      </c>
      <c r="J148" s="1">
        <v>227</v>
      </c>
      <c r="K148" s="1">
        <v>213</v>
      </c>
      <c r="L148" s="1">
        <v>200</v>
      </c>
      <c r="M148" s="1">
        <v>79.8</v>
      </c>
      <c r="N148" s="1">
        <v>39.3181528</v>
      </c>
      <c r="O148" s="1">
        <v>-79.810901400000006</v>
      </c>
      <c r="P148" s="14">
        <f t="shared" si="18"/>
        <v>77.400000000000006</v>
      </c>
      <c r="Q148" s="13">
        <f t="shared" si="19"/>
        <v>88.288288288288285</v>
      </c>
      <c r="R148" s="16">
        <f t="shared" si="20"/>
        <v>73</v>
      </c>
      <c r="S148" s="14">
        <f t="shared" si="21"/>
        <v>77.557755775577547</v>
      </c>
      <c r="T148" s="13">
        <f t="shared" si="22"/>
        <v>73</v>
      </c>
      <c r="U148" s="14">
        <f t="shared" si="23"/>
        <v>78.8</v>
      </c>
      <c r="V148" s="14">
        <f t="shared" si="24"/>
        <v>80.100000000000009</v>
      </c>
      <c r="W148" s="1">
        <f t="shared" si="25"/>
        <v>85.399999999999991</v>
      </c>
      <c r="X148" s="1" t="str">
        <f>IF(Table1[[#This Row],[World Rank]]&lt;=250,"Q1-Elite",IF(Table1[[#This Row],[World Rank]]&lt;=500,"Q2-Strong",IF(Table1[[#This Row],[World Rank]]&lt;=750,"Q3-Developing","Q4-Emerging")))</f>
        <v>Q1-Elite</v>
      </c>
    </row>
    <row r="149" spans="1:24" x14ac:dyDescent="0.2">
      <c r="A149" s="1">
        <v>148</v>
      </c>
      <c r="B149" s="1" t="s">
        <v>186</v>
      </c>
      <c r="C149" s="1" t="s">
        <v>93</v>
      </c>
      <c r="D149" s="1" t="s">
        <v>1124</v>
      </c>
      <c r="E149" s="1">
        <v>2</v>
      </c>
      <c r="F149" s="1">
        <v>384</v>
      </c>
      <c r="G149" s="1">
        <v>691</v>
      </c>
      <c r="H149" s="1">
        <v>229</v>
      </c>
      <c r="I149" s="1">
        <v>117</v>
      </c>
      <c r="J149" s="1">
        <v>130</v>
      </c>
      <c r="K149" s="1">
        <v>184</v>
      </c>
      <c r="L149" s="1">
        <v>114</v>
      </c>
      <c r="M149" s="1">
        <v>79.8</v>
      </c>
      <c r="N149" s="1">
        <v>42.638426099999997</v>
      </c>
      <c r="O149" s="1">
        <v>12.674296999999999</v>
      </c>
      <c r="P149" s="14">
        <f t="shared" si="18"/>
        <v>87.1</v>
      </c>
      <c r="Q149" s="13">
        <f t="shared" si="19"/>
        <v>42.492492492492495</v>
      </c>
      <c r="R149" s="16">
        <f t="shared" si="20"/>
        <v>31</v>
      </c>
      <c r="S149" s="14">
        <f t="shared" si="21"/>
        <v>24.752475247524753</v>
      </c>
      <c r="T149" s="13">
        <f t="shared" si="22"/>
        <v>88.4</v>
      </c>
      <c r="U149" s="14">
        <f t="shared" si="23"/>
        <v>81.699999999999989</v>
      </c>
      <c r="V149" s="14">
        <f t="shared" si="24"/>
        <v>88.7</v>
      </c>
      <c r="W149" s="1">
        <f t="shared" si="25"/>
        <v>85.3</v>
      </c>
      <c r="X149" s="1" t="str">
        <f>IF(Table1[[#This Row],[World Rank]]&lt;=250,"Q1-Elite",IF(Table1[[#This Row],[World Rank]]&lt;=500,"Q2-Strong",IF(Table1[[#This Row],[World Rank]]&lt;=750,"Q3-Developing","Q4-Emerging")))</f>
        <v>Q1-Elite</v>
      </c>
    </row>
    <row r="150" spans="1:24" x14ac:dyDescent="0.2">
      <c r="A150" s="1">
        <v>149</v>
      </c>
      <c r="B150" s="1" t="s">
        <v>187</v>
      </c>
      <c r="C150" s="1" t="s">
        <v>68</v>
      </c>
      <c r="D150" s="1" t="s">
        <v>1124</v>
      </c>
      <c r="E150" s="1">
        <v>9</v>
      </c>
      <c r="F150" s="1">
        <v>220</v>
      </c>
      <c r="G150" s="1">
        <v>642</v>
      </c>
      <c r="H150" s="1">
        <v>107</v>
      </c>
      <c r="I150" s="1">
        <v>219</v>
      </c>
      <c r="J150" s="1">
        <v>205</v>
      </c>
      <c r="K150" s="1">
        <v>152</v>
      </c>
      <c r="L150" s="1">
        <v>222</v>
      </c>
      <c r="M150" s="1">
        <v>79.7</v>
      </c>
      <c r="N150" s="1">
        <v>40.420347900000003</v>
      </c>
      <c r="O150" s="1">
        <v>-79.116698299999996</v>
      </c>
      <c r="P150" s="14">
        <f t="shared" si="18"/>
        <v>79.600000000000009</v>
      </c>
      <c r="Q150" s="13">
        <f t="shared" si="19"/>
        <v>67.117117117117118</v>
      </c>
      <c r="R150" s="16">
        <f t="shared" si="20"/>
        <v>35.9</v>
      </c>
      <c r="S150" s="14">
        <f t="shared" si="21"/>
        <v>65.016501650165011</v>
      </c>
      <c r="T150" s="13">
        <f t="shared" si="22"/>
        <v>78.2</v>
      </c>
      <c r="U150" s="14">
        <f t="shared" si="23"/>
        <v>84.899999999999991</v>
      </c>
      <c r="V150" s="14">
        <f t="shared" si="24"/>
        <v>77.900000000000006</v>
      </c>
      <c r="W150" s="1">
        <f t="shared" si="25"/>
        <v>85.2</v>
      </c>
      <c r="X150" s="1" t="str">
        <f>IF(Table1[[#This Row],[World Rank]]&lt;=250,"Q1-Elite",IF(Table1[[#This Row],[World Rank]]&lt;=500,"Q2-Strong",IF(Table1[[#This Row],[World Rank]]&lt;=750,"Q3-Developing","Q4-Emerging")))</f>
        <v>Q1-Elite</v>
      </c>
    </row>
    <row r="151" spans="1:24" x14ac:dyDescent="0.2">
      <c r="A151" s="1">
        <v>150</v>
      </c>
      <c r="B151" s="1" t="s">
        <v>188</v>
      </c>
      <c r="C151" s="1" t="s">
        <v>93</v>
      </c>
      <c r="D151" s="1" t="s">
        <v>1124</v>
      </c>
      <c r="E151" s="1">
        <v>3</v>
      </c>
      <c r="F151" s="1">
        <v>553</v>
      </c>
      <c r="G151" s="1">
        <v>1001</v>
      </c>
      <c r="H151" s="1">
        <v>304</v>
      </c>
      <c r="I151" s="1">
        <v>96</v>
      </c>
      <c r="J151" s="1">
        <v>110</v>
      </c>
      <c r="K151" s="1">
        <v>144</v>
      </c>
      <c r="L151" s="1">
        <v>80</v>
      </c>
      <c r="M151" s="1">
        <v>79.7</v>
      </c>
      <c r="N151" s="1">
        <v>42.638426099999997</v>
      </c>
      <c r="O151" s="1">
        <v>12.674296999999999</v>
      </c>
      <c r="P151" s="14">
        <f t="shared" si="18"/>
        <v>89.1</v>
      </c>
      <c r="Q151" s="13">
        <v>20</v>
      </c>
      <c r="R151" s="16">
        <f t="shared" si="20"/>
        <v>0</v>
      </c>
      <c r="S151" s="14">
        <f t="shared" si="21"/>
        <v>0</v>
      </c>
      <c r="T151" s="13">
        <f t="shared" si="22"/>
        <v>90.5</v>
      </c>
      <c r="U151" s="14">
        <f t="shared" si="23"/>
        <v>85.7</v>
      </c>
      <c r="V151" s="14">
        <f t="shared" si="24"/>
        <v>92.100000000000009</v>
      </c>
      <c r="W151" s="1">
        <f t="shared" si="25"/>
        <v>85.1</v>
      </c>
      <c r="X151" s="1" t="str">
        <f>IF(Table1[[#This Row],[World Rank]]&lt;=250,"Q1-Elite",IF(Table1[[#This Row],[World Rank]]&lt;=500,"Q2-Strong",IF(Table1[[#This Row],[World Rank]]&lt;=750,"Q3-Developing","Q4-Emerging")))</f>
        <v>Q1-Elite</v>
      </c>
    </row>
    <row r="152" spans="1:24" x14ac:dyDescent="0.2">
      <c r="A152" s="1">
        <v>151</v>
      </c>
      <c r="B152" s="1" t="s">
        <v>189</v>
      </c>
      <c r="C152" s="1" t="s">
        <v>15</v>
      </c>
      <c r="D152" s="1" t="s">
        <v>1120</v>
      </c>
      <c r="E152" s="1">
        <v>64</v>
      </c>
      <c r="F152" s="1">
        <v>667</v>
      </c>
      <c r="G152" s="1">
        <v>1001</v>
      </c>
      <c r="H152" s="1">
        <v>172</v>
      </c>
      <c r="I152" s="1">
        <v>295</v>
      </c>
      <c r="J152" s="1">
        <v>208</v>
      </c>
      <c r="K152" s="1">
        <v>111</v>
      </c>
      <c r="L152" s="1">
        <v>108</v>
      </c>
      <c r="M152" s="1">
        <v>79.7</v>
      </c>
      <c r="N152" s="1">
        <v>39.783730400000003</v>
      </c>
      <c r="O152" s="1">
        <v>-100.445882</v>
      </c>
      <c r="P152" s="14">
        <f t="shared" si="18"/>
        <v>79.3</v>
      </c>
      <c r="Q152" s="13">
        <v>20</v>
      </c>
      <c r="R152" s="16">
        <f t="shared" si="20"/>
        <v>0</v>
      </c>
      <c r="S152" s="14">
        <f t="shared" si="21"/>
        <v>43.564356435643568</v>
      </c>
      <c r="T152" s="13">
        <f t="shared" si="22"/>
        <v>70.599999999999994</v>
      </c>
      <c r="U152" s="14">
        <f t="shared" si="23"/>
        <v>89</v>
      </c>
      <c r="V152" s="14">
        <f t="shared" si="24"/>
        <v>89.3</v>
      </c>
      <c r="W152" s="1">
        <f t="shared" si="25"/>
        <v>85</v>
      </c>
      <c r="X152" s="1" t="str">
        <f>IF(Table1[[#This Row],[World Rank]]&lt;=250,"Q1-Elite",IF(Table1[[#This Row],[World Rank]]&lt;=500,"Q2-Strong",IF(Table1[[#This Row],[World Rank]]&lt;=750,"Q3-Developing","Q4-Emerging")))</f>
        <v>Q1-Elite</v>
      </c>
    </row>
    <row r="153" spans="1:24" x14ac:dyDescent="0.2">
      <c r="A153" s="1">
        <v>152</v>
      </c>
      <c r="B153" s="1" t="s">
        <v>190</v>
      </c>
      <c r="C153" s="1" t="s">
        <v>118</v>
      </c>
      <c r="D153" s="1" t="s">
        <v>1124</v>
      </c>
      <c r="E153" s="1">
        <v>2</v>
      </c>
      <c r="F153" s="1">
        <v>667</v>
      </c>
      <c r="G153" s="1">
        <v>1001</v>
      </c>
      <c r="H153" s="1">
        <v>153</v>
      </c>
      <c r="I153" s="1">
        <v>131</v>
      </c>
      <c r="J153" s="1">
        <v>135</v>
      </c>
      <c r="K153" s="1">
        <v>206</v>
      </c>
      <c r="L153" s="1">
        <v>187</v>
      </c>
      <c r="M153" s="1">
        <v>79.599999999999994</v>
      </c>
      <c r="N153" s="1">
        <v>39.326068499999998</v>
      </c>
      <c r="O153" s="1">
        <v>-4.8379791000000001</v>
      </c>
      <c r="P153" s="14">
        <f t="shared" si="18"/>
        <v>86.6</v>
      </c>
      <c r="Q153" s="13">
        <v>20</v>
      </c>
      <c r="R153" s="16">
        <f t="shared" si="20"/>
        <v>0</v>
      </c>
      <c r="S153" s="14">
        <f t="shared" si="21"/>
        <v>49.834983498349835</v>
      </c>
      <c r="T153" s="13">
        <f t="shared" si="22"/>
        <v>87</v>
      </c>
      <c r="U153" s="14">
        <f t="shared" si="23"/>
        <v>79.5</v>
      </c>
      <c r="V153" s="14">
        <f t="shared" si="24"/>
        <v>81.399999999999991</v>
      </c>
      <c r="W153" s="1">
        <f t="shared" si="25"/>
        <v>84.899999999999991</v>
      </c>
      <c r="X153" s="1" t="str">
        <f>IF(Table1[[#This Row],[World Rank]]&lt;=250,"Q1-Elite",IF(Table1[[#This Row],[World Rank]]&lt;=500,"Q2-Strong",IF(Table1[[#This Row],[World Rank]]&lt;=750,"Q3-Developing","Q4-Emerging")))</f>
        <v>Q1-Elite</v>
      </c>
    </row>
    <row r="154" spans="1:24" x14ac:dyDescent="0.2">
      <c r="A154" s="1">
        <v>153</v>
      </c>
      <c r="B154" s="1" t="s">
        <v>191</v>
      </c>
      <c r="C154" s="1" t="s">
        <v>15</v>
      </c>
      <c r="D154" s="1" t="s">
        <v>1120</v>
      </c>
      <c r="E154" s="1">
        <v>65</v>
      </c>
      <c r="F154" s="1">
        <v>667</v>
      </c>
      <c r="G154" s="1">
        <v>1001</v>
      </c>
      <c r="H154" s="1">
        <v>304</v>
      </c>
      <c r="I154" s="1">
        <v>202</v>
      </c>
      <c r="J154" s="1">
        <v>145</v>
      </c>
      <c r="K154" s="1">
        <v>59</v>
      </c>
      <c r="L154" s="1">
        <v>101</v>
      </c>
      <c r="M154" s="1">
        <v>79.599999999999994</v>
      </c>
      <c r="N154" s="1">
        <v>39.783730400000003</v>
      </c>
      <c r="O154" s="1">
        <v>-100.445882</v>
      </c>
      <c r="P154" s="14">
        <f t="shared" si="18"/>
        <v>85.6</v>
      </c>
      <c r="Q154" s="13">
        <v>20</v>
      </c>
      <c r="R154" s="16">
        <f t="shared" si="20"/>
        <v>0</v>
      </c>
      <c r="S154" s="14">
        <f t="shared" si="21"/>
        <v>0</v>
      </c>
      <c r="T154" s="13">
        <f t="shared" si="22"/>
        <v>79.900000000000006</v>
      </c>
      <c r="U154" s="14">
        <f t="shared" si="23"/>
        <v>94.199999999999989</v>
      </c>
      <c r="V154" s="14">
        <f t="shared" si="24"/>
        <v>90</v>
      </c>
      <c r="W154" s="1">
        <f t="shared" si="25"/>
        <v>84.8</v>
      </c>
      <c r="X154" s="1" t="str">
        <f>IF(Table1[[#This Row],[World Rank]]&lt;=250,"Q1-Elite",IF(Table1[[#This Row],[World Rank]]&lt;=500,"Q2-Strong",IF(Table1[[#This Row],[World Rank]]&lt;=750,"Q3-Developing","Q4-Emerging")))</f>
        <v>Q1-Elite</v>
      </c>
    </row>
    <row r="155" spans="1:24" x14ac:dyDescent="0.2">
      <c r="A155" s="1">
        <v>154</v>
      </c>
      <c r="B155" s="1" t="s">
        <v>192</v>
      </c>
      <c r="C155" s="1" t="s">
        <v>15</v>
      </c>
      <c r="D155" s="1" t="s">
        <v>1120</v>
      </c>
      <c r="E155" s="1">
        <v>66</v>
      </c>
      <c r="F155" s="1">
        <v>100</v>
      </c>
      <c r="G155" s="1">
        <v>64</v>
      </c>
      <c r="H155" s="1">
        <v>229</v>
      </c>
      <c r="I155" s="1">
        <v>272</v>
      </c>
      <c r="J155" s="1">
        <v>212</v>
      </c>
      <c r="K155" s="1">
        <v>178</v>
      </c>
      <c r="L155" s="1">
        <v>151</v>
      </c>
      <c r="M155" s="1">
        <v>79.599999999999994</v>
      </c>
      <c r="N155" s="1">
        <v>39.783730400000003</v>
      </c>
      <c r="O155" s="1">
        <v>-100.445882</v>
      </c>
      <c r="P155" s="14">
        <f t="shared" si="18"/>
        <v>78.900000000000006</v>
      </c>
      <c r="Q155" s="13">
        <f t="shared" si="19"/>
        <v>85.13513513513513</v>
      </c>
      <c r="R155" s="16">
        <f t="shared" si="20"/>
        <v>93.7</v>
      </c>
      <c r="S155" s="14">
        <f t="shared" si="21"/>
        <v>24.752475247524753</v>
      </c>
      <c r="T155" s="13">
        <f t="shared" si="22"/>
        <v>72.899999999999991</v>
      </c>
      <c r="U155" s="14">
        <f t="shared" si="23"/>
        <v>82.3</v>
      </c>
      <c r="V155" s="14">
        <f t="shared" si="24"/>
        <v>85</v>
      </c>
      <c r="W155" s="1">
        <f t="shared" si="25"/>
        <v>84.7</v>
      </c>
      <c r="X155" s="1" t="str">
        <f>IF(Table1[[#This Row],[World Rank]]&lt;=250,"Q1-Elite",IF(Table1[[#This Row],[World Rank]]&lt;=500,"Q2-Strong",IF(Table1[[#This Row],[World Rank]]&lt;=750,"Q3-Developing","Q4-Emerging")))</f>
        <v>Q1-Elite</v>
      </c>
    </row>
    <row r="156" spans="1:24" x14ac:dyDescent="0.2">
      <c r="A156" s="1">
        <v>155</v>
      </c>
      <c r="B156" s="1" t="s">
        <v>193</v>
      </c>
      <c r="C156" s="1" t="s">
        <v>68</v>
      </c>
      <c r="D156" s="1" t="s">
        <v>1124</v>
      </c>
      <c r="E156" s="1">
        <v>10</v>
      </c>
      <c r="F156" s="1">
        <v>80</v>
      </c>
      <c r="G156" s="1">
        <v>316</v>
      </c>
      <c r="H156" s="1">
        <v>224</v>
      </c>
      <c r="I156" s="1">
        <v>188</v>
      </c>
      <c r="J156" s="1">
        <v>171</v>
      </c>
      <c r="K156" s="1">
        <v>138</v>
      </c>
      <c r="L156" s="1">
        <v>187</v>
      </c>
      <c r="M156" s="1">
        <v>79.599999999999994</v>
      </c>
      <c r="N156" s="1">
        <v>40.420347900000003</v>
      </c>
      <c r="O156" s="1">
        <v>-79.116698299999996</v>
      </c>
      <c r="P156" s="14">
        <f t="shared" si="18"/>
        <v>83</v>
      </c>
      <c r="Q156" s="13">
        <f t="shared" si="19"/>
        <v>88.138138138138132</v>
      </c>
      <c r="R156" s="16">
        <f t="shared" si="20"/>
        <v>68.5</v>
      </c>
      <c r="S156" s="14">
        <f t="shared" si="21"/>
        <v>26.402640264026399</v>
      </c>
      <c r="T156" s="13">
        <f t="shared" si="22"/>
        <v>81.3</v>
      </c>
      <c r="U156" s="14">
        <f t="shared" si="23"/>
        <v>86.3</v>
      </c>
      <c r="V156" s="14">
        <f t="shared" si="24"/>
        <v>81.399999999999991</v>
      </c>
      <c r="W156" s="1">
        <f t="shared" si="25"/>
        <v>84.6</v>
      </c>
      <c r="X156" s="1" t="str">
        <f>IF(Table1[[#This Row],[World Rank]]&lt;=250,"Q1-Elite",IF(Table1[[#This Row],[World Rank]]&lt;=500,"Q2-Strong",IF(Table1[[#This Row],[World Rank]]&lt;=750,"Q3-Developing","Q4-Emerging")))</f>
        <v>Q1-Elite</v>
      </c>
    </row>
    <row r="157" spans="1:24" x14ac:dyDescent="0.2">
      <c r="A157" s="1">
        <v>156</v>
      </c>
      <c r="B157" s="1" t="s">
        <v>194</v>
      </c>
      <c r="C157" s="1" t="s">
        <v>72</v>
      </c>
      <c r="D157" s="1" t="s">
        <v>1124</v>
      </c>
      <c r="E157" s="1">
        <v>4</v>
      </c>
      <c r="F157" s="1">
        <v>266</v>
      </c>
      <c r="G157" s="1">
        <v>45</v>
      </c>
      <c r="H157" s="1">
        <v>126</v>
      </c>
      <c r="I157" s="1">
        <v>242</v>
      </c>
      <c r="J157" s="1">
        <v>232</v>
      </c>
      <c r="K157" s="1">
        <v>322</v>
      </c>
      <c r="L157" s="1">
        <v>222</v>
      </c>
      <c r="M157" s="1">
        <v>79.5</v>
      </c>
      <c r="N157" s="1">
        <v>44.133434999999999</v>
      </c>
      <c r="O157" s="1">
        <v>-70.822677999999996</v>
      </c>
      <c r="P157" s="14">
        <f t="shared" si="18"/>
        <v>76.900000000000006</v>
      </c>
      <c r="Q157" s="13">
        <f t="shared" si="19"/>
        <v>60.210210210210214</v>
      </c>
      <c r="R157" s="16">
        <f t="shared" si="20"/>
        <v>95.6</v>
      </c>
      <c r="S157" s="14">
        <f t="shared" si="21"/>
        <v>58.745874587458744</v>
      </c>
      <c r="T157" s="13">
        <f t="shared" si="22"/>
        <v>75.900000000000006</v>
      </c>
      <c r="U157" s="14">
        <f t="shared" si="23"/>
        <v>67.900000000000006</v>
      </c>
      <c r="V157" s="14">
        <f t="shared" si="24"/>
        <v>77.900000000000006</v>
      </c>
      <c r="W157" s="1">
        <f t="shared" si="25"/>
        <v>84.5</v>
      </c>
      <c r="X157" s="1" t="str">
        <f>IF(Table1[[#This Row],[World Rank]]&lt;=250,"Q1-Elite",IF(Table1[[#This Row],[World Rank]]&lt;=500,"Q2-Strong",IF(Table1[[#This Row],[World Rank]]&lt;=750,"Q3-Developing","Q4-Emerging")))</f>
        <v>Q1-Elite</v>
      </c>
    </row>
    <row r="158" spans="1:24" x14ac:dyDescent="0.2">
      <c r="A158" s="1">
        <v>157</v>
      </c>
      <c r="B158" s="1" t="s">
        <v>195</v>
      </c>
      <c r="C158" s="1" t="s">
        <v>124</v>
      </c>
      <c r="D158" s="1" t="s">
        <v>1125</v>
      </c>
      <c r="E158" s="1">
        <v>4</v>
      </c>
      <c r="F158" s="1">
        <v>667</v>
      </c>
      <c r="G158" s="1">
        <v>568</v>
      </c>
      <c r="H158" s="1">
        <v>304</v>
      </c>
      <c r="I158" s="1">
        <v>15</v>
      </c>
      <c r="J158" s="1">
        <v>49</v>
      </c>
      <c r="K158" s="1">
        <v>244</v>
      </c>
      <c r="L158" s="1">
        <v>304</v>
      </c>
      <c r="M158" s="1">
        <v>79.5</v>
      </c>
      <c r="N158" s="1">
        <v>30.047992000000001</v>
      </c>
      <c r="O158" s="1">
        <v>-94.335743300000004</v>
      </c>
      <c r="P158" s="14">
        <f t="shared" si="18"/>
        <v>95.199999999999989</v>
      </c>
      <c r="Q158" s="13">
        <v>20</v>
      </c>
      <c r="R158" s="16">
        <f t="shared" si="20"/>
        <v>43.3</v>
      </c>
      <c r="S158" s="14">
        <f t="shared" si="21"/>
        <v>0</v>
      </c>
      <c r="T158" s="13">
        <f t="shared" si="22"/>
        <v>98.6</v>
      </c>
      <c r="U158" s="14">
        <f t="shared" si="23"/>
        <v>75.7</v>
      </c>
      <c r="V158" s="14">
        <f t="shared" si="24"/>
        <v>69.699999999999989</v>
      </c>
      <c r="W158" s="1">
        <f t="shared" si="25"/>
        <v>84.399999999999991</v>
      </c>
      <c r="X158" s="1" t="str">
        <f>IF(Table1[[#This Row],[World Rank]]&lt;=250,"Q1-Elite",IF(Table1[[#This Row],[World Rank]]&lt;=500,"Q2-Strong",IF(Table1[[#This Row],[World Rank]]&lt;=750,"Q3-Developing","Q4-Emerging")))</f>
        <v>Q1-Elite</v>
      </c>
    </row>
    <row r="159" spans="1:24" x14ac:dyDescent="0.2">
      <c r="A159" s="1">
        <v>158</v>
      </c>
      <c r="B159" s="1" t="s">
        <v>196</v>
      </c>
      <c r="C159" s="1" t="s">
        <v>19</v>
      </c>
      <c r="D159" s="1" t="s">
        <v>1124</v>
      </c>
      <c r="E159" s="1">
        <v>12</v>
      </c>
      <c r="F159" s="1">
        <v>284</v>
      </c>
      <c r="G159" s="1">
        <v>264</v>
      </c>
      <c r="H159" s="1">
        <v>304</v>
      </c>
      <c r="I159" s="1">
        <v>165</v>
      </c>
      <c r="J159" s="1">
        <v>128</v>
      </c>
      <c r="K159" s="1">
        <v>103</v>
      </c>
      <c r="L159" s="1">
        <v>114</v>
      </c>
      <c r="M159" s="1">
        <v>79.5</v>
      </c>
      <c r="N159" s="1">
        <v>54.702354499999998</v>
      </c>
      <c r="O159" s="1">
        <v>-3.2765753000000002</v>
      </c>
      <c r="P159" s="14">
        <f t="shared" si="18"/>
        <v>87.3</v>
      </c>
      <c r="Q159" s="13">
        <f t="shared" si="19"/>
        <v>57.507507507507505</v>
      </c>
      <c r="R159" s="16">
        <f t="shared" si="20"/>
        <v>73.7</v>
      </c>
      <c r="S159" s="14">
        <f t="shared" si="21"/>
        <v>0</v>
      </c>
      <c r="T159" s="13">
        <f t="shared" si="22"/>
        <v>83.6</v>
      </c>
      <c r="U159" s="14">
        <f t="shared" si="23"/>
        <v>89.8</v>
      </c>
      <c r="V159" s="14">
        <f t="shared" si="24"/>
        <v>88.7</v>
      </c>
      <c r="W159" s="1">
        <f t="shared" si="25"/>
        <v>84.3</v>
      </c>
      <c r="X159" s="1" t="str">
        <f>IF(Table1[[#This Row],[World Rank]]&lt;=250,"Q1-Elite",IF(Table1[[#This Row],[World Rank]]&lt;=500,"Q2-Strong",IF(Table1[[#This Row],[World Rank]]&lt;=750,"Q3-Developing","Q4-Emerging")))</f>
        <v>Q1-Elite</v>
      </c>
    </row>
    <row r="160" spans="1:24" x14ac:dyDescent="0.2">
      <c r="A160" s="1">
        <v>159</v>
      </c>
      <c r="B160" s="1" t="s">
        <v>197</v>
      </c>
      <c r="C160" s="1" t="s">
        <v>72</v>
      </c>
      <c r="D160" s="1" t="s">
        <v>1124</v>
      </c>
      <c r="E160" s="1">
        <v>5</v>
      </c>
      <c r="F160" s="1">
        <v>243</v>
      </c>
      <c r="G160" s="1">
        <v>276</v>
      </c>
      <c r="H160" s="1">
        <v>263</v>
      </c>
      <c r="I160" s="1">
        <v>247</v>
      </c>
      <c r="J160" s="1">
        <v>200</v>
      </c>
      <c r="K160" s="1">
        <v>110</v>
      </c>
      <c r="L160" s="1">
        <v>93</v>
      </c>
      <c r="M160" s="1">
        <v>79.400000000000006</v>
      </c>
      <c r="N160" s="1">
        <v>44.133434999999999</v>
      </c>
      <c r="O160" s="1">
        <v>-70.822677999999996</v>
      </c>
      <c r="P160" s="14">
        <f t="shared" si="18"/>
        <v>80.100000000000009</v>
      </c>
      <c r="Q160" s="13">
        <f t="shared" si="19"/>
        <v>63.663663663663662</v>
      </c>
      <c r="R160" s="16">
        <f t="shared" si="20"/>
        <v>72.5</v>
      </c>
      <c r="S160" s="14">
        <f t="shared" si="21"/>
        <v>13.531353135313532</v>
      </c>
      <c r="T160" s="13">
        <f t="shared" si="22"/>
        <v>75.400000000000006</v>
      </c>
      <c r="U160" s="14">
        <f t="shared" si="23"/>
        <v>89.1</v>
      </c>
      <c r="V160" s="14">
        <f t="shared" si="24"/>
        <v>90.8</v>
      </c>
      <c r="W160" s="1">
        <f t="shared" si="25"/>
        <v>84.2</v>
      </c>
      <c r="X160" s="1" t="str">
        <f>IF(Table1[[#This Row],[World Rank]]&lt;=250,"Q1-Elite",IF(Table1[[#This Row],[World Rank]]&lt;=500,"Q2-Strong",IF(Table1[[#This Row],[World Rank]]&lt;=750,"Q3-Developing","Q4-Emerging")))</f>
        <v>Q1-Elite</v>
      </c>
    </row>
    <row r="161" spans="1:24" x14ac:dyDescent="0.2">
      <c r="A161" s="1">
        <v>160</v>
      </c>
      <c r="B161" s="1" t="s">
        <v>198</v>
      </c>
      <c r="C161" s="1" t="s">
        <v>15</v>
      </c>
      <c r="D161" s="1" t="s">
        <v>1120</v>
      </c>
      <c r="E161" s="1">
        <v>67</v>
      </c>
      <c r="F161" s="1">
        <v>397</v>
      </c>
      <c r="G161" s="1">
        <v>30</v>
      </c>
      <c r="H161" s="1">
        <v>103</v>
      </c>
      <c r="I161" s="1">
        <v>379</v>
      </c>
      <c r="J161" s="1">
        <v>274</v>
      </c>
      <c r="K161" s="1">
        <v>286</v>
      </c>
      <c r="L161" s="1">
        <v>327</v>
      </c>
      <c r="M161" s="1">
        <v>79.400000000000006</v>
      </c>
      <c r="N161" s="1">
        <v>39.783730400000003</v>
      </c>
      <c r="O161" s="1">
        <v>-100.445882</v>
      </c>
      <c r="P161" s="14">
        <f t="shared" si="18"/>
        <v>72.7</v>
      </c>
      <c r="Q161" s="13">
        <f t="shared" si="19"/>
        <v>40.54054054054054</v>
      </c>
      <c r="R161" s="16">
        <f t="shared" si="20"/>
        <v>97.1</v>
      </c>
      <c r="S161" s="14">
        <f t="shared" si="21"/>
        <v>66.336633663366342</v>
      </c>
      <c r="T161" s="13">
        <f t="shared" si="22"/>
        <v>62.2</v>
      </c>
      <c r="U161" s="14">
        <f t="shared" si="23"/>
        <v>71.5</v>
      </c>
      <c r="V161" s="14">
        <f t="shared" si="24"/>
        <v>67.400000000000006</v>
      </c>
      <c r="W161" s="1">
        <f t="shared" si="25"/>
        <v>84.1</v>
      </c>
      <c r="X161" s="1" t="str">
        <f>IF(Table1[[#This Row],[World Rank]]&lt;=250,"Q1-Elite",IF(Table1[[#This Row],[World Rank]]&lt;=500,"Q2-Strong",IF(Table1[[#This Row],[World Rank]]&lt;=750,"Q3-Developing","Q4-Emerging")))</f>
        <v>Q1-Elite</v>
      </c>
    </row>
    <row r="162" spans="1:24" x14ac:dyDescent="0.2">
      <c r="A162" s="1">
        <v>161</v>
      </c>
      <c r="B162" s="1" t="s">
        <v>199</v>
      </c>
      <c r="C162" s="1" t="s">
        <v>139</v>
      </c>
      <c r="D162" s="1" t="s">
        <v>1124</v>
      </c>
      <c r="E162" s="1">
        <v>3</v>
      </c>
      <c r="F162" s="1">
        <v>355</v>
      </c>
      <c r="G162" s="1">
        <v>524</v>
      </c>
      <c r="H162" s="1">
        <v>116</v>
      </c>
      <c r="I162" s="1">
        <v>254</v>
      </c>
      <c r="J162" s="1">
        <v>217</v>
      </c>
      <c r="K162" s="1">
        <v>254</v>
      </c>
      <c r="L162" s="1">
        <v>85</v>
      </c>
      <c r="M162" s="1">
        <v>79.400000000000006</v>
      </c>
      <c r="N162" s="1">
        <v>50.6402809</v>
      </c>
      <c r="O162" s="1">
        <v>4.6667145000000003</v>
      </c>
      <c r="P162" s="14">
        <f t="shared" si="18"/>
        <v>78.400000000000006</v>
      </c>
      <c r="Q162" s="13">
        <f t="shared" si="19"/>
        <v>46.846846846846844</v>
      </c>
      <c r="R162" s="16">
        <f t="shared" si="20"/>
        <v>47.699999999999996</v>
      </c>
      <c r="S162" s="14">
        <f t="shared" si="21"/>
        <v>62.046204620462042</v>
      </c>
      <c r="T162" s="13">
        <f t="shared" si="22"/>
        <v>74.7</v>
      </c>
      <c r="U162" s="14">
        <f t="shared" si="23"/>
        <v>74.7</v>
      </c>
      <c r="V162" s="14">
        <f t="shared" si="24"/>
        <v>91.600000000000009</v>
      </c>
      <c r="W162" s="1">
        <f t="shared" si="25"/>
        <v>84</v>
      </c>
      <c r="X162" s="1" t="str">
        <f>IF(Table1[[#This Row],[World Rank]]&lt;=250,"Q1-Elite",IF(Table1[[#This Row],[World Rank]]&lt;=500,"Q2-Strong",IF(Table1[[#This Row],[World Rank]]&lt;=750,"Q3-Developing","Q4-Emerging")))</f>
        <v>Q1-Elite</v>
      </c>
    </row>
    <row r="163" spans="1:24" x14ac:dyDescent="0.2">
      <c r="A163" s="1">
        <v>162</v>
      </c>
      <c r="B163" s="1" t="s">
        <v>200</v>
      </c>
      <c r="C163" s="1" t="s">
        <v>19</v>
      </c>
      <c r="D163" s="1" t="s">
        <v>1124</v>
      </c>
      <c r="E163" s="1">
        <v>13</v>
      </c>
      <c r="F163" s="1">
        <v>330</v>
      </c>
      <c r="G163" s="1">
        <v>440</v>
      </c>
      <c r="H163" s="1">
        <v>281</v>
      </c>
      <c r="I163" s="1">
        <v>154</v>
      </c>
      <c r="J163" s="1">
        <v>147</v>
      </c>
      <c r="K163" s="1">
        <v>160</v>
      </c>
      <c r="L163" s="1">
        <v>93</v>
      </c>
      <c r="M163" s="1">
        <v>79.400000000000006</v>
      </c>
      <c r="N163" s="1">
        <v>54.702354499999998</v>
      </c>
      <c r="O163" s="1">
        <v>-3.2765753000000002</v>
      </c>
      <c r="P163" s="14">
        <f t="shared" si="18"/>
        <v>85.399999999999991</v>
      </c>
      <c r="Q163" s="13">
        <f t="shared" si="19"/>
        <v>50.6006006006006</v>
      </c>
      <c r="R163" s="16">
        <f t="shared" si="20"/>
        <v>56.100000000000009</v>
      </c>
      <c r="S163" s="14">
        <f t="shared" si="21"/>
        <v>7.5907590759075907</v>
      </c>
      <c r="T163" s="13">
        <f t="shared" si="22"/>
        <v>84.7</v>
      </c>
      <c r="U163" s="14">
        <f t="shared" si="23"/>
        <v>84.1</v>
      </c>
      <c r="V163" s="14">
        <f t="shared" si="24"/>
        <v>90.8</v>
      </c>
      <c r="W163" s="1">
        <f t="shared" si="25"/>
        <v>83.899999999999991</v>
      </c>
      <c r="X163" s="1" t="str">
        <f>IF(Table1[[#This Row],[World Rank]]&lt;=250,"Q1-Elite",IF(Table1[[#This Row],[World Rank]]&lt;=500,"Q2-Strong",IF(Table1[[#This Row],[World Rank]]&lt;=750,"Q3-Developing","Q4-Emerging")))</f>
        <v>Q1-Elite</v>
      </c>
    </row>
    <row r="164" spans="1:24" x14ac:dyDescent="0.2">
      <c r="A164" s="1">
        <v>163</v>
      </c>
      <c r="B164" s="1" t="s">
        <v>201</v>
      </c>
      <c r="C164" s="1" t="s">
        <v>19</v>
      </c>
      <c r="D164" s="1" t="s">
        <v>1124</v>
      </c>
      <c r="E164" s="1">
        <v>14</v>
      </c>
      <c r="F164" s="1">
        <v>221</v>
      </c>
      <c r="G164" s="1">
        <v>239</v>
      </c>
      <c r="H164" s="1">
        <v>164</v>
      </c>
      <c r="I164" s="1">
        <v>233</v>
      </c>
      <c r="J164" s="1">
        <v>184</v>
      </c>
      <c r="K164" s="1">
        <v>204</v>
      </c>
      <c r="L164" s="1">
        <v>151</v>
      </c>
      <c r="M164" s="1">
        <v>79.3</v>
      </c>
      <c r="N164" s="1">
        <v>54.702354499999998</v>
      </c>
      <c r="O164" s="1">
        <v>-3.2765753000000002</v>
      </c>
      <c r="P164" s="14">
        <f t="shared" si="18"/>
        <v>81.699999999999989</v>
      </c>
      <c r="Q164" s="13">
        <f t="shared" si="19"/>
        <v>66.966966966966964</v>
      </c>
      <c r="R164" s="16">
        <f t="shared" si="20"/>
        <v>76.2</v>
      </c>
      <c r="S164" s="14">
        <f t="shared" si="21"/>
        <v>46.204620462046201</v>
      </c>
      <c r="T164" s="13">
        <f t="shared" si="22"/>
        <v>76.8</v>
      </c>
      <c r="U164" s="14">
        <f t="shared" si="23"/>
        <v>79.7</v>
      </c>
      <c r="V164" s="14">
        <f t="shared" si="24"/>
        <v>85</v>
      </c>
      <c r="W164" s="1">
        <f t="shared" si="25"/>
        <v>83.8</v>
      </c>
      <c r="X164" s="1" t="str">
        <f>IF(Table1[[#This Row],[World Rank]]&lt;=250,"Q1-Elite",IF(Table1[[#This Row],[World Rank]]&lt;=500,"Q2-Strong",IF(Table1[[#This Row],[World Rank]]&lt;=750,"Q3-Developing","Q4-Emerging")))</f>
        <v>Q1-Elite</v>
      </c>
    </row>
    <row r="165" spans="1:24" x14ac:dyDescent="0.2">
      <c r="A165" s="1">
        <v>164</v>
      </c>
      <c r="B165" s="1" t="s">
        <v>202</v>
      </c>
      <c r="C165" s="1" t="s">
        <v>19</v>
      </c>
      <c r="D165" s="1" t="s">
        <v>1124</v>
      </c>
      <c r="E165" s="1">
        <v>15</v>
      </c>
      <c r="F165" s="1">
        <v>104</v>
      </c>
      <c r="G165" s="1">
        <v>291</v>
      </c>
      <c r="H165" s="1">
        <v>304</v>
      </c>
      <c r="I165" s="1">
        <v>150</v>
      </c>
      <c r="J165" s="1">
        <v>137</v>
      </c>
      <c r="K165" s="1">
        <v>127</v>
      </c>
      <c r="L165" s="1">
        <v>139</v>
      </c>
      <c r="M165" s="1">
        <v>79.3</v>
      </c>
      <c r="N165" s="1">
        <v>54.702354499999998</v>
      </c>
      <c r="O165" s="1">
        <v>-3.2765753000000002</v>
      </c>
      <c r="P165" s="14">
        <f t="shared" si="18"/>
        <v>86.4</v>
      </c>
      <c r="Q165" s="13">
        <f t="shared" si="19"/>
        <v>84.534534534534529</v>
      </c>
      <c r="R165" s="16">
        <f t="shared" si="20"/>
        <v>71</v>
      </c>
      <c r="S165" s="14">
        <f t="shared" si="21"/>
        <v>0</v>
      </c>
      <c r="T165" s="13">
        <f t="shared" si="22"/>
        <v>85.1</v>
      </c>
      <c r="U165" s="14">
        <f t="shared" si="23"/>
        <v>87.4</v>
      </c>
      <c r="V165" s="14">
        <f t="shared" si="24"/>
        <v>86.2</v>
      </c>
      <c r="W165" s="1">
        <f t="shared" si="25"/>
        <v>83.7</v>
      </c>
      <c r="X165" s="1" t="str">
        <f>IF(Table1[[#This Row],[World Rank]]&lt;=250,"Q1-Elite",IF(Table1[[#This Row],[World Rank]]&lt;=500,"Q2-Strong",IF(Table1[[#This Row],[World Rank]]&lt;=750,"Q3-Developing","Q4-Emerging")))</f>
        <v>Q1-Elite</v>
      </c>
    </row>
    <row r="166" spans="1:24" x14ac:dyDescent="0.2">
      <c r="A166" s="1">
        <v>165</v>
      </c>
      <c r="B166" s="1" t="s">
        <v>203</v>
      </c>
      <c r="C166" s="1" t="s">
        <v>68</v>
      </c>
      <c r="D166" s="1" t="s">
        <v>1124</v>
      </c>
      <c r="E166" s="1">
        <v>11</v>
      </c>
      <c r="F166" s="1">
        <v>217</v>
      </c>
      <c r="G166" s="1">
        <v>209</v>
      </c>
      <c r="H166" s="1">
        <v>286</v>
      </c>
      <c r="I166" s="1">
        <v>187</v>
      </c>
      <c r="J166" s="1">
        <v>160</v>
      </c>
      <c r="K166" s="1">
        <v>128</v>
      </c>
      <c r="L166" s="1">
        <v>129</v>
      </c>
      <c r="M166" s="1">
        <v>79.3</v>
      </c>
      <c r="N166" s="1">
        <v>40.420347900000003</v>
      </c>
      <c r="O166" s="1">
        <v>-79.116698299999996</v>
      </c>
      <c r="P166" s="14">
        <f t="shared" si="18"/>
        <v>84.1</v>
      </c>
      <c r="Q166" s="13">
        <f t="shared" si="19"/>
        <v>67.567567567567565</v>
      </c>
      <c r="R166" s="16">
        <f t="shared" si="20"/>
        <v>79.2</v>
      </c>
      <c r="S166" s="14">
        <f t="shared" si="21"/>
        <v>5.9405940594059405</v>
      </c>
      <c r="T166" s="13">
        <f t="shared" si="22"/>
        <v>81.399999999999991</v>
      </c>
      <c r="U166" s="14">
        <f t="shared" si="23"/>
        <v>87.3</v>
      </c>
      <c r="V166" s="14">
        <f t="shared" si="24"/>
        <v>87.2</v>
      </c>
      <c r="W166" s="1">
        <f t="shared" si="25"/>
        <v>83.6</v>
      </c>
      <c r="X166" s="1" t="str">
        <f>IF(Table1[[#This Row],[World Rank]]&lt;=250,"Q1-Elite",IF(Table1[[#This Row],[World Rank]]&lt;=500,"Q2-Strong",IF(Table1[[#This Row],[World Rank]]&lt;=750,"Q3-Developing","Q4-Emerging")))</f>
        <v>Q1-Elite</v>
      </c>
    </row>
    <row r="167" spans="1:24" x14ac:dyDescent="0.2">
      <c r="A167" s="1">
        <v>166</v>
      </c>
      <c r="B167" s="1" t="s">
        <v>204</v>
      </c>
      <c r="C167" s="1" t="s">
        <v>72</v>
      </c>
      <c r="D167" s="1" t="s">
        <v>1124</v>
      </c>
      <c r="E167" s="1">
        <v>6</v>
      </c>
      <c r="F167" s="1">
        <v>501</v>
      </c>
      <c r="G167" s="1">
        <v>427</v>
      </c>
      <c r="H167" s="1">
        <v>141</v>
      </c>
      <c r="I167" s="1">
        <v>208</v>
      </c>
      <c r="J167" s="1">
        <v>189</v>
      </c>
      <c r="K167" s="1">
        <v>175</v>
      </c>
      <c r="L167" s="1">
        <v>187</v>
      </c>
      <c r="M167" s="1">
        <v>79.2</v>
      </c>
      <c r="N167" s="1">
        <v>44.133434999999999</v>
      </c>
      <c r="O167" s="1">
        <v>-70.822677999999996</v>
      </c>
      <c r="P167" s="14">
        <f t="shared" si="18"/>
        <v>81.2</v>
      </c>
      <c r="Q167" s="13">
        <f t="shared" si="19"/>
        <v>24.924924924924923</v>
      </c>
      <c r="R167" s="16">
        <f t="shared" si="20"/>
        <v>57.4</v>
      </c>
      <c r="S167" s="14">
        <f t="shared" si="21"/>
        <v>53.795379537953792</v>
      </c>
      <c r="T167" s="13">
        <f t="shared" si="22"/>
        <v>79.3</v>
      </c>
      <c r="U167" s="14">
        <f t="shared" si="23"/>
        <v>82.6</v>
      </c>
      <c r="V167" s="14">
        <f t="shared" si="24"/>
        <v>81.399999999999991</v>
      </c>
      <c r="W167" s="1">
        <f t="shared" si="25"/>
        <v>83.5</v>
      </c>
      <c r="X167" s="1" t="str">
        <f>IF(Table1[[#This Row],[World Rank]]&lt;=250,"Q1-Elite",IF(Table1[[#This Row],[World Rank]]&lt;=500,"Q2-Strong",IF(Table1[[#This Row],[World Rank]]&lt;=750,"Q3-Developing","Q4-Emerging")))</f>
        <v>Q1-Elite</v>
      </c>
    </row>
    <row r="168" spans="1:24" x14ac:dyDescent="0.2">
      <c r="A168" s="1">
        <v>167</v>
      </c>
      <c r="B168" s="1" t="s">
        <v>205</v>
      </c>
      <c r="C168" s="1" t="s">
        <v>15</v>
      </c>
      <c r="D168" s="1" t="s">
        <v>1120</v>
      </c>
      <c r="E168" s="1">
        <v>68</v>
      </c>
      <c r="F168" s="1">
        <v>121</v>
      </c>
      <c r="G168" s="1">
        <v>416</v>
      </c>
      <c r="H168" s="1">
        <v>153</v>
      </c>
      <c r="I168" s="1">
        <v>170</v>
      </c>
      <c r="J168" s="1">
        <v>168</v>
      </c>
      <c r="K168" s="1">
        <v>235</v>
      </c>
      <c r="L168" s="1">
        <v>200</v>
      </c>
      <c r="M168" s="1">
        <v>79.2</v>
      </c>
      <c r="N168" s="1">
        <v>39.783730400000003</v>
      </c>
      <c r="O168" s="1">
        <v>-100.445882</v>
      </c>
      <c r="P168" s="14">
        <f t="shared" si="18"/>
        <v>83.3</v>
      </c>
      <c r="Q168" s="13">
        <f t="shared" si="19"/>
        <v>81.981981981981974</v>
      </c>
      <c r="R168" s="16">
        <f t="shared" si="20"/>
        <v>58.5</v>
      </c>
      <c r="S168" s="14">
        <f t="shared" si="21"/>
        <v>49.834983498349835</v>
      </c>
      <c r="T168" s="13">
        <f t="shared" si="22"/>
        <v>83.1</v>
      </c>
      <c r="U168" s="14">
        <f t="shared" si="23"/>
        <v>76.599999999999994</v>
      </c>
      <c r="V168" s="14">
        <f t="shared" si="24"/>
        <v>80.100000000000009</v>
      </c>
      <c r="W168" s="1">
        <f t="shared" si="25"/>
        <v>83.399999999999991</v>
      </c>
      <c r="X168" s="1" t="str">
        <f>IF(Table1[[#This Row],[World Rank]]&lt;=250,"Q1-Elite",IF(Table1[[#This Row],[World Rank]]&lt;=500,"Q2-Strong",IF(Table1[[#This Row],[World Rank]]&lt;=750,"Q3-Developing","Q4-Emerging")))</f>
        <v>Q1-Elite</v>
      </c>
    </row>
    <row r="169" spans="1:24" x14ac:dyDescent="0.2">
      <c r="A169" s="1">
        <v>168</v>
      </c>
      <c r="B169" s="1" t="s">
        <v>206</v>
      </c>
      <c r="C169" s="1" t="s">
        <v>99</v>
      </c>
      <c r="D169" s="1" t="s">
        <v>1124</v>
      </c>
      <c r="E169" s="1">
        <v>8</v>
      </c>
      <c r="F169" s="1">
        <v>534</v>
      </c>
      <c r="G169" s="1">
        <v>962</v>
      </c>
      <c r="H169" s="1">
        <v>223</v>
      </c>
      <c r="I169" s="1">
        <v>207</v>
      </c>
      <c r="J169" s="1">
        <v>175</v>
      </c>
      <c r="K169" s="1">
        <v>170</v>
      </c>
      <c r="L169" s="1">
        <v>129</v>
      </c>
      <c r="M169" s="1">
        <v>79.2</v>
      </c>
      <c r="N169" s="1">
        <v>52.243497900000001</v>
      </c>
      <c r="O169" s="1">
        <v>5.6343227000000002</v>
      </c>
      <c r="P169" s="14">
        <f t="shared" si="18"/>
        <v>82.6</v>
      </c>
      <c r="Q169" s="13">
        <v>20</v>
      </c>
      <c r="R169" s="16">
        <f t="shared" si="20"/>
        <v>3.9</v>
      </c>
      <c r="S169" s="14">
        <f t="shared" si="21"/>
        <v>26.732673267326735</v>
      </c>
      <c r="T169" s="13">
        <f t="shared" si="22"/>
        <v>79.400000000000006</v>
      </c>
      <c r="U169" s="14">
        <f t="shared" si="23"/>
        <v>83.1</v>
      </c>
      <c r="V169" s="14">
        <f t="shared" si="24"/>
        <v>87.2</v>
      </c>
      <c r="W169" s="1">
        <f t="shared" si="25"/>
        <v>83.3</v>
      </c>
      <c r="X169" s="1" t="str">
        <f>IF(Table1[[#This Row],[World Rank]]&lt;=250,"Q1-Elite",IF(Table1[[#This Row],[World Rank]]&lt;=500,"Q2-Strong",IF(Table1[[#This Row],[World Rank]]&lt;=750,"Q3-Developing","Q4-Emerging")))</f>
        <v>Q1-Elite</v>
      </c>
    </row>
    <row r="170" spans="1:24" x14ac:dyDescent="0.2">
      <c r="A170" s="1">
        <v>169</v>
      </c>
      <c r="B170" s="1" t="s">
        <v>207</v>
      </c>
      <c r="C170" s="1" t="s">
        <v>19</v>
      </c>
      <c r="D170" s="1" t="s">
        <v>1124</v>
      </c>
      <c r="E170" s="1">
        <v>16</v>
      </c>
      <c r="F170" s="1">
        <v>164</v>
      </c>
      <c r="G170" s="1">
        <v>355</v>
      </c>
      <c r="H170" s="1">
        <v>292</v>
      </c>
      <c r="I170" s="1">
        <v>129</v>
      </c>
      <c r="J170" s="1">
        <v>119</v>
      </c>
      <c r="K170" s="1">
        <v>142</v>
      </c>
      <c r="L170" s="1">
        <v>187</v>
      </c>
      <c r="M170" s="1">
        <v>79.2</v>
      </c>
      <c r="N170" s="1">
        <v>54.702354499999998</v>
      </c>
      <c r="O170" s="1">
        <v>-3.2765753000000002</v>
      </c>
      <c r="P170" s="14">
        <f t="shared" si="18"/>
        <v>88.2</v>
      </c>
      <c r="Q170" s="13">
        <f t="shared" si="19"/>
        <v>75.525525525525524</v>
      </c>
      <c r="R170" s="16">
        <f t="shared" si="20"/>
        <v>64.600000000000009</v>
      </c>
      <c r="S170" s="14">
        <f t="shared" si="21"/>
        <v>3.9603960396039604</v>
      </c>
      <c r="T170" s="13">
        <f t="shared" si="22"/>
        <v>87.2</v>
      </c>
      <c r="U170" s="14">
        <f t="shared" si="23"/>
        <v>85.9</v>
      </c>
      <c r="V170" s="14">
        <f t="shared" si="24"/>
        <v>81.399999999999991</v>
      </c>
      <c r="W170" s="1">
        <f t="shared" si="25"/>
        <v>83.2</v>
      </c>
      <c r="X170" s="1" t="str">
        <f>IF(Table1[[#This Row],[World Rank]]&lt;=250,"Q1-Elite",IF(Table1[[#This Row],[World Rank]]&lt;=500,"Q2-Strong",IF(Table1[[#This Row],[World Rank]]&lt;=750,"Q3-Developing","Q4-Emerging")))</f>
        <v>Q1-Elite</v>
      </c>
    </row>
    <row r="171" spans="1:24" x14ac:dyDescent="0.2">
      <c r="A171" s="1">
        <v>170</v>
      </c>
      <c r="B171" s="1" t="s">
        <v>208</v>
      </c>
      <c r="C171" s="1" t="s">
        <v>124</v>
      </c>
      <c r="D171" s="1" t="s">
        <v>1125</v>
      </c>
      <c r="E171" s="1">
        <v>5</v>
      </c>
      <c r="F171" s="1">
        <v>667</v>
      </c>
      <c r="G171" s="1">
        <v>210</v>
      </c>
      <c r="H171" s="1">
        <v>304</v>
      </c>
      <c r="I171" s="1">
        <v>54</v>
      </c>
      <c r="J171" s="1">
        <v>94</v>
      </c>
      <c r="K171" s="1">
        <v>188</v>
      </c>
      <c r="L171" s="1">
        <v>275</v>
      </c>
      <c r="M171" s="1">
        <v>79.099999999999994</v>
      </c>
      <c r="N171" s="1">
        <v>30.047992000000001</v>
      </c>
      <c r="O171" s="1">
        <v>-94.335743300000004</v>
      </c>
      <c r="P171" s="14">
        <f t="shared" si="18"/>
        <v>90.7</v>
      </c>
      <c r="Q171" s="13">
        <v>20</v>
      </c>
      <c r="R171" s="16">
        <f t="shared" si="20"/>
        <v>79.100000000000009</v>
      </c>
      <c r="S171" s="14">
        <f t="shared" si="21"/>
        <v>0</v>
      </c>
      <c r="T171" s="13">
        <f t="shared" si="22"/>
        <v>94.699999999999989</v>
      </c>
      <c r="U171" s="14">
        <f t="shared" si="23"/>
        <v>81.3</v>
      </c>
      <c r="V171" s="14">
        <f t="shared" si="24"/>
        <v>72.599999999999994</v>
      </c>
      <c r="W171" s="1">
        <f t="shared" si="25"/>
        <v>83.1</v>
      </c>
      <c r="X171" s="1" t="str">
        <f>IF(Table1[[#This Row],[World Rank]]&lt;=250,"Q1-Elite",IF(Table1[[#This Row],[World Rank]]&lt;=500,"Q2-Strong",IF(Table1[[#This Row],[World Rank]]&lt;=750,"Q3-Developing","Q4-Emerging")))</f>
        <v>Q1-Elite</v>
      </c>
    </row>
    <row r="172" spans="1:24" x14ac:dyDescent="0.2">
      <c r="A172" s="1">
        <v>171</v>
      </c>
      <c r="B172" s="1" t="s">
        <v>209</v>
      </c>
      <c r="C172" s="1" t="s">
        <v>210</v>
      </c>
      <c r="D172" s="1" t="s">
        <v>1125</v>
      </c>
      <c r="E172" s="1">
        <v>1</v>
      </c>
      <c r="F172" s="1">
        <v>432</v>
      </c>
      <c r="G172" s="1">
        <v>165</v>
      </c>
      <c r="H172" s="1">
        <v>304</v>
      </c>
      <c r="I172" s="1">
        <v>136</v>
      </c>
      <c r="J172" s="1">
        <v>132</v>
      </c>
      <c r="K172" s="1">
        <v>183</v>
      </c>
      <c r="L172" s="1">
        <v>114</v>
      </c>
      <c r="M172" s="1">
        <v>79.099999999999994</v>
      </c>
      <c r="N172" s="1">
        <v>22.350626999999999</v>
      </c>
      <c r="O172" s="1">
        <v>114.1849161</v>
      </c>
      <c r="P172" s="14">
        <f t="shared" si="18"/>
        <v>86.9</v>
      </c>
      <c r="Q172" s="13">
        <f t="shared" si="19"/>
        <v>35.285285285285283</v>
      </c>
      <c r="R172" s="16">
        <f t="shared" si="20"/>
        <v>83.6</v>
      </c>
      <c r="S172" s="14">
        <f t="shared" si="21"/>
        <v>0</v>
      </c>
      <c r="T172" s="13">
        <f t="shared" si="22"/>
        <v>86.5</v>
      </c>
      <c r="U172" s="14">
        <f t="shared" si="23"/>
        <v>81.8</v>
      </c>
      <c r="V172" s="14">
        <f t="shared" si="24"/>
        <v>88.7</v>
      </c>
      <c r="W172" s="1">
        <f t="shared" si="25"/>
        <v>83</v>
      </c>
      <c r="X172" s="1" t="str">
        <f>IF(Table1[[#This Row],[World Rank]]&lt;=250,"Q1-Elite",IF(Table1[[#This Row],[World Rank]]&lt;=500,"Q2-Strong",IF(Table1[[#This Row],[World Rank]]&lt;=750,"Q3-Developing","Q4-Emerging")))</f>
        <v>Q1-Elite</v>
      </c>
    </row>
    <row r="173" spans="1:24" x14ac:dyDescent="0.2">
      <c r="A173" s="1">
        <v>172</v>
      </c>
      <c r="B173" s="1" t="s">
        <v>211</v>
      </c>
      <c r="C173" s="1" t="s">
        <v>212</v>
      </c>
      <c r="D173" s="1" t="s">
        <v>1124</v>
      </c>
      <c r="E173" s="1">
        <v>1</v>
      </c>
      <c r="F173" s="1">
        <v>443</v>
      </c>
      <c r="G173" s="1">
        <v>489</v>
      </c>
      <c r="H173" s="1">
        <v>138</v>
      </c>
      <c r="I173" s="1">
        <v>249</v>
      </c>
      <c r="J173" s="1">
        <v>247</v>
      </c>
      <c r="K173" s="1">
        <v>159</v>
      </c>
      <c r="L173" s="1">
        <v>174</v>
      </c>
      <c r="M173" s="1">
        <v>79.099999999999994</v>
      </c>
      <c r="N173" s="1">
        <v>47.593969999999999</v>
      </c>
      <c r="O173" s="1">
        <v>14.124560000000001</v>
      </c>
      <c r="P173" s="14">
        <f t="shared" si="18"/>
        <v>75.400000000000006</v>
      </c>
      <c r="Q173" s="13">
        <f t="shared" si="19"/>
        <v>33.633633633633636</v>
      </c>
      <c r="R173" s="16">
        <f t="shared" si="20"/>
        <v>51.2</v>
      </c>
      <c r="S173" s="14">
        <f t="shared" si="21"/>
        <v>54.78547854785478</v>
      </c>
      <c r="T173" s="13">
        <f t="shared" si="22"/>
        <v>75.2</v>
      </c>
      <c r="U173" s="14">
        <f t="shared" si="23"/>
        <v>84.2</v>
      </c>
      <c r="V173" s="14">
        <f t="shared" si="24"/>
        <v>82.699999999999989</v>
      </c>
      <c r="W173" s="1">
        <f t="shared" si="25"/>
        <v>82.899999999999991</v>
      </c>
      <c r="X173" s="1" t="str">
        <f>IF(Table1[[#This Row],[World Rank]]&lt;=250,"Q1-Elite",IF(Table1[[#This Row],[World Rank]]&lt;=500,"Q2-Strong",IF(Table1[[#This Row],[World Rank]]&lt;=750,"Q3-Developing","Q4-Emerging")))</f>
        <v>Q1-Elite</v>
      </c>
    </row>
    <row r="174" spans="1:24" x14ac:dyDescent="0.2">
      <c r="A174" s="1">
        <v>173</v>
      </c>
      <c r="B174" s="1" t="s">
        <v>213</v>
      </c>
      <c r="C174" s="1" t="s">
        <v>137</v>
      </c>
      <c r="D174" s="1" t="s">
        <v>1125</v>
      </c>
      <c r="E174" s="1">
        <v>2</v>
      </c>
      <c r="F174" s="1">
        <v>667</v>
      </c>
      <c r="G174" s="1">
        <v>1001</v>
      </c>
      <c r="H174" s="1">
        <v>304</v>
      </c>
      <c r="I174" s="1">
        <v>93</v>
      </c>
      <c r="J174" s="1">
        <v>85</v>
      </c>
      <c r="K174" s="1">
        <v>243</v>
      </c>
      <c r="L174" s="1">
        <v>121</v>
      </c>
      <c r="M174" s="1">
        <v>79.099999999999994</v>
      </c>
      <c r="N174" s="1">
        <v>1.3571070000000001</v>
      </c>
      <c r="O174" s="1">
        <v>103.8194992</v>
      </c>
      <c r="P174" s="14">
        <f t="shared" si="18"/>
        <v>91.600000000000009</v>
      </c>
      <c r="Q174" s="13">
        <v>20</v>
      </c>
      <c r="R174" s="16">
        <f t="shared" si="20"/>
        <v>0</v>
      </c>
      <c r="S174" s="14">
        <f t="shared" si="21"/>
        <v>0</v>
      </c>
      <c r="T174" s="13">
        <f t="shared" si="22"/>
        <v>90.8</v>
      </c>
      <c r="U174" s="14">
        <f t="shared" si="23"/>
        <v>75.8</v>
      </c>
      <c r="V174" s="14">
        <f t="shared" si="24"/>
        <v>88</v>
      </c>
      <c r="W174" s="1">
        <f t="shared" si="25"/>
        <v>82.8</v>
      </c>
      <c r="X174" s="1" t="str">
        <f>IF(Table1[[#This Row],[World Rank]]&lt;=250,"Q1-Elite",IF(Table1[[#This Row],[World Rank]]&lt;=500,"Q2-Strong",IF(Table1[[#This Row],[World Rank]]&lt;=750,"Q3-Developing","Q4-Emerging")))</f>
        <v>Q1-Elite</v>
      </c>
    </row>
    <row r="175" spans="1:24" x14ac:dyDescent="0.2">
      <c r="A175" s="1">
        <v>174</v>
      </c>
      <c r="B175" s="1" t="s">
        <v>214</v>
      </c>
      <c r="C175" s="1" t="s">
        <v>28</v>
      </c>
      <c r="D175" s="1" t="s">
        <v>1125</v>
      </c>
      <c r="E175" s="1">
        <v>7</v>
      </c>
      <c r="F175" s="1">
        <v>415</v>
      </c>
      <c r="G175" s="1">
        <v>305</v>
      </c>
      <c r="H175" s="1">
        <v>177</v>
      </c>
      <c r="I175" s="1">
        <v>137</v>
      </c>
      <c r="J175" s="1">
        <v>173</v>
      </c>
      <c r="K175" s="1">
        <v>209</v>
      </c>
      <c r="L175" s="1">
        <v>304</v>
      </c>
      <c r="M175" s="1">
        <v>79</v>
      </c>
      <c r="N175" s="1">
        <v>36.5748441</v>
      </c>
      <c r="O175" s="1">
        <v>139.23941790000001</v>
      </c>
      <c r="P175" s="14">
        <f t="shared" si="18"/>
        <v>82.8</v>
      </c>
      <c r="Q175" s="13">
        <f t="shared" si="19"/>
        <v>37.837837837837839</v>
      </c>
      <c r="R175" s="16">
        <f t="shared" si="20"/>
        <v>69.599999999999994</v>
      </c>
      <c r="S175" s="14">
        <f t="shared" si="21"/>
        <v>41.914191419141915</v>
      </c>
      <c r="T175" s="13">
        <f t="shared" si="22"/>
        <v>86.4</v>
      </c>
      <c r="U175" s="14">
        <f t="shared" si="23"/>
        <v>79.2</v>
      </c>
      <c r="V175" s="14">
        <f t="shared" si="24"/>
        <v>69.699999999999989</v>
      </c>
      <c r="W175" s="1">
        <f t="shared" si="25"/>
        <v>82.699999999999989</v>
      </c>
      <c r="X175" s="1" t="str">
        <f>IF(Table1[[#This Row],[World Rank]]&lt;=250,"Q1-Elite",IF(Table1[[#This Row],[World Rank]]&lt;=500,"Q2-Strong",IF(Table1[[#This Row],[World Rank]]&lt;=750,"Q3-Developing","Q4-Emerging")))</f>
        <v>Q1-Elite</v>
      </c>
    </row>
    <row r="176" spans="1:24" x14ac:dyDescent="0.2">
      <c r="A176" s="1">
        <v>175</v>
      </c>
      <c r="B176" s="1" t="s">
        <v>215</v>
      </c>
      <c r="C176" s="1" t="s">
        <v>28</v>
      </c>
      <c r="D176" s="1" t="s">
        <v>1125</v>
      </c>
      <c r="E176" s="1">
        <v>8</v>
      </c>
      <c r="F176" s="1">
        <v>549</v>
      </c>
      <c r="G176" s="1">
        <v>12</v>
      </c>
      <c r="H176" s="1">
        <v>304</v>
      </c>
      <c r="I176" s="1">
        <v>303</v>
      </c>
      <c r="J176" s="1">
        <v>324</v>
      </c>
      <c r="K176" s="1">
        <v>273</v>
      </c>
      <c r="L176" s="1">
        <v>363</v>
      </c>
      <c r="M176" s="1">
        <v>79</v>
      </c>
      <c r="N176" s="1">
        <v>36.5748441</v>
      </c>
      <c r="O176" s="1">
        <v>139.23941790000001</v>
      </c>
      <c r="P176" s="14">
        <f t="shared" si="18"/>
        <v>67.7</v>
      </c>
      <c r="Q176" s="13">
        <v>20</v>
      </c>
      <c r="R176" s="16">
        <f t="shared" si="20"/>
        <v>98.9</v>
      </c>
      <c r="S176" s="14">
        <f t="shared" si="21"/>
        <v>0</v>
      </c>
      <c r="T176" s="13">
        <f t="shared" si="22"/>
        <v>69.8</v>
      </c>
      <c r="U176" s="14">
        <f t="shared" si="23"/>
        <v>72.8</v>
      </c>
      <c r="V176" s="14">
        <f t="shared" si="24"/>
        <v>63.800000000000004</v>
      </c>
      <c r="W176" s="1">
        <f t="shared" si="25"/>
        <v>82.6</v>
      </c>
      <c r="X176" s="1" t="str">
        <f>IF(Table1[[#This Row],[World Rank]]&lt;=250,"Q1-Elite",IF(Table1[[#This Row],[World Rank]]&lt;=500,"Q2-Strong",IF(Table1[[#This Row],[World Rank]]&lt;=750,"Q3-Developing","Q4-Emerging")))</f>
        <v>Q1-Elite</v>
      </c>
    </row>
    <row r="177" spans="1:24" x14ac:dyDescent="0.2">
      <c r="A177" s="1">
        <v>176</v>
      </c>
      <c r="B177" s="1" t="s">
        <v>216</v>
      </c>
      <c r="C177" s="1" t="s">
        <v>139</v>
      </c>
      <c r="D177" s="1" t="s">
        <v>1124</v>
      </c>
      <c r="E177" s="1">
        <v>4</v>
      </c>
      <c r="F177" s="1">
        <v>358</v>
      </c>
      <c r="G177" s="1">
        <v>258</v>
      </c>
      <c r="H177" s="1">
        <v>81</v>
      </c>
      <c r="I177" s="1">
        <v>290</v>
      </c>
      <c r="J177" s="1">
        <v>264</v>
      </c>
      <c r="K177" s="1">
        <v>228</v>
      </c>
      <c r="L177" s="1">
        <v>200</v>
      </c>
      <c r="M177" s="1">
        <v>79</v>
      </c>
      <c r="N177" s="1">
        <v>50.6402809</v>
      </c>
      <c r="O177" s="1">
        <v>4.6667145000000003</v>
      </c>
      <c r="P177" s="14">
        <f t="shared" si="18"/>
        <v>73.7</v>
      </c>
      <c r="Q177" s="13">
        <f t="shared" si="19"/>
        <v>46.396396396396398</v>
      </c>
      <c r="R177" s="16">
        <f t="shared" si="20"/>
        <v>74.3</v>
      </c>
      <c r="S177" s="14">
        <f t="shared" si="21"/>
        <v>73.597359735973598</v>
      </c>
      <c r="T177" s="13">
        <f t="shared" si="22"/>
        <v>71.099999999999994</v>
      </c>
      <c r="U177" s="14">
        <f t="shared" si="23"/>
        <v>77.3</v>
      </c>
      <c r="V177" s="14">
        <f t="shared" si="24"/>
        <v>80.100000000000009</v>
      </c>
      <c r="W177" s="1">
        <f t="shared" si="25"/>
        <v>82.5</v>
      </c>
      <c r="X177" s="1" t="str">
        <f>IF(Table1[[#This Row],[World Rank]]&lt;=250,"Q1-Elite",IF(Table1[[#This Row],[World Rank]]&lt;=500,"Q2-Strong",IF(Table1[[#This Row],[World Rank]]&lt;=750,"Q3-Developing","Q4-Emerging")))</f>
        <v>Q1-Elite</v>
      </c>
    </row>
    <row r="178" spans="1:24" x14ac:dyDescent="0.2">
      <c r="A178" s="1">
        <v>177</v>
      </c>
      <c r="B178" s="1" t="s">
        <v>217</v>
      </c>
      <c r="C178" s="1" t="s">
        <v>15</v>
      </c>
      <c r="D178" s="1" t="s">
        <v>1120</v>
      </c>
      <c r="E178" s="1">
        <v>69</v>
      </c>
      <c r="F178" s="1">
        <v>563</v>
      </c>
      <c r="G178" s="1">
        <v>245</v>
      </c>
      <c r="H178" s="1">
        <v>134</v>
      </c>
      <c r="I178" s="1">
        <v>203</v>
      </c>
      <c r="J178" s="1">
        <v>195</v>
      </c>
      <c r="K178" s="1">
        <v>214</v>
      </c>
      <c r="L178" s="1">
        <v>222</v>
      </c>
      <c r="M178" s="1">
        <v>78.900000000000006</v>
      </c>
      <c r="N178" s="1">
        <v>39.783730400000003</v>
      </c>
      <c r="O178" s="1">
        <v>-100.445882</v>
      </c>
      <c r="P178" s="14">
        <f t="shared" si="18"/>
        <v>80.600000000000009</v>
      </c>
      <c r="Q178" s="13">
        <v>20</v>
      </c>
      <c r="R178" s="16">
        <f t="shared" si="20"/>
        <v>75.599999999999994</v>
      </c>
      <c r="S178" s="14">
        <f t="shared" si="21"/>
        <v>56.10561056105611</v>
      </c>
      <c r="T178" s="13">
        <f t="shared" si="22"/>
        <v>79.800000000000011</v>
      </c>
      <c r="U178" s="14">
        <f t="shared" si="23"/>
        <v>78.7</v>
      </c>
      <c r="V178" s="14">
        <f t="shared" si="24"/>
        <v>77.900000000000006</v>
      </c>
      <c r="W178" s="1">
        <f t="shared" si="25"/>
        <v>82.399999999999991</v>
      </c>
      <c r="X178" s="1" t="str">
        <f>IF(Table1[[#This Row],[World Rank]]&lt;=250,"Q1-Elite",IF(Table1[[#This Row],[World Rank]]&lt;=500,"Q2-Strong",IF(Table1[[#This Row],[World Rank]]&lt;=750,"Q3-Developing","Q4-Emerging")))</f>
        <v>Q1-Elite</v>
      </c>
    </row>
    <row r="179" spans="1:24" x14ac:dyDescent="0.2">
      <c r="A179" s="1">
        <v>178</v>
      </c>
      <c r="B179" s="1" t="s">
        <v>218</v>
      </c>
      <c r="C179" s="1" t="s">
        <v>210</v>
      </c>
      <c r="D179" s="1" t="s">
        <v>1125</v>
      </c>
      <c r="E179" s="1">
        <v>2</v>
      </c>
      <c r="F179" s="1">
        <v>247</v>
      </c>
      <c r="G179" s="1">
        <v>1001</v>
      </c>
      <c r="H179" s="1">
        <v>141</v>
      </c>
      <c r="I179" s="1">
        <v>180</v>
      </c>
      <c r="J179" s="1">
        <v>156</v>
      </c>
      <c r="K179" s="1">
        <v>304</v>
      </c>
      <c r="L179" s="1">
        <v>174</v>
      </c>
      <c r="M179" s="1">
        <v>78.900000000000006</v>
      </c>
      <c r="N179" s="1">
        <v>22.350626999999999</v>
      </c>
      <c r="O179" s="1">
        <v>114.1849161</v>
      </c>
      <c r="P179" s="14">
        <f t="shared" si="18"/>
        <v>84.5</v>
      </c>
      <c r="Q179" s="13">
        <f t="shared" si="19"/>
        <v>63.063063063063062</v>
      </c>
      <c r="R179" s="16">
        <f t="shared" si="20"/>
        <v>0</v>
      </c>
      <c r="S179" s="14">
        <f t="shared" si="21"/>
        <v>53.795379537953792</v>
      </c>
      <c r="T179" s="13">
        <f t="shared" si="22"/>
        <v>82.1</v>
      </c>
      <c r="U179" s="14">
        <f t="shared" si="23"/>
        <v>69.699999999999989</v>
      </c>
      <c r="V179" s="14">
        <f t="shared" si="24"/>
        <v>82.699999999999989</v>
      </c>
      <c r="W179" s="1">
        <f t="shared" si="25"/>
        <v>82.3</v>
      </c>
      <c r="X179" s="1" t="str">
        <f>IF(Table1[[#This Row],[World Rank]]&lt;=250,"Q1-Elite",IF(Table1[[#This Row],[World Rank]]&lt;=500,"Q2-Strong",IF(Table1[[#This Row],[World Rank]]&lt;=750,"Q3-Developing","Q4-Emerging")))</f>
        <v>Q1-Elite</v>
      </c>
    </row>
    <row r="180" spans="1:24" x14ac:dyDescent="0.2">
      <c r="A180" s="1">
        <v>179</v>
      </c>
      <c r="B180" s="1" t="s">
        <v>219</v>
      </c>
      <c r="C180" s="1" t="s">
        <v>19</v>
      </c>
      <c r="D180" s="1" t="s">
        <v>1124</v>
      </c>
      <c r="E180" s="1">
        <v>17</v>
      </c>
      <c r="F180" s="1">
        <v>382</v>
      </c>
      <c r="G180" s="1">
        <v>436</v>
      </c>
      <c r="H180" s="1">
        <v>294</v>
      </c>
      <c r="I180" s="1">
        <v>189</v>
      </c>
      <c r="J180" s="1">
        <v>155</v>
      </c>
      <c r="K180" s="1">
        <v>135</v>
      </c>
      <c r="L180" s="1">
        <v>139</v>
      </c>
      <c r="M180" s="1">
        <v>78.900000000000006</v>
      </c>
      <c r="N180" s="1">
        <v>54.702354499999998</v>
      </c>
      <c r="O180" s="1">
        <v>-3.2765753000000002</v>
      </c>
      <c r="P180" s="14">
        <f t="shared" si="18"/>
        <v>84.6</v>
      </c>
      <c r="Q180" s="13">
        <f t="shared" si="19"/>
        <v>42.792792792792795</v>
      </c>
      <c r="R180" s="16">
        <f t="shared" si="20"/>
        <v>56.499999999999993</v>
      </c>
      <c r="S180" s="14">
        <f t="shared" si="21"/>
        <v>3.3003300330032999</v>
      </c>
      <c r="T180" s="13">
        <f t="shared" si="22"/>
        <v>81.2</v>
      </c>
      <c r="U180" s="14">
        <f t="shared" si="23"/>
        <v>86.6</v>
      </c>
      <c r="V180" s="14">
        <f t="shared" si="24"/>
        <v>86.2</v>
      </c>
      <c r="W180" s="1">
        <f t="shared" si="25"/>
        <v>82.199999999999989</v>
      </c>
      <c r="X180" s="1" t="str">
        <f>IF(Table1[[#This Row],[World Rank]]&lt;=250,"Q1-Elite",IF(Table1[[#This Row],[World Rank]]&lt;=500,"Q2-Strong",IF(Table1[[#This Row],[World Rank]]&lt;=750,"Q3-Developing","Q4-Emerging")))</f>
        <v>Q1-Elite</v>
      </c>
    </row>
    <row r="181" spans="1:24" x14ac:dyDescent="0.2">
      <c r="A181" s="1">
        <v>180</v>
      </c>
      <c r="B181" s="1" t="s">
        <v>220</v>
      </c>
      <c r="C181" s="1" t="s">
        <v>15</v>
      </c>
      <c r="D181" s="1" t="s">
        <v>1120</v>
      </c>
      <c r="E181" s="1">
        <v>70</v>
      </c>
      <c r="F181" s="1">
        <v>204</v>
      </c>
      <c r="G181" s="1">
        <v>337</v>
      </c>
      <c r="H181" s="1">
        <v>216</v>
      </c>
      <c r="I181" s="1">
        <v>193</v>
      </c>
      <c r="J181" s="1">
        <v>190</v>
      </c>
      <c r="K181" s="1">
        <v>165</v>
      </c>
      <c r="L181" s="1">
        <v>275</v>
      </c>
      <c r="M181" s="1">
        <v>78.900000000000006</v>
      </c>
      <c r="N181" s="1">
        <v>39.783730400000003</v>
      </c>
      <c r="O181" s="1">
        <v>-100.445882</v>
      </c>
      <c r="P181" s="14">
        <f t="shared" si="18"/>
        <v>81.100000000000009</v>
      </c>
      <c r="Q181" s="13">
        <f t="shared" si="19"/>
        <v>69.51951951951952</v>
      </c>
      <c r="R181" s="16">
        <f t="shared" si="20"/>
        <v>66.400000000000006</v>
      </c>
      <c r="S181" s="14">
        <f t="shared" si="21"/>
        <v>29.042904290429046</v>
      </c>
      <c r="T181" s="13">
        <f t="shared" si="22"/>
        <v>80.800000000000011</v>
      </c>
      <c r="U181" s="14">
        <f t="shared" si="23"/>
        <v>83.6</v>
      </c>
      <c r="V181" s="14">
        <f t="shared" si="24"/>
        <v>72.599999999999994</v>
      </c>
      <c r="W181" s="1">
        <f t="shared" si="25"/>
        <v>82.1</v>
      </c>
      <c r="X181" s="1" t="str">
        <f>IF(Table1[[#This Row],[World Rank]]&lt;=250,"Q1-Elite",IF(Table1[[#This Row],[World Rank]]&lt;=500,"Q2-Strong",IF(Table1[[#This Row],[World Rank]]&lt;=750,"Q3-Developing","Q4-Emerging")))</f>
        <v>Q1-Elite</v>
      </c>
    </row>
    <row r="182" spans="1:24" x14ac:dyDescent="0.2">
      <c r="A182" s="1">
        <v>181</v>
      </c>
      <c r="B182" s="1" t="s">
        <v>221</v>
      </c>
      <c r="C182" s="1" t="s">
        <v>48</v>
      </c>
      <c r="D182" s="1" t="s">
        <v>1124</v>
      </c>
      <c r="E182" s="1">
        <v>10</v>
      </c>
      <c r="F182" s="1">
        <v>482</v>
      </c>
      <c r="G182" s="1">
        <v>916</v>
      </c>
      <c r="H182" s="1">
        <v>304</v>
      </c>
      <c r="I182" s="1">
        <v>173</v>
      </c>
      <c r="J182" s="1">
        <v>134</v>
      </c>
      <c r="K182" s="1">
        <v>114</v>
      </c>
      <c r="L182" s="1">
        <v>187</v>
      </c>
      <c r="M182" s="1">
        <v>78.8</v>
      </c>
      <c r="N182" s="1">
        <v>46.603354000000003</v>
      </c>
      <c r="O182" s="1">
        <v>1.8883335000000001</v>
      </c>
      <c r="P182" s="14">
        <f t="shared" si="18"/>
        <v>86.7</v>
      </c>
      <c r="Q182" s="13">
        <f t="shared" si="19"/>
        <v>27.777777777777779</v>
      </c>
      <c r="R182" s="16">
        <f t="shared" si="20"/>
        <v>8.5</v>
      </c>
      <c r="S182" s="14">
        <f t="shared" si="21"/>
        <v>0</v>
      </c>
      <c r="T182" s="13">
        <f t="shared" si="22"/>
        <v>82.8</v>
      </c>
      <c r="U182" s="14">
        <f t="shared" si="23"/>
        <v>88.7</v>
      </c>
      <c r="V182" s="14">
        <f t="shared" si="24"/>
        <v>81.399999999999991</v>
      </c>
      <c r="W182" s="1">
        <f t="shared" si="25"/>
        <v>82</v>
      </c>
      <c r="X182" s="1" t="str">
        <f>IF(Table1[[#This Row],[World Rank]]&lt;=250,"Q1-Elite",IF(Table1[[#This Row],[World Rank]]&lt;=500,"Q2-Strong",IF(Table1[[#This Row],[World Rank]]&lt;=750,"Q3-Developing","Q4-Emerging")))</f>
        <v>Q1-Elite</v>
      </c>
    </row>
    <row r="183" spans="1:24" x14ac:dyDescent="0.2">
      <c r="A183" s="1">
        <v>182</v>
      </c>
      <c r="B183" s="1" t="s">
        <v>222</v>
      </c>
      <c r="C183" s="1" t="s">
        <v>15</v>
      </c>
      <c r="D183" s="1" t="s">
        <v>1120</v>
      </c>
      <c r="E183" s="1">
        <v>71</v>
      </c>
      <c r="F183" s="1">
        <v>667</v>
      </c>
      <c r="G183" s="1">
        <v>1001</v>
      </c>
      <c r="H183" s="1">
        <v>91</v>
      </c>
      <c r="I183" s="1">
        <v>505</v>
      </c>
      <c r="J183" s="1">
        <v>326</v>
      </c>
      <c r="K183" s="1">
        <v>92</v>
      </c>
      <c r="L183" s="1">
        <v>200</v>
      </c>
      <c r="M183" s="1">
        <v>78.8</v>
      </c>
      <c r="N183" s="1">
        <v>39.783730400000003</v>
      </c>
      <c r="O183" s="1">
        <v>-100.445882</v>
      </c>
      <c r="P183" s="14">
        <f t="shared" si="18"/>
        <v>67.5</v>
      </c>
      <c r="Q183" s="13">
        <v>20</v>
      </c>
      <c r="R183" s="16">
        <f t="shared" si="20"/>
        <v>0</v>
      </c>
      <c r="S183" s="14">
        <f t="shared" si="21"/>
        <v>70.297029702970292</v>
      </c>
      <c r="T183" s="13">
        <f t="shared" si="22"/>
        <v>49.6</v>
      </c>
      <c r="U183" s="14">
        <f t="shared" si="23"/>
        <v>90.9</v>
      </c>
      <c r="V183" s="14">
        <f t="shared" si="24"/>
        <v>80.100000000000009</v>
      </c>
      <c r="W183" s="1">
        <f t="shared" si="25"/>
        <v>81.899999999999991</v>
      </c>
      <c r="X183" s="1" t="str">
        <f>IF(Table1[[#This Row],[World Rank]]&lt;=250,"Q1-Elite",IF(Table1[[#This Row],[World Rank]]&lt;=500,"Q2-Strong",IF(Table1[[#This Row],[World Rank]]&lt;=750,"Q3-Developing","Q4-Emerging")))</f>
        <v>Q1-Elite</v>
      </c>
    </row>
    <row r="184" spans="1:24" x14ac:dyDescent="0.2">
      <c r="A184" s="1">
        <v>183</v>
      </c>
      <c r="B184" s="1" t="s">
        <v>223</v>
      </c>
      <c r="C184" s="1" t="s">
        <v>85</v>
      </c>
      <c r="D184" s="1" t="s">
        <v>1125</v>
      </c>
      <c r="E184" s="1">
        <v>2</v>
      </c>
      <c r="F184" s="1">
        <v>667</v>
      </c>
      <c r="G184" s="1">
        <v>1001</v>
      </c>
      <c r="H184" s="1">
        <v>304</v>
      </c>
      <c r="I184" s="1">
        <v>41</v>
      </c>
      <c r="J184" s="1">
        <v>92</v>
      </c>
      <c r="K184" s="1">
        <v>270</v>
      </c>
      <c r="L184" s="1">
        <v>254</v>
      </c>
      <c r="M184" s="1">
        <v>78.8</v>
      </c>
      <c r="N184" s="1">
        <v>36.638392000000003</v>
      </c>
      <c r="O184" s="1">
        <v>127.69611879999999</v>
      </c>
      <c r="P184" s="14">
        <f t="shared" si="18"/>
        <v>90.9</v>
      </c>
      <c r="Q184" s="13">
        <v>20</v>
      </c>
      <c r="R184" s="16">
        <f t="shared" si="20"/>
        <v>0</v>
      </c>
      <c r="S184" s="14">
        <f t="shared" si="21"/>
        <v>0</v>
      </c>
      <c r="T184" s="13">
        <f t="shared" si="22"/>
        <v>96</v>
      </c>
      <c r="U184" s="14">
        <f t="shared" si="23"/>
        <v>73.099999999999994</v>
      </c>
      <c r="V184" s="14">
        <f t="shared" si="24"/>
        <v>74.7</v>
      </c>
      <c r="W184" s="1">
        <f t="shared" si="25"/>
        <v>81.8</v>
      </c>
      <c r="X184" s="1" t="str">
        <f>IF(Table1[[#This Row],[World Rank]]&lt;=250,"Q1-Elite",IF(Table1[[#This Row],[World Rank]]&lt;=500,"Q2-Strong",IF(Table1[[#This Row],[World Rank]]&lt;=750,"Q3-Developing","Q4-Emerging")))</f>
        <v>Q1-Elite</v>
      </c>
    </row>
    <row r="185" spans="1:24" x14ac:dyDescent="0.2">
      <c r="A185" s="1">
        <v>184</v>
      </c>
      <c r="B185" s="1" t="s">
        <v>224</v>
      </c>
      <c r="C185" s="1" t="s">
        <v>15</v>
      </c>
      <c r="D185" s="1" t="s">
        <v>1120</v>
      </c>
      <c r="E185" s="1">
        <v>72</v>
      </c>
      <c r="F185" s="1">
        <v>297</v>
      </c>
      <c r="G185" s="1">
        <v>253</v>
      </c>
      <c r="H185" s="1">
        <v>198</v>
      </c>
      <c r="I185" s="1">
        <v>289</v>
      </c>
      <c r="J185" s="1">
        <v>226</v>
      </c>
      <c r="K185" s="1">
        <v>212</v>
      </c>
      <c r="L185" s="1">
        <v>121</v>
      </c>
      <c r="M185" s="1">
        <v>78.8</v>
      </c>
      <c r="N185" s="1">
        <v>39.783730400000003</v>
      </c>
      <c r="O185" s="1">
        <v>-100.445882</v>
      </c>
      <c r="P185" s="14">
        <f t="shared" si="18"/>
        <v>77.5</v>
      </c>
      <c r="Q185" s="13">
        <f t="shared" si="19"/>
        <v>55.555555555555557</v>
      </c>
      <c r="R185" s="16">
        <f t="shared" si="20"/>
        <v>74.8</v>
      </c>
      <c r="S185" s="14">
        <f t="shared" si="21"/>
        <v>34.983498349834989</v>
      </c>
      <c r="T185" s="13">
        <f t="shared" si="22"/>
        <v>71.2</v>
      </c>
      <c r="U185" s="14">
        <f t="shared" si="23"/>
        <v>78.900000000000006</v>
      </c>
      <c r="V185" s="14">
        <f t="shared" si="24"/>
        <v>88</v>
      </c>
      <c r="W185" s="1">
        <f t="shared" si="25"/>
        <v>81.699999999999989</v>
      </c>
      <c r="X185" s="1" t="str">
        <f>IF(Table1[[#This Row],[World Rank]]&lt;=250,"Q1-Elite",IF(Table1[[#This Row],[World Rank]]&lt;=500,"Q2-Strong",IF(Table1[[#This Row],[World Rank]]&lt;=750,"Q3-Developing","Q4-Emerging")))</f>
        <v>Q1-Elite</v>
      </c>
    </row>
    <row r="186" spans="1:24" x14ac:dyDescent="0.2">
      <c r="A186" s="1">
        <v>185</v>
      </c>
      <c r="B186" s="1" t="s">
        <v>225</v>
      </c>
      <c r="C186" s="1" t="s">
        <v>93</v>
      </c>
      <c r="D186" s="1" t="s">
        <v>1124</v>
      </c>
      <c r="E186" s="1">
        <v>4</v>
      </c>
      <c r="F186" s="1">
        <v>458</v>
      </c>
      <c r="G186" s="1">
        <v>765</v>
      </c>
      <c r="H186" s="1">
        <v>112</v>
      </c>
      <c r="I186" s="1">
        <v>213</v>
      </c>
      <c r="J186" s="1">
        <v>231</v>
      </c>
      <c r="K186" s="1">
        <v>305</v>
      </c>
      <c r="L186" s="1">
        <v>200</v>
      </c>
      <c r="M186" s="1">
        <v>78.7</v>
      </c>
      <c r="N186" s="1">
        <v>42.638426099999997</v>
      </c>
      <c r="O186" s="1">
        <v>12.674296999999999</v>
      </c>
      <c r="P186" s="14">
        <f t="shared" si="18"/>
        <v>77</v>
      </c>
      <c r="Q186" s="13">
        <f t="shared" si="19"/>
        <v>31.381381381381381</v>
      </c>
      <c r="R186" s="16">
        <f t="shared" si="20"/>
        <v>23.599999999999998</v>
      </c>
      <c r="S186" s="14">
        <f t="shared" si="21"/>
        <v>63.366336633663366</v>
      </c>
      <c r="T186" s="13">
        <f t="shared" si="22"/>
        <v>78.8</v>
      </c>
      <c r="U186" s="14">
        <f t="shared" si="23"/>
        <v>69.599999999999994</v>
      </c>
      <c r="V186" s="14">
        <f t="shared" si="24"/>
        <v>80.100000000000009</v>
      </c>
      <c r="W186" s="1">
        <f t="shared" si="25"/>
        <v>81.599999999999994</v>
      </c>
      <c r="X186" s="1" t="str">
        <f>IF(Table1[[#This Row],[World Rank]]&lt;=250,"Q1-Elite",IF(Table1[[#This Row],[World Rank]]&lt;=500,"Q2-Strong",IF(Table1[[#This Row],[World Rank]]&lt;=750,"Q3-Developing","Q4-Emerging")))</f>
        <v>Q1-Elite</v>
      </c>
    </row>
    <row r="187" spans="1:24" x14ac:dyDescent="0.2">
      <c r="A187" s="1">
        <v>186</v>
      </c>
      <c r="B187" s="1" t="s">
        <v>226</v>
      </c>
      <c r="C187" s="1" t="s">
        <v>68</v>
      </c>
      <c r="D187" s="1" t="s">
        <v>1124</v>
      </c>
      <c r="E187" s="1">
        <v>12</v>
      </c>
      <c r="F187" s="1">
        <v>224</v>
      </c>
      <c r="G187" s="1">
        <v>782</v>
      </c>
      <c r="H187" s="1">
        <v>222</v>
      </c>
      <c r="I187" s="1">
        <v>214</v>
      </c>
      <c r="J187" s="1">
        <v>172</v>
      </c>
      <c r="K187" s="1">
        <v>182</v>
      </c>
      <c r="L187" s="1">
        <v>200</v>
      </c>
      <c r="M187" s="1">
        <v>78.7</v>
      </c>
      <c r="N187" s="1">
        <v>40.420347900000003</v>
      </c>
      <c r="O187" s="1">
        <v>-79.116698299999996</v>
      </c>
      <c r="P187" s="14">
        <f t="shared" si="18"/>
        <v>82.899999999999991</v>
      </c>
      <c r="Q187" s="13">
        <f t="shared" si="19"/>
        <v>66.516516516516518</v>
      </c>
      <c r="R187" s="16">
        <f t="shared" si="20"/>
        <v>21.9</v>
      </c>
      <c r="S187" s="14">
        <f t="shared" si="21"/>
        <v>27.062706270627064</v>
      </c>
      <c r="T187" s="13">
        <f t="shared" si="22"/>
        <v>78.7</v>
      </c>
      <c r="U187" s="14">
        <f t="shared" si="23"/>
        <v>81.899999999999991</v>
      </c>
      <c r="V187" s="14">
        <f t="shared" si="24"/>
        <v>80.100000000000009</v>
      </c>
      <c r="W187" s="1">
        <f t="shared" si="25"/>
        <v>81.5</v>
      </c>
      <c r="X187" s="1" t="str">
        <f>IF(Table1[[#This Row],[World Rank]]&lt;=250,"Q1-Elite",IF(Table1[[#This Row],[World Rank]]&lt;=500,"Q2-Strong",IF(Table1[[#This Row],[World Rank]]&lt;=750,"Q3-Developing","Q4-Emerging")))</f>
        <v>Q1-Elite</v>
      </c>
    </row>
    <row r="188" spans="1:24" x14ac:dyDescent="0.2">
      <c r="A188" s="1">
        <v>187</v>
      </c>
      <c r="B188" s="1" t="s">
        <v>227</v>
      </c>
      <c r="C188" s="1" t="s">
        <v>19</v>
      </c>
      <c r="D188" s="1" t="s">
        <v>1124</v>
      </c>
      <c r="E188" s="1">
        <v>18</v>
      </c>
      <c r="F188" s="1">
        <v>241</v>
      </c>
      <c r="G188" s="1">
        <v>907</v>
      </c>
      <c r="H188" s="1">
        <v>198</v>
      </c>
      <c r="I188" s="1">
        <v>276</v>
      </c>
      <c r="J188" s="1">
        <v>223</v>
      </c>
      <c r="K188" s="1">
        <v>156</v>
      </c>
      <c r="L188" s="1">
        <v>200</v>
      </c>
      <c r="M188" s="1">
        <v>78.7</v>
      </c>
      <c r="N188" s="1">
        <v>54.702354499999998</v>
      </c>
      <c r="O188" s="1">
        <v>-3.2765753000000002</v>
      </c>
      <c r="P188" s="14">
        <f t="shared" si="18"/>
        <v>77.8</v>
      </c>
      <c r="Q188" s="13">
        <f t="shared" si="19"/>
        <v>63.963963963963963</v>
      </c>
      <c r="R188" s="16">
        <f t="shared" si="20"/>
        <v>9.4</v>
      </c>
      <c r="S188" s="14">
        <f t="shared" si="21"/>
        <v>34.983498349834989</v>
      </c>
      <c r="T188" s="13">
        <f t="shared" si="22"/>
        <v>72.5</v>
      </c>
      <c r="U188" s="14">
        <f t="shared" si="23"/>
        <v>84.5</v>
      </c>
      <c r="V188" s="14">
        <f t="shared" si="24"/>
        <v>80.100000000000009</v>
      </c>
      <c r="W188" s="1">
        <f t="shared" si="25"/>
        <v>81.399999999999991</v>
      </c>
      <c r="X188" s="1" t="str">
        <f>IF(Table1[[#This Row],[World Rank]]&lt;=250,"Q1-Elite",IF(Table1[[#This Row],[World Rank]]&lt;=500,"Q2-Strong",IF(Table1[[#This Row],[World Rank]]&lt;=750,"Q3-Developing","Q4-Emerging")))</f>
        <v>Q1-Elite</v>
      </c>
    </row>
    <row r="189" spans="1:24" x14ac:dyDescent="0.2">
      <c r="A189" s="1">
        <v>188</v>
      </c>
      <c r="B189" s="1" t="s">
        <v>228</v>
      </c>
      <c r="C189" s="1" t="s">
        <v>19</v>
      </c>
      <c r="D189" s="1" t="s">
        <v>1124</v>
      </c>
      <c r="E189" s="1">
        <v>19</v>
      </c>
      <c r="F189" s="1">
        <v>667</v>
      </c>
      <c r="G189" s="1">
        <v>498</v>
      </c>
      <c r="H189" s="1">
        <v>261</v>
      </c>
      <c r="I189" s="1">
        <v>236</v>
      </c>
      <c r="J189" s="1">
        <v>188</v>
      </c>
      <c r="K189" s="1">
        <v>140</v>
      </c>
      <c r="L189" s="1">
        <v>174</v>
      </c>
      <c r="M189" s="1">
        <v>78.7</v>
      </c>
      <c r="N189" s="1">
        <v>54.702354499999998</v>
      </c>
      <c r="O189" s="1">
        <v>-3.2765753000000002</v>
      </c>
      <c r="P189" s="14">
        <f t="shared" si="18"/>
        <v>81.3</v>
      </c>
      <c r="Q189" s="13">
        <v>20</v>
      </c>
      <c r="R189" s="16">
        <f t="shared" si="20"/>
        <v>50.3</v>
      </c>
      <c r="S189" s="14">
        <f t="shared" si="21"/>
        <v>14.19141914191419</v>
      </c>
      <c r="T189" s="13">
        <f t="shared" si="22"/>
        <v>76.5</v>
      </c>
      <c r="U189" s="14">
        <f t="shared" si="23"/>
        <v>86.1</v>
      </c>
      <c r="V189" s="14">
        <f t="shared" si="24"/>
        <v>82.699999999999989</v>
      </c>
      <c r="W189" s="1">
        <f t="shared" si="25"/>
        <v>81.3</v>
      </c>
      <c r="X189" s="1" t="str">
        <f>IF(Table1[[#This Row],[World Rank]]&lt;=250,"Q1-Elite",IF(Table1[[#This Row],[World Rank]]&lt;=500,"Q2-Strong",IF(Table1[[#This Row],[World Rank]]&lt;=750,"Q3-Developing","Q4-Emerging")))</f>
        <v>Q1-Elite</v>
      </c>
    </row>
    <row r="190" spans="1:24" x14ac:dyDescent="0.2">
      <c r="A190" s="1">
        <v>189</v>
      </c>
      <c r="B190" s="1" t="s">
        <v>229</v>
      </c>
      <c r="C190" s="1" t="s">
        <v>124</v>
      </c>
      <c r="D190" s="1" t="s">
        <v>1125</v>
      </c>
      <c r="E190" s="1">
        <v>6</v>
      </c>
      <c r="F190" s="1">
        <v>667</v>
      </c>
      <c r="G190" s="1">
        <v>1001</v>
      </c>
      <c r="H190" s="1">
        <v>304</v>
      </c>
      <c r="I190" s="1">
        <v>14</v>
      </c>
      <c r="J190" s="1">
        <v>37</v>
      </c>
      <c r="K190" s="1">
        <v>220</v>
      </c>
      <c r="L190" s="1">
        <v>898</v>
      </c>
      <c r="M190" s="1">
        <v>78.599999999999994</v>
      </c>
      <c r="N190" s="1">
        <v>30.047992000000001</v>
      </c>
      <c r="O190" s="1">
        <v>-94.335743300000004</v>
      </c>
      <c r="P190" s="14">
        <f t="shared" si="18"/>
        <v>96.399999999999991</v>
      </c>
      <c r="Q190" s="13">
        <v>20</v>
      </c>
      <c r="R190" s="16">
        <f t="shared" si="20"/>
        <v>0</v>
      </c>
      <c r="S190" s="14">
        <f t="shared" si="21"/>
        <v>0</v>
      </c>
      <c r="T190" s="13">
        <f t="shared" si="22"/>
        <v>98.7</v>
      </c>
      <c r="U190" s="14">
        <f t="shared" si="23"/>
        <v>78.100000000000009</v>
      </c>
      <c r="V190" s="14">
        <f t="shared" si="24"/>
        <v>10.299999999999999</v>
      </c>
      <c r="W190" s="1">
        <f t="shared" si="25"/>
        <v>81.2</v>
      </c>
      <c r="X190" s="1" t="str">
        <f>IF(Table1[[#This Row],[World Rank]]&lt;=250,"Q1-Elite",IF(Table1[[#This Row],[World Rank]]&lt;=500,"Q2-Strong",IF(Table1[[#This Row],[World Rank]]&lt;=750,"Q3-Developing","Q4-Emerging")))</f>
        <v>Q1-Elite</v>
      </c>
    </row>
    <row r="191" spans="1:24" x14ac:dyDescent="0.2">
      <c r="A191" s="1">
        <v>190</v>
      </c>
      <c r="B191" s="1" t="s">
        <v>230</v>
      </c>
      <c r="C191" s="1" t="s">
        <v>15</v>
      </c>
      <c r="D191" s="1" t="s">
        <v>1120</v>
      </c>
      <c r="E191" s="1">
        <v>73</v>
      </c>
      <c r="F191" s="1">
        <v>490</v>
      </c>
      <c r="G191" s="1">
        <v>190</v>
      </c>
      <c r="H191" s="1">
        <v>115</v>
      </c>
      <c r="I191" s="1">
        <v>265</v>
      </c>
      <c r="J191" s="1">
        <v>244</v>
      </c>
      <c r="K191" s="1">
        <v>261</v>
      </c>
      <c r="L191" s="1">
        <v>222</v>
      </c>
      <c r="M191" s="1">
        <v>78.599999999999994</v>
      </c>
      <c r="N191" s="1">
        <v>39.783730400000003</v>
      </c>
      <c r="O191" s="1">
        <v>-100.445882</v>
      </c>
      <c r="P191" s="14">
        <f t="shared" si="18"/>
        <v>75.7</v>
      </c>
      <c r="Q191" s="13">
        <f t="shared" si="19"/>
        <v>26.576576576576578</v>
      </c>
      <c r="R191" s="16">
        <f t="shared" si="20"/>
        <v>81.100000000000009</v>
      </c>
      <c r="S191" s="14">
        <f t="shared" si="21"/>
        <v>62.376237623762378</v>
      </c>
      <c r="T191" s="13">
        <f t="shared" si="22"/>
        <v>73.599999999999994</v>
      </c>
      <c r="U191" s="14">
        <f t="shared" si="23"/>
        <v>74</v>
      </c>
      <c r="V191" s="14">
        <f t="shared" si="24"/>
        <v>77.900000000000006</v>
      </c>
      <c r="W191" s="1">
        <f t="shared" si="25"/>
        <v>81.100000000000009</v>
      </c>
      <c r="X191" s="1" t="str">
        <f>IF(Table1[[#This Row],[World Rank]]&lt;=250,"Q1-Elite",IF(Table1[[#This Row],[World Rank]]&lt;=500,"Q2-Strong",IF(Table1[[#This Row],[World Rank]]&lt;=750,"Q3-Developing","Q4-Emerging")))</f>
        <v>Q1-Elite</v>
      </c>
    </row>
    <row r="192" spans="1:24" x14ac:dyDescent="0.2">
      <c r="A192" s="1">
        <v>191</v>
      </c>
      <c r="B192" s="1" t="s">
        <v>231</v>
      </c>
      <c r="C192" s="1" t="s">
        <v>15</v>
      </c>
      <c r="D192" s="1" t="s">
        <v>1120</v>
      </c>
      <c r="E192" s="1">
        <v>74</v>
      </c>
      <c r="F192" s="1">
        <v>667</v>
      </c>
      <c r="G192" s="1">
        <v>1001</v>
      </c>
      <c r="H192" s="1">
        <v>304</v>
      </c>
      <c r="I192" s="1">
        <v>198</v>
      </c>
      <c r="J192" s="1">
        <v>152</v>
      </c>
      <c r="K192" s="1">
        <v>126</v>
      </c>
      <c r="L192" s="1">
        <v>139</v>
      </c>
      <c r="M192" s="1">
        <v>78.599999999999994</v>
      </c>
      <c r="N192" s="1">
        <v>39.783730400000003</v>
      </c>
      <c r="O192" s="1">
        <v>-100.445882</v>
      </c>
      <c r="P192" s="14">
        <f t="shared" si="18"/>
        <v>84.899999999999991</v>
      </c>
      <c r="Q192" s="13">
        <v>20</v>
      </c>
      <c r="R192" s="16">
        <f t="shared" si="20"/>
        <v>0</v>
      </c>
      <c r="S192" s="14">
        <f t="shared" si="21"/>
        <v>0</v>
      </c>
      <c r="T192" s="13">
        <f t="shared" si="22"/>
        <v>80.300000000000011</v>
      </c>
      <c r="U192" s="14">
        <f t="shared" si="23"/>
        <v>87.5</v>
      </c>
      <c r="V192" s="14">
        <f t="shared" si="24"/>
        <v>86.2</v>
      </c>
      <c r="W192" s="1">
        <f t="shared" si="25"/>
        <v>81</v>
      </c>
      <c r="X192" s="1" t="str">
        <f>IF(Table1[[#This Row],[World Rank]]&lt;=250,"Q1-Elite",IF(Table1[[#This Row],[World Rank]]&lt;=500,"Q2-Strong",IF(Table1[[#This Row],[World Rank]]&lt;=750,"Q3-Developing","Q4-Emerging")))</f>
        <v>Q1-Elite</v>
      </c>
    </row>
    <row r="193" spans="1:24" x14ac:dyDescent="0.2">
      <c r="A193" s="1">
        <v>192</v>
      </c>
      <c r="B193" s="1" t="s">
        <v>232</v>
      </c>
      <c r="C193" s="1" t="s">
        <v>19</v>
      </c>
      <c r="D193" s="1" t="s">
        <v>1124</v>
      </c>
      <c r="E193" s="1">
        <v>20</v>
      </c>
      <c r="F193" s="1">
        <v>141</v>
      </c>
      <c r="G193" s="1">
        <v>327</v>
      </c>
      <c r="H193" s="1">
        <v>89</v>
      </c>
      <c r="I193" s="1">
        <v>327</v>
      </c>
      <c r="J193" s="1">
        <v>255</v>
      </c>
      <c r="K193" s="1">
        <v>236</v>
      </c>
      <c r="L193" s="1">
        <v>240</v>
      </c>
      <c r="M193" s="1">
        <v>78.599999999999994</v>
      </c>
      <c r="N193" s="1">
        <v>54.702354499999998</v>
      </c>
      <c r="O193" s="1">
        <v>-3.2765753000000002</v>
      </c>
      <c r="P193" s="14">
        <f t="shared" si="18"/>
        <v>74.599999999999994</v>
      </c>
      <c r="Q193" s="13">
        <f t="shared" si="19"/>
        <v>78.978978978978972</v>
      </c>
      <c r="R193" s="16">
        <f t="shared" si="20"/>
        <v>67.400000000000006</v>
      </c>
      <c r="S193" s="14">
        <f t="shared" si="21"/>
        <v>70.957095709570964</v>
      </c>
      <c r="T193" s="13">
        <f t="shared" si="22"/>
        <v>67.400000000000006</v>
      </c>
      <c r="U193" s="14">
        <f t="shared" si="23"/>
        <v>76.5</v>
      </c>
      <c r="V193" s="14">
        <f t="shared" si="24"/>
        <v>76.099999999999994</v>
      </c>
      <c r="W193" s="1">
        <f t="shared" si="25"/>
        <v>80.900000000000006</v>
      </c>
      <c r="X193" s="1" t="str">
        <f>IF(Table1[[#This Row],[World Rank]]&lt;=250,"Q1-Elite",IF(Table1[[#This Row],[World Rank]]&lt;=500,"Q2-Strong",IF(Table1[[#This Row],[World Rank]]&lt;=750,"Q3-Developing","Q4-Emerging")))</f>
        <v>Q1-Elite</v>
      </c>
    </row>
    <row r="194" spans="1:24" x14ac:dyDescent="0.2">
      <c r="A194" s="1">
        <v>193</v>
      </c>
      <c r="B194" s="1" t="s">
        <v>233</v>
      </c>
      <c r="C194" s="1" t="s">
        <v>15</v>
      </c>
      <c r="D194" s="1" t="s">
        <v>1120</v>
      </c>
      <c r="E194" s="1">
        <v>75</v>
      </c>
      <c r="F194" s="1">
        <v>573</v>
      </c>
      <c r="G194" s="1">
        <v>417</v>
      </c>
      <c r="H194" s="1">
        <v>141</v>
      </c>
      <c r="I194" s="1">
        <v>210</v>
      </c>
      <c r="J194" s="1">
        <v>191</v>
      </c>
      <c r="K194" s="1">
        <v>211</v>
      </c>
      <c r="L194" s="1">
        <v>254</v>
      </c>
      <c r="M194" s="1">
        <v>78.5</v>
      </c>
      <c r="N194" s="1">
        <v>39.783730400000003</v>
      </c>
      <c r="O194" s="1">
        <v>-100.445882</v>
      </c>
      <c r="P194" s="14">
        <f t="shared" ref="P194:P257" si="26">((1001 - J194) / 1000) * 100</f>
        <v>81</v>
      </c>
      <c r="Q194" s="13">
        <v>20</v>
      </c>
      <c r="R194" s="16">
        <f t="shared" ref="R194:R257" si="27">(1001 - G194) / 1000 * 100</f>
        <v>58.4</v>
      </c>
      <c r="S194" s="14">
        <f t="shared" ref="S194:S257" si="28">(304 - H194) / 303 * 100</f>
        <v>53.795379537953792</v>
      </c>
      <c r="T194" s="13">
        <f t="shared" ref="T194:T257" si="29">(1001 - I194) / 1000 * 100</f>
        <v>79.100000000000009</v>
      </c>
      <c r="U194" s="14">
        <f t="shared" ref="U194:U257" si="30">(1001 - K194) / 1000 * 100</f>
        <v>79</v>
      </c>
      <c r="V194" s="14">
        <f t="shared" ref="V194:V257" si="31">(1001 - L194) / 1000 * 100</f>
        <v>74.7</v>
      </c>
      <c r="W194" s="1">
        <f t="shared" ref="W194:W257" si="32">(1001 - A194) / 1000 * 100</f>
        <v>80.800000000000011</v>
      </c>
      <c r="X194" s="1" t="str">
        <f>IF(Table1[[#This Row],[World Rank]]&lt;=250,"Q1-Elite",IF(Table1[[#This Row],[World Rank]]&lt;=500,"Q2-Strong",IF(Table1[[#This Row],[World Rank]]&lt;=750,"Q3-Developing","Q4-Emerging")))</f>
        <v>Q1-Elite</v>
      </c>
    </row>
    <row r="195" spans="1:24" x14ac:dyDescent="0.2">
      <c r="A195" s="1">
        <v>194</v>
      </c>
      <c r="B195" s="1" t="s">
        <v>234</v>
      </c>
      <c r="C195" s="1" t="s">
        <v>15</v>
      </c>
      <c r="D195" s="1" t="s">
        <v>1120</v>
      </c>
      <c r="E195" s="1">
        <v>76</v>
      </c>
      <c r="F195" s="1">
        <v>667</v>
      </c>
      <c r="G195" s="1">
        <v>1001</v>
      </c>
      <c r="H195" s="1">
        <v>194</v>
      </c>
      <c r="I195" s="1">
        <v>298</v>
      </c>
      <c r="J195" s="1">
        <v>238</v>
      </c>
      <c r="K195" s="1">
        <v>143</v>
      </c>
      <c r="L195" s="1">
        <v>187</v>
      </c>
      <c r="M195" s="1">
        <v>78.5</v>
      </c>
      <c r="N195" s="1">
        <v>39.783730400000003</v>
      </c>
      <c r="O195" s="1">
        <v>-100.445882</v>
      </c>
      <c r="P195" s="14">
        <f t="shared" si="26"/>
        <v>76.3</v>
      </c>
      <c r="Q195" s="13">
        <v>20</v>
      </c>
      <c r="R195" s="16">
        <f t="shared" si="27"/>
        <v>0</v>
      </c>
      <c r="S195" s="14">
        <f t="shared" si="28"/>
        <v>36.303630363036305</v>
      </c>
      <c r="T195" s="13">
        <f t="shared" si="29"/>
        <v>70.3</v>
      </c>
      <c r="U195" s="14">
        <f t="shared" si="30"/>
        <v>85.8</v>
      </c>
      <c r="V195" s="14">
        <f t="shared" si="31"/>
        <v>81.399999999999991</v>
      </c>
      <c r="W195" s="1">
        <f t="shared" si="32"/>
        <v>80.7</v>
      </c>
      <c r="X195" s="1" t="str">
        <f>IF(Table1[[#This Row],[World Rank]]&lt;=250,"Q1-Elite",IF(Table1[[#This Row],[World Rank]]&lt;=500,"Q2-Strong",IF(Table1[[#This Row],[World Rank]]&lt;=750,"Q3-Developing","Q4-Emerging")))</f>
        <v>Q1-Elite</v>
      </c>
    </row>
    <row r="196" spans="1:24" x14ac:dyDescent="0.2">
      <c r="A196" s="1">
        <v>195</v>
      </c>
      <c r="B196" s="1" t="s">
        <v>235</v>
      </c>
      <c r="C196" s="1" t="s">
        <v>15</v>
      </c>
      <c r="D196" s="1" t="s">
        <v>1120</v>
      </c>
      <c r="E196" s="1">
        <v>77</v>
      </c>
      <c r="F196" s="1">
        <v>336</v>
      </c>
      <c r="G196" s="1">
        <v>1001</v>
      </c>
      <c r="H196" s="1">
        <v>266</v>
      </c>
      <c r="I196" s="1">
        <v>305</v>
      </c>
      <c r="J196" s="1">
        <v>222</v>
      </c>
      <c r="K196" s="1">
        <v>97</v>
      </c>
      <c r="L196" s="1">
        <v>151</v>
      </c>
      <c r="M196" s="1">
        <v>78.5</v>
      </c>
      <c r="N196" s="1">
        <v>39.783730400000003</v>
      </c>
      <c r="O196" s="1">
        <v>-100.445882</v>
      </c>
      <c r="P196" s="14">
        <f t="shared" si="26"/>
        <v>77.900000000000006</v>
      </c>
      <c r="Q196" s="13">
        <f>((667 - F196) / 666) * 100</f>
        <v>49.6996996996997</v>
      </c>
      <c r="R196" s="16">
        <f t="shared" si="27"/>
        <v>0</v>
      </c>
      <c r="S196" s="14">
        <f t="shared" si="28"/>
        <v>12.541254125412541</v>
      </c>
      <c r="T196" s="13">
        <f t="shared" si="29"/>
        <v>69.599999999999994</v>
      </c>
      <c r="U196" s="14">
        <f t="shared" si="30"/>
        <v>90.4</v>
      </c>
      <c r="V196" s="14">
        <f t="shared" si="31"/>
        <v>85</v>
      </c>
      <c r="W196" s="1">
        <f t="shared" si="32"/>
        <v>80.600000000000009</v>
      </c>
      <c r="X196" s="1" t="str">
        <f>IF(Table1[[#This Row],[World Rank]]&lt;=250,"Q1-Elite",IF(Table1[[#This Row],[World Rank]]&lt;=500,"Q2-Strong",IF(Table1[[#This Row],[World Rank]]&lt;=750,"Q3-Developing","Q4-Emerging")))</f>
        <v>Q1-Elite</v>
      </c>
    </row>
    <row r="197" spans="1:24" x14ac:dyDescent="0.2">
      <c r="A197" s="1">
        <v>196</v>
      </c>
      <c r="B197" s="1" t="s">
        <v>236</v>
      </c>
      <c r="C197" s="1" t="s">
        <v>34</v>
      </c>
      <c r="D197" s="1" t="s">
        <v>1120</v>
      </c>
      <c r="E197" s="1">
        <v>7</v>
      </c>
      <c r="F197" s="1">
        <v>667</v>
      </c>
      <c r="G197" s="1">
        <v>213</v>
      </c>
      <c r="H197" s="1">
        <v>304</v>
      </c>
      <c r="I197" s="1">
        <v>141</v>
      </c>
      <c r="J197" s="1">
        <v>142</v>
      </c>
      <c r="K197" s="1">
        <v>153</v>
      </c>
      <c r="L197" s="1">
        <v>240</v>
      </c>
      <c r="M197" s="1">
        <v>78.5</v>
      </c>
      <c r="N197" s="1">
        <v>61.066692199999999</v>
      </c>
      <c r="O197" s="1">
        <v>-107.99170700000001</v>
      </c>
      <c r="P197" s="14">
        <f t="shared" si="26"/>
        <v>85.9</v>
      </c>
      <c r="Q197" s="13">
        <v>20</v>
      </c>
      <c r="R197" s="16">
        <f t="shared" si="27"/>
        <v>78.8</v>
      </c>
      <c r="S197" s="14">
        <f t="shared" si="28"/>
        <v>0</v>
      </c>
      <c r="T197" s="13">
        <f t="shared" si="29"/>
        <v>86</v>
      </c>
      <c r="U197" s="14">
        <f t="shared" si="30"/>
        <v>84.8</v>
      </c>
      <c r="V197" s="14">
        <f t="shared" si="31"/>
        <v>76.099999999999994</v>
      </c>
      <c r="W197" s="1">
        <f t="shared" si="32"/>
        <v>80.5</v>
      </c>
      <c r="X197" s="1" t="str">
        <f>IF(Table1[[#This Row],[World Rank]]&lt;=250,"Q1-Elite",IF(Table1[[#This Row],[World Rank]]&lt;=500,"Q2-Strong",IF(Table1[[#This Row],[World Rank]]&lt;=750,"Q3-Developing","Q4-Emerging")))</f>
        <v>Q1-Elite</v>
      </c>
    </row>
    <row r="198" spans="1:24" x14ac:dyDescent="0.2">
      <c r="A198" s="1">
        <v>197</v>
      </c>
      <c r="B198" s="1" t="s">
        <v>237</v>
      </c>
      <c r="C198" s="1" t="s">
        <v>15</v>
      </c>
      <c r="D198" s="1" t="s">
        <v>1120</v>
      </c>
      <c r="E198" s="1">
        <v>78</v>
      </c>
      <c r="F198" s="1">
        <v>667</v>
      </c>
      <c r="G198" s="1">
        <v>286</v>
      </c>
      <c r="H198" s="1">
        <v>304</v>
      </c>
      <c r="I198" s="1">
        <v>204</v>
      </c>
      <c r="J198" s="1">
        <v>174</v>
      </c>
      <c r="K198" s="1">
        <v>137</v>
      </c>
      <c r="L198" s="1">
        <v>129</v>
      </c>
      <c r="M198" s="1">
        <v>78.400000000000006</v>
      </c>
      <c r="N198" s="1">
        <v>39.783730400000003</v>
      </c>
      <c r="O198" s="1">
        <v>-100.445882</v>
      </c>
      <c r="P198" s="14">
        <f t="shared" si="26"/>
        <v>82.699999999999989</v>
      </c>
      <c r="Q198" s="13">
        <v>20</v>
      </c>
      <c r="R198" s="16">
        <f t="shared" si="27"/>
        <v>71.5</v>
      </c>
      <c r="S198" s="14">
        <f t="shared" si="28"/>
        <v>0</v>
      </c>
      <c r="T198" s="13">
        <f t="shared" si="29"/>
        <v>79.7</v>
      </c>
      <c r="U198" s="14">
        <f t="shared" si="30"/>
        <v>86.4</v>
      </c>
      <c r="V198" s="14">
        <f t="shared" si="31"/>
        <v>87.2</v>
      </c>
      <c r="W198" s="1">
        <f t="shared" si="32"/>
        <v>80.400000000000006</v>
      </c>
      <c r="X198" s="1" t="str">
        <f>IF(Table1[[#This Row],[World Rank]]&lt;=250,"Q1-Elite",IF(Table1[[#This Row],[World Rank]]&lt;=500,"Q2-Strong",IF(Table1[[#This Row],[World Rank]]&lt;=750,"Q3-Developing","Q4-Emerging")))</f>
        <v>Q1-Elite</v>
      </c>
    </row>
    <row r="199" spans="1:24" x14ac:dyDescent="0.2">
      <c r="A199" s="1">
        <v>198</v>
      </c>
      <c r="B199" s="1" t="s">
        <v>238</v>
      </c>
      <c r="C199" s="1" t="s">
        <v>34</v>
      </c>
      <c r="D199" s="1" t="s">
        <v>1120</v>
      </c>
      <c r="E199" s="1">
        <v>8</v>
      </c>
      <c r="F199" s="1">
        <v>454</v>
      </c>
      <c r="G199" s="1">
        <v>105</v>
      </c>
      <c r="H199" s="1">
        <v>304</v>
      </c>
      <c r="I199" s="1">
        <v>164</v>
      </c>
      <c r="J199" s="1">
        <v>164</v>
      </c>
      <c r="K199" s="1">
        <v>202</v>
      </c>
      <c r="L199" s="1">
        <v>167</v>
      </c>
      <c r="M199" s="1">
        <v>78.400000000000006</v>
      </c>
      <c r="N199" s="1">
        <v>61.066692199999999</v>
      </c>
      <c r="O199" s="1">
        <v>-107.99170700000001</v>
      </c>
      <c r="P199" s="14">
        <f t="shared" si="26"/>
        <v>83.7</v>
      </c>
      <c r="Q199" s="13">
        <f>((667 - F199) / 666) * 100</f>
        <v>31.981981981981981</v>
      </c>
      <c r="R199" s="16">
        <f t="shared" si="27"/>
        <v>89.600000000000009</v>
      </c>
      <c r="S199" s="14">
        <f t="shared" si="28"/>
        <v>0</v>
      </c>
      <c r="T199" s="13">
        <f t="shared" si="29"/>
        <v>83.7</v>
      </c>
      <c r="U199" s="14">
        <f t="shared" si="30"/>
        <v>79.900000000000006</v>
      </c>
      <c r="V199" s="14">
        <f t="shared" si="31"/>
        <v>83.399999999999991</v>
      </c>
      <c r="W199" s="1">
        <f t="shared" si="32"/>
        <v>80.300000000000011</v>
      </c>
      <c r="X199" s="1" t="str">
        <f>IF(Table1[[#This Row],[World Rank]]&lt;=250,"Q1-Elite",IF(Table1[[#This Row],[World Rank]]&lt;=500,"Q2-Strong",IF(Table1[[#This Row],[World Rank]]&lt;=750,"Q3-Developing","Q4-Emerging")))</f>
        <v>Q1-Elite</v>
      </c>
    </row>
    <row r="200" spans="1:24" x14ac:dyDescent="0.2">
      <c r="A200" s="1">
        <v>199</v>
      </c>
      <c r="B200" s="1" t="s">
        <v>239</v>
      </c>
      <c r="C200" s="1" t="s">
        <v>48</v>
      </c>
      <c r="D200" s="1" t="s">
        <v>1124</v>
      </c>
      <c r="E200" s="1">
        <v>11</v>
      </c>
      <c r="F200" s="1">
        <v>667</v>
      </c>
      <c r="G200" s="1">
        <v>1001</v>
      </c>
      <c r="H200" s="1">
        <v>304</v>
      </c>
      <c r="I200" s="1">
        <v>185</v>
      </c>
      <c r="J200" s="1">
        <v>161</v>
      </c>
      <c r="K200" s="1">
        <v>116</v>
      </c>
      <c r="L200" s="1">
        <v>174</v>
      </c>
      <c r="M200" s="1">
        <v>78.400000000000006</v>
      </c>
      <c r="N200" s="1">
        <v>46.603354000000003</v>
      </c>
      <c r="O200" s="1">
        <v>1.8883335000000001</v>
      </c>
      <c r="P200" s="14">
        <f t="shared" si="26"/>
        <v>84</v>
      </c>
      <c r="Q200" s="13">
        <v>20</v>
      </c>
      <c r="R200" s="16">
        <f t="shared" si="27"/>
        <v>0</v>
      </c>
      <c r="S200" s="14">
        <f t="shared" si="28"/>
        <v>0</v>
      </c>
      <c r="T200" s="13">
        <f t="shared" si="29"/>
        <v>81.599999999999994</v>
      </c>
      <c r="U200" s="14">
        <f t="shared" si="30"/>
        <v>88.5</v>
      </c>
      <c r="V200" s="14">
        <f t="shared" si="31"/>
        <v>82.699999999999989</v>
      </c>
      <c r="W200" s="1">
        <f t="shared" si="32"/>
        <v>80.2</v>
      </c>
      <c r="X200" s="1" t="str">
        <f>IF(Table1[[#This Row],[World Rank]]&lt;=250,"Q1-Elite",IF(Table1[[#This Row],[World Rank]]&lt;=500,"Q2-Strong",IF(Table1[[#This Row],[World Rank]]&lt;=750,"Q3-Developing","Q4-Emerging")))</f>
        <v>Q1-Elite</v>
      </c>
    </row>
    <row r="201" spans="1:24" x14ac:dyDescent="0.2">
      <c r="A201" s="1">
        <v>200</v>
      </c>
      <c r="B201" s="1" t="s">
        <v>240</v>
      </c>
      <c r="C201" s="1" t="s">
        <v>124</v>
      </c>
      <c r="D201" s="1" t="s">
        <v>1125</v>
      </c>
      <c r="E201" s="1">
        <v>7</v>
      </c>
      <c r="F201" s="1">
        <v>479</v>
      </c>
      <c r="G201" s="1">
        <v>563</v>
      </c>
      <c r="H201" s="1">
        <v>304</v>
      </c>
      <c r="I201" s="1">
        <v>78</v>
      </c>
      <c r="J201" s="1">
        <v>109</v>
      </c>
      <c r="K201" s="1">
        <v>317</v>
      </c>
      <c r="L201" s="1">
        <v>163</v>
      </c>
      <c r="M201" s="1">
        <v>78.400000000000006</v>
      </c>
      <c r="N201" s="1">
        <v>30.047992000000001</v>
      </c>
      <c r="O201" s="1">
        <v>-94.335743300000004</v>
      </c>
      <c r="P201" s="14">
        <f t="shared" si="26"/>
        <v>89.2</v>
      </c>
      <c r="Q201" s="13">
        <f>((667 - F201) / 666) * 100</f>
        <v>28.228228228228229</v>
      </c>
      <c r="R201" s="16">
        <f t="shared" si="27"/>
        <v>43.8</v>
      </c>
      <c r="S201" s="14">
        <f t="shared" si="28"/>
        <v>0</v>
      </c>
      <c r="T201" s="13">
        <f t="shared" si="29"/>
        <v>92.300000000000011</v>
      </c>
      <c r="U201" s="14">
        <f t="shared" si="30"/>
        <v>68.400000000000006</v>
      </c>
      <c r="V201" s="14">
        <f t="shared" si="31"/>
        <v>83.8</v>
      </c>
      <c r="W201" s="1">
        <f t="shared" si="32"/>
        <v>80.100000000000009</v>
      </c>
      <c r="X201" s="1" t="str">
        <f>IF(Table1[[#This Row],[World Rank]]&lt;=250,"Q1-Elite",IF(Table1[[#This Row],[World Rank]]&lt;=500,"Q2-Strong",IF(Table1[[#This Row],[World Rank]]&lt;=750,"Q3-Developing","Q4-Emerging")))</f>
        <v>Q1-Elite</v>
      </c>
    </row>
    <row r="202" spans="1:24" x14ac:dyDescent="0.2">
      <c r="A202" s="1">
        <v>201</v>
      </c>
      <c r="B202" s="1" t="s">
        <v>241</v>
      </c>
      <c r="C202" s="1" t="s">
        <v>93</v>
      </c>
      <c r="D202" s="1" t="s">
        <v>1124</v>
      </c>
      <c r="E202" s="1">
        <v>5</v>
      </c>
      <c r="F202" s="1">
        <v>645</v>
      </c>
      <c r="G202" s="1">
        <v>709</v>
      </c>
      <c r="H202" s="1">
        <v>304</v>
      </c>
      <c r="I202" s="1">
        <v>116</v>
      </c>
      <c r="J202" s="1">
        <v>127</v>
      </c>
      <c r="K202" s="1">
        <v>260</v>
      </c>
      <c r="L202" s="1">
        <v>129</v>
      </c>
      <c r="M202" s="1">
        <v>78.400000000000006</v>
      </c>
      <c r="N202" s="1">
        <v>42.638426099999997</v>
      </c>
      <c r="O202" s="1">
        <v>12.674296999999999</v>
      </c>
      <c r="P202" s="14">
        <f t="shared" si="26"/>
        <v>87.4</v>
      </c>
      <c r="Q202" s="13">
        <v>20</v>
      </c>
      <c r="R202" s="16">
        <f t="shared" si="27"/>
        <v>29.2</v>
      </c>
      <c r="S202" s="14">
        <f t="shared" si="28"/>
        <v>0</v>
      </c>
      <c r="T202" s="13">
        <f t="shared" si="29"/>
        <v>88.5</v>
      </c>
      <c r="U202" s="14">
        <f t="shared" si="30"/>
        <v>74.099999999999994</v>
      </c>
      <c r="V202" s="14">
        <f t="shared" si="31"/>
        <v>87.2</v>
      </c>
      <c r="W202" s="1">
        <f t="shared" si="32"/>
        <v>80</v>
      </c>
      <c r="X202" s="1" t="str">
        <f>IF(Table1[[#This Row],[World Rank]]&lt;=250,"Q1-Elite",IF(Table1[[#This Row],[World Rank]]&lt;=500,"Q2-Strong",IF(Table1[[#This Row],[World Rank]]&lt;=750,"Q3-Developing","Q4-Emerging")))</f>
        <v>Q1-Elite</v>
      </c>
    </row>
    <row r="203" spans="1:24" x14ac:dyDescent="0.2">
      <c r="A203" s="1">
        <v>202</v>
      </c>
      <c r="B203" s="1" t="s">
        <v>242</v>
      </c>
      <c r="C203" s="1" t="s">
        <v>124</v>
      </c>
      <c r="D203" s="1" t="s">
        <v>1125</v>
      </c>
      <c r="E203" s="1">
        <v>8</v>
      </c>
      <c r="F203" s="1">
        <v>667</v>
      </c>
      <c r="G203" s="1">
        <v>527</v>
      </c>
      <c r="H203" s="1">
        <v>304</v>
      </c>
      <c r="I203" s="1">
        <v>71</v>
      </c>
      <c r="J203" s="1">
        <v>113</v>
      </c>
      <c r="K203" s="1">
        <v>302</v>
      </c>
      <c r="L203" s="1">
        <v>200</v>
      </c>
      <c r="M203" s="1">
        <v>78.3</v>
      </c>
      <c r="N203" s="1">
        <v>30.047992000000001</v>
      </c>
      <c r="O203" s="1">
        <v>-94.335743300000004</v>
      </c>
      <c r="P203" s="14">
        <f t="shared" si="26"/>
        <v>88.8</v>
      </c>
      <c r="Q203" s="13">
        <v>20</v>
      </c>
      <c r="R203" s="16">
        <f t="shared" si="27"/>
        <v>47.4</v>
      </c>
      <c r="S203" s="14">
        <f t="shared" si="28"/>
        <v>0</v>
      </c>
      <c r="T203" s="13">
        <f t="shared" si="29"/>
        <v>93</v>
      </c>
      <c r="U203" s="14">
        <f t="shared" si="30"/>
        <v>69.899999999999991</v>
      </c>
      <c r="V203" s="14">
        <f t="shared" si="31"/>
        <v>80.100000000000009</v>
      </c>
      <c r="W203" s="1">
        <f t="shared" si="32"/>
        <v>79.900000000000006</v>
      </c>
      <c r="X203" s="1" t="str">
        <f>IF(Table1[[#This Row],[World Rank]]&lt;=250,"Q1-Elite",IF(Table1[[#This Row],[World Rank]]&lt;=500,"Q2-Strong",IF(Table1[[#This Row],[World Rank]]&lt;=750,"Q3-Developing","Q4-Emerging")))</f>
        <v>Q1-Elite</v>
      </c>
    </row>
    <row r="204" spans="1:24" x14ac:dyDescent="0.2">
      <c r="A204" s="1">
        <v>203</v>
      </c>
      <c r="B204" s="1" t="s">
        <v>243</v>
      </c>
      <c r="C204" s="1" t="s">
        <v>244</v>
      </c>
      <c r="D204" s="1" t="s">
        <v>1124</v>
      </c>
      <c r="E204" s="1">
        <v>1</v>
      </c>
      <c r="F204" s="1">
        <v>494</v>
      </c>
      <c r="G204" s="1">
        <v>1001</v>
      </c>
      <c r="H204" s="1">
        <v>241</v>
      </c>
      <c r="I204" s="1">
        <v>135</v>
      </c>
      <c r="J204" s="1">
        <v>230</v>
      </c>
      <c r="K204" s="1">
        <v>237</v>
      </c>
      <c r="L204" s="1">
        <v>200</v>
      </c>
      <c r="M204" s="1">
        <v>78.3</v>
      </c>
      <c r="N204" s="1">
        <v>49.743904700000002</v>
      </c>
      <c r="O204" s="1">
        <v>15.338106099999999</v>
      </c>
      <c r="P204" s="14">
        <f t="shared" si="26"/>
        <v>77.100000000000009</v>
      </c>
      <c r="Q204" s="13">
        <f>((667 - F204) / 666) * 100</f>
        <v>25.975975975975974</v>
      </c>
      <c r="R204" s="16">
        <f t="shared" si="27"/>
        <v>0</v>
      </c>
      <c r="S204" s="14">
        <f t="shared" si="28"/>
        <v>20.792079207920793</v>
      </c>
      <c r="T204" s="13">
        <f t="shared" si="29"/>
        <v>86.6</v>
      </c>
      <c r="U204" s="14">
        <f t="shared" si="30"/>
        <v>76.400000000000006</v>
      </c>
      <c r="V204" s="14">
        <f t="shared" si="31"/>
        <v>80.100000000000009</v>
      </c>
      <c r="W204" s="1">
        <f t="shared" si="32"/>
        <v>79.800000000000011</v>
      </c>
      <c r="X204" s="1" t="str">
        <f>IF(Table1[[#This Row],[World Rank]]&lt;=250,"Q1-Elite",IF(Table1[[#This Row],[World Rank]]&lt;=500,"Q2-Strong",IF(Table1[[#This Row],[World Rank]]&lt;=750,"Q3-Developing","Q4-Emerging")))</f>
        <v>Q1-Elite</v>
      </c>
    </row>
    <row r="205" spans="1:24" x14ac:dyDescent="0.2">
      <c r="A205" s="1">
        <v>204</v>
      </c>
      <c r="B205" s="1" t="s">
        <v>245</v>
      </c>
      <c r="C205" s="1" t="s">
        <v>15</v>
      </c>
      <c r="D205" s="1" t="s">
        <v>1120</v>
      </c>
      <c r="E205" s="1">
        <v>79</v>
      </c>
      <c r="F205" s="1">
        <v>290</v>
      </c>
      <c r="G205" s="1">
        <v>195</v>
      </c>
      <c r="H205" s="1">
        <v>304</v>
      </c>
      <c r="I205" s="1">
        <v>222</v>
      </c>
      <c r="J205" s="1">
        <v>178</v>
      </c>
      <c r="K205" s="1">
        <v>167</v>
      </c>
      <c r="L205" s="1">
        <v>151</v>
      </c>
      <c r="M205" s="1">
        <v>78.3</v>
      </c>
      <c r="N205" s="1">
        <v>39.783730400000003</v>
      </c>
      <c r="O205" s="1">
        <v>-100.445882</v>
      </c>
      <c r="P205" s="14">
        <f t="shared" si="26"/>
        <v>82.3</v>
      </c>
      <c r="Q205" s="13">
        <f>((667 - F205) / 666) * 100</f>
        <v>56.606606606606604</v>
      </c>
      <c r="R205" s="16">
        <f t="shared" si="27"/>
        <v>80.600000000000009</v>
      </c>
      <c r="S205" s="14">
        <f t="shared" si="28"/>
        <v>0</v>
      </c>
      <c r="T205" s="13">
        <f t="shared" si="29"/>
        <v>77.900000000000006</v>
      </c>
      <c r="U205" s="14">
        <f t="shared" si="30"/>
        <v>83.399999999999991</v>
      </c>
      <c r="V205" s="14">
        <f t="shared" si="31"/>
        <v>85</v>
      </c>
      <c r="W205" s="1">
        <f t="shared" si="32"/>
        <v>79.7</v>
      </c>
      <c r="X205" s="1" t="str">
        <f>IF(Table1[[#This Row],[World Rank]]&lt;=250,"Q1-Elite",IF(Table1[[#This Row],[World Rank]]&lt;=500,"Q2-Strong",IF(Table1[[#This Row],[World Rank]]&lt;=750,"Q3-Developing","Q4-Emerging")))</f>
        <v>Q1-Elite</v>
      </c>
    </row>
    <row r="206" spans="1:24" x14ac:dyDescent="0.2">
      <c r="A206" s="1">
        <v>205</v>
      </c>
      <c r="B206" s="1" t="s">
        <v>246</v>
      </c>
      <c r="C206" s="1" t="s">
        <v>34</v>
      </c>
      <c r="D206" s="1" t="s">
        <v>1120</v>
      </c>
      <c r="E206" s="1">
        <v>9</v>
      </c>
      <c r="F206" s="1">
        <v>366</v>
      </c>
      <c r="G206" s="1">
        <v>431</v>
      </c>
      <c r="H206" s="1">
        <v>304</v>
      </c>
      <c r="I206" s="1">
        <v>162</v>
      </c>
      <c r="J206" s="1">
        <v>157</v>
      </c>
      <c r="K206" s="1">
        <v>164</v>
      </c>
      <c r="L206" s="1">
        <v>200</v>
      </c>
      <c r="M206" s="1">
        <v>78.3</v>
      </c>
      <c r="N206" s="1">
        <v>61.066692199999999</v>
      </c>
      <c r="O206" s="1">
        <v>-107.99170700000001</v>
      </c>
      <c r="P206" s="14">
        <f t="shared" si="26"/>
        <v>84.399999999999991</v>
      </c>
      <c r="Q206" s="13">
        <f>((667 - F206) / 666) * 100</f>
        <v>45.19519519519519</v>
      </c>
      <c r="R206" s="16">
        <f t="shared" si="27"/>
        <v>56.999999999999993</v>
      </c>
      <c r="S206" s="14">
        <f t="shared" si="28"/>
        <v>0</v>
      </c>
      <c r="T206" s="13">
        <f t="shared" si="29"/>
        <v>83.899999999999991</v>
      </c>
      <c r="U206" s="14">
        <f t="shared" si="30"/>
        <v>83.7</v>
      </c>
      <c r="V206" s="14">
        <f t="shared" si="31"/>
        <v>80.100000000000009</v>
      </c>
      <c r="W206" s="1">
        <f t="shared" si="32"/>
        <v>79.600000000000009</v>
      </c>
      <c r="X206" s="1" t="str">
        <f>IF(Table1[[#This Row],[World Rank]]&lt;=250,"Q1-Elite",IF(Table1[[#This Row],[World Rank]]&lt;=500,"Q2-Strong",IF(Table1[[#This Row],[World Rank]]&lt;=750,"Q3-Developing","Q4-Emerging")))</f>
        <v>Q1-Elite</v>
      </c>
    </row>
    <row r="207" spans="1:24" x14ac:dyDescent="0.2">
      <c r="A207" s="1">
        <v>206</v>
      </c>
      <c r="B207" s="1" t="s">
        <v>247</v>
      </c>
      <c r="C207" s="1" t="s">
        <v>139</v>
      </c>
      <c r="D207" s="1" t="s">
        <v>1124</v>
      </c>
      <c r="E207" s="1">
        <v>5</v>
      </c>
      <c r="F207" s="1">
        <v>159</v>
      </c>
      <c r="G207" s="1">
        <v>1001</v>
      </c>
      <c r="H207" s="1">
        <v>91</v>
      </c>
      <c r="I207" s="1">
        <v>337</v>
      </c>
      <c r="J207" s="1">
        <v>334</v>
      </c>
      <c r="K207" s="1">
        <v>242</v>
      </c>
      <c r="L207" s="1">
        <v>174</v>
      </c>
      <c r="M207" s="1">
        <v>78.2</v>
      </c>
      <c r="N207" s="1">
        <v>50.6402809</v>
      </c>
      <c r="O207" s="1">
        <v>4.6667145000000003</v>
      </c>
      <c r="P207" s="14">
        <f t="shared" si="26"/>
        <v>66.7</v>
      </c>
      <c r="Q207" s="13">
        <f>((667 - F207) / 666) * 100</f>
        <v>76.276276276276278</v>
      </c>
      <c r="R207" s="16">
        <f t="shared" si="27"/>
        <v>0</v>
      </c>
      <c r="S207" s="14">
        <f t="shared" si="28"/>
        <v>70.297029702970292</v>
      </c>
      <c r="T207" s="13">
        <f t="shared" si="29"/>
        <v>66.400000000000006</v>
      </c>
      <c r="U207" s="14">
        <f t="shared" si="30"/>
        <v>75.900000000000006</v>
      </c>
      <c r="V207" s="14">
        <f t="shared" si="31"/>
        <v>82.699999999999989</v>
      </c>
      <c r="W207" s="1">
        <f t="shared" si="32"/>
        <v>79.5</v>
      </c>
      <c r="X207" s="1" t="str">
        <f>IF(Table1[[#This Row],[World Rank]]&lt;=250,"Q1-Elite",IF(Table1[[#This Row],[World Rank]]&lt;=500,"Q2-Strong",IF(Table1[[#This Row],[World Rank]]&lt;=750,"Q3-Developing","Q4-Emerging")))</f>
        <v>Q1-Elite</v>
      </c>
    </row>
    <row r="208" spans="1:24" x14ac:dyDescent="0.2">
      <c r="A208" s="1">
        <v>207</v>
      </c>
      <c r="B208" s="1" t="s">
        <v>248</v>
      </c>
      <c r="C208" s="1" t="s">
        <v>68</v>
      </c>
      <c r="D208" s="1" t="s">
        <v>1124</v>
      </c>
      <c r="E208" s="1">
        <v>13</v>
      </c>
      <c r="F208" s="1">
        <v>667</v>
      </c>
      <c r="G208" s="1">
        <v>1001</v>
      </c>
      <c r="H208" s="1">
        <v>304</v>
      </c>
      <c r="I208" s="1">
        <v>172</v>
      </c>
      <c r="J208" s="1">
        <v>178</v>
      </c>
      <c r="K208" s="1">
        <v>176</v>
      </c>
      <c r="L208" s="1">
        <v>129</v>
      </c>
      <c r="M208" s="1">
        <v>78.2</v>
      </c>
      <c r="N208" s="1">
        <v>40.420347900000003</v>
      </c>
      <c r="O208" s="1">
        <v>-79.116698299999996</v>
      </c>
      <c r="P208" s="14">
        <f t="shared" si="26"/>
        <v>82.3</v>
      </c>
      <c r="Q208" s="13">
        <v>20</v>
      </c>
      <c r="R208" s="16">
        <f t="shared" si="27"/>
        <v>0</v>
      </c>
      <c r="S208" s="14">
        <f t="shared" si="28"/>
        <v>0</v>
      </c>
      <c r="T208" s="13">
        <f t="shared" si="29"/>
        <v>82.899999999999991</v>
      </c>
      <c r="U208" s="14">
        <f t="shared" si="30"/>
        <v>82.5</v>
      </c>
      <c r="V208" s="14">
        <f t="shared" si="31"/>
        <v>87.2</v>
      </c>
      <c r="W208" s="1">
        <f t="shared" si="32"/>
        <v>79.400000000000006</v>
      </c>
      <c r="X208" s="1" t="str">
        <f>IF(Table1[[#This Row],[World Rank]]&lt;=250,"Q1-Elite",IF(Table1[[#This Row],[World Rank]]&lt;=500,"Q2-Strong",IF(Table1[[#This Row],[World Rank]]&lt;=750,"Q3-Developing","Q4-Emerging")))</f>
        <v>Q1-Elite</v>
      </c>
    </row>
    <row r="209" spans="1:24" x14ac:dyDescent="0.2">
      <c r="A209" s="1">
        <v>208</v>
      </c>
      <c r="B209" s="1" t="s">
        <v>249</v>
      </c>
      <c r="C209" s="1" t="s">
        <v>93</v>
      </c>
      <c r="D209" s="1" t="s">
        <v>1124</v>
      </c>
      <c r="E209" s="1">
        <v>6</v>
      </c>
      <c r="F209" s="1">
        <v>597</v>
      </c>
      <c r="G209" s="1">
        <v>1001</v>
      </c>
      <c r="H209" s="1">
        <v>202</v>
      </c>
      <c r="I209" s="1">
        <v>199</v>
      </c>
      <c r="J209" s="1">
        <v>210</v>
      </c>
      <c r="K209" s="1">
        <v>263</v>
      </c>
      <c r="L209" s="1">
        <v>200</v>
      </c>
      <c r="M209" s="1">
        <v>78.2</v>
      </c>
      <c r="N209" s="1">
        <v>42.638426099999997</v>
      </c>
      <c r="O209" s="1">
        <v>12.674296999999999</v>
      </c>
      <c r="P209" s="14">
        <f t="shared" si="26"/>
        <v>79.100000000000009</v>
      </c>
      <c r="Q209" s="13">
        <v>20</v>
      </c>
      <c r="R209" s="16">
        <f t="shared" si="27"/>
        <v>0</v>
      </c>
      <c r="S209" s="14">
        <f t="shared" si="28"/>
        <v>33.663366336633665</v>
      </c>
      <c r="T209" s="13">
        <f t="shared" si="29"/>
        <v>80.2</v>
      </c>
      <c r="U209" s="14">
        <f t="shared" si="30"/>
        <v>73.8</v>
      </c>
      <c r="V209" s="14">
        <f t="shared" si="31"/>
        <v>80.100000000000009</v>
      </c>
      <c r="W209" s="1">
        <f t="shared" si="32"/>
        <v>79.3</v>
      </c>
      <c r="X209" s="1" t="str">
        <f>IF(Table1[[#This Row],[World Rank]]&lt;=250,"Q1-Elite",IF(Table1[[#This Row],[World Rank]]&lt;=500,"Q2-Strong",IF(Table1[[#This Row],[World Rank]]&lt;=750,"Q3-Developing","Q4-Emerging")))</f>
        <v>Q1-Elite</v>
      </c>
    </row>
    <row r="210" spans="1:24" x14ac:dyDescent="0.2">
      <c r="A210" s="1">
        <v>209</v>
      </c>
      <c r="B210" s="1" t="s">
        <v>250</v>
      </c>
      <c r="C210" s="1" t="s">
        <v>124</v>
      </c>
      <c r="D210" s="1" t="s">
        <v>1125</v>
      </c>
      <c r="E210" s="1">
        <v>9</v>
      </c>
      <c r="F210" s="1">
        <v>667</v>
      </c>
      <c r="G210" s="1">
        <v>347</v>
      </c>
      <c r="H210" s="1">
        <v>304</v>
      </c>
      <c r="I210" s="1">
        <v>102</v>
      </c>
      <c r="J210" s="1">
        <v>112</v>
      </c>
      <c r="K210" s="1">
        <v>248</v>
      </c>
      <c r="L210" s="1">
        <v>254</v>
      </c>
      <c r="M210" s="1">
        <v>78.2</v>
      </c>
      <c r="N210" s="1">
        <v>30.047992000000001</v>
      </c>
      <c r="O210" s="1">
        <v>-94.335743300000004</v>
      </c>
      <c r="P210" s="14">
        <f t="shared" si="26"/>
        <v>88.9</v>
      </c>
      <c r="Q210" s="13">
        <v>20</v>
      </c>
      <c r="R210" s="16">
        <f t="shared" si="27"/>
        <v>65.400000000000006</v>
      </c>
      <c r="S210" s="14">
        <f t="shared" si="28"/>
        <v>0</v>
      </c>
      <c r="T210" s="13">
        <f t="shared" si="29"/>
        <v>89.9</v>
      </c>
      <c r="U210" s="14">
        <f t="shared" si="30"/>
        <v>75.3</v>
      </c>
      <c r="V210" s="14">
        <f t="shared" si="31"/>
        <v>74.7</v>
      </c>
      <c r="W210" s="1">
        <f t="shared" si="32"/>
        <v>79.2</v>
      </c>
      <c r="X210" s="1" t="str">
        <f>IF(Table1[[#This Row],[World Rank]]&lt;=250,"Q1-Elite",IF(Table1[[#This Row],[World Rank]]&lt;=500,"Q2-Strong",IF(Table1[[#This Row],[World Rank]]&lt;=750,"Q3-Developing","Q4-Emerging")))</f>
        <v>Q1-Elite</v>
      </c>
    </row>
    <row r="211" spans="1:24" x14ac:dyDescent="0.2">
      <c r="A211" s="1">
        <v>210</v>
      </c>
      <c r="B211" s="1" t="s">
        <v>251</v>
      </c>
      <c r="C211" s="1" t="s">
        <v>15</v>
      </c>
      <c r="D211" s="1" t="s">
        <v>1120</v>
      </c>
      <c r="E211" s="1">
        <v>80</v>
      </c>
      <c r="F211" s="1">
        <v>667</v>
      </c>
      <c r="G211" s="1">
        <v>1001</v>
      </c>
      <c r="H211" s="1">
        <v>304</v>
      </c>
      <c r="I211" s="1">
        <v>253</v>
      </c>
      <c r="J211" s="1">
        <v>192</v>
      </c>
      <c r="K211" s="1">
        <v>150</v>
      </c>
      <c r="L211" s="1">
        <v>101</v>
      </c>
      <c r="M211" s="1">
        <v>78.099999999999994</v>
      </c>
      <c r="N211" s="1">
        <v>39.783730400000003</v>
      </c>
      <c r="O211" s="1">
        <v>-100.445882</v>
      </c>
      <c r="P211" s="14">
        <f t="shared" si="26"/>
        <v>80.900000000000006</v>
      </c>
      <c r="Q211" s="13">
        <v>20</v>
      </c>
      <c r="R211" s="16">
        <f t="shared" si="27"/>
        <v>0</v>
      </c>
      <c r="S211" s="14">
        <f t="shared" si="28"/>
        <v>0</v>
      </c>
      <c r="T211" s="13">
        <f t="shared" si="29"/>
        <v>74.8</v>
      </c>
      <c r="U211" s="14">
        <f t="shared" si="30"/>
        <v>85.1</v>
      </c>
      <c r="V211" s="14">
        <f t="shared" si="31"/>
        <v>90</v>
      </c>
      <c r="W211" s="1">
        <f t="shared" si="32"/>
        <v>79.100000000000009</v>
      </c>
      <c r="X211" s="1" t="str">
        <f>IF(Table1[[#This Row],[World Rank]]&lt;=250,"Q1-Elite",IF(Table1[[#This Row],[World Rank]]&lt;=500,"Q2-Strong",IF(Table1[[#This Row],[World Rank]]&lt;=750,"Q3-Developing","Q4-Emerging")))</f>
        <v>Q1-Elite</v>
      </c>
    </row>
    <row r="212" spans="1:24" x14ac:dyDescent="0.2">
      <c r="A212" s="1">
        <v>211</v>
      </c>
      <c r="B212" s="1" t="s">
        <v>252</v>
      </c>
      <c r="C212" s="1" t="s">
        <v>19</v>
      </c>
      <c r="D212" s="1" t="s">
        <v>1124</v>
      </c>
      <c r="E212" s="1">
        <v>21</v>
      </c>
      <c r="F212" s="1">
        <v>219</v>
      </c>
      <c r="G212" s="1">
        <v>387</v>
      </c>
      <c r="H212" s="1">
        <v>73</v>
      </c>
      <c r="I212" s="1">
        <v>482</v>
      </c>
      <c r="J212" s="1">
        <v>365</v>
      </c>
      <c r="K212" s="1">
        <v>269</v>
      </c>
      <c r="L212" s="1">
        <v>163</v>
      </c>
      <c r="M212" s="1">
        <v>78.099999999999994</v>
      </c>
      <c r="N212" s="1">
        <v>54.702354499999998</v>
      </c>
      <c r="O212" s="1">
        <v>-3.2765753000000002</v>
      </c>
      <c r="P212" s="14">
        <f t="shared" si="26"/>
        <v>63.6</v>
      </c>
      <c r="Q212" s="13">
        <f>((667 - F212) / 666) * 100</f>
        <v>67.267267267267272</v>
      </c>
      <c r="R212" s="16">
        <f t="shared" si="27"/>
        <v>61.4</v>
      </c>
      <c r="S212" s="14">
        <f t="shared" si="28"/>
        <v>76.237623762376245</v>
      </c>
      <c r="T212" s="13">
        <f t="shared" si="29"/>
        <v>51.9</v>
      </c>
      <c r="U212" s="14">
        <f t="shared" si="30"/>
        <v>73.2</v>
      </c>
      <c r="V212" s="14">
        <f t="shared" si="31"/>
        <v>83.8</v>
      </c>
      <c r="W212" s="1">
        <f t="shared" si="32"/>
        <v>79</v>
      </c>
      <c r="X212" s="1" t="str">
        <f>IF(Table1[[#This Row],[World Rank]]&lt;=250,"Q1-Elite",IF(Table1[[#This Row],[World Rank]]&lt;=500,"Q2-Strong",IF(Table1[[#This Row],[World Rank]]&lt;=750,"Q3-Developing","Q4-Emerging")))</f>
        <v>Q1-Elite</v>
      </c>
    </row>
    <row r="213" spans="1:24" x14ac:dyDescent="0.2">
      <c r="A213" s="1">
        <v>212</v>
      </c>
      <c r="B213" s="1" t="s">
        <v>253</v>
      </c>
      <c r="C213" s="1" t="s">
        <v>68</v>
      </c>
      <c r="D213" s="1" t="s">
        <v>1124</v>
      </c>
      <c r="E213" s="1">
        <v>14</v>
      </c>
      <c r="F213" s="1">
        <v>655</v>
      </c>
      <c r="G213" s="1">
        <v>298</v>
      </c>
      <c r="H213" s="1">
        <v>244</v>
      </c>
      <c r="I213" s="1">
        <v>181</v>
      </c>
      <c r="J213" s="1">
        <v>186</v>
      </c>
      <c r="K213" s="1">
        <v>367</v>
      </c>
      <c r="L213" s="1">
        <v>129</v>
      </c>
      <c r="M213" s="1">
        <v>78.099999999999994</v>
      </c>
      <c r="N213" s="1">
        <v>40.420347900000003</v>
      </c>
      <c r="O213" s="1">
        <v>-79.116698299999996</v>
      </c>
      <c r="P213" s="14">
        <f t="shared" si="26"/>
        <v>81.5</v>
      </c>
      <c r="Q213" s="13">
        <v>20</v>
      </c>
      <c r="R213" s="16">
        <f t="shared" si="27"/>
        <v>70.3</v>
      </c>
      <c r="S213" s="14">
        <f t="shared" si="28"/>
        <v>19.801980198019802</v>
      </c>
      <c r="T213" s="13">
        <f t="shared" si="29"/>
        <v>82</v>
      </c>
      <c r="U213" s="14">
        <f t="shared" si="30"/>
        <v>63.4</v>
      </c>
      <c r="V213" s="14">
        <f t="shared" si="31"/>
        <v>87.2</v>
      </c>
      <c r="W213" s="1">
        <f t="shared" si="32"/>
        <v>78.900000000000006</v>
      </c>
      <c r="X213" s="1" t="str">
        <f>IF(Table1[[#This Row],[World Rank]]&lt;=250,"Q1-Elite",IF(Table1[[#This Row],[World Rank]]&lt;=500,"Q2-Strong",IF(Table1[[#This Row],[World Rank]]&lt;=750,"Q3-Developing","Q4-Emerging")))</f>
        <v>Q1-Elite</v>
      </c>
    </row>
    <row r="214" spans="1:24" x14ac:dyDescent="0.2">
      <c r="A214" s="1">
        <v>213</v>
      </c>
      <c r="B214" s="1" t="s">
        <v>254</v>
      </c>
      <c r="C214" s="1" t="s">
        <v>68</v>
      </c>
      <c r="D214" s="1" t="s">
        <v>1124</v>
      </c>
      <c r="E214" s="1">
        <v>15</v>
      </c>
      <c r="F214" s="1">
        <v>667</v>
      </c>
      <c r="G214" s="1">
        <v>287</v>
      </c>
      <c r="H214" s="1">
        <v>285</v>
      </c>
      <c r="I214" s="1">
        <v>221</v>
      </c>
      <c r="J214" s="1">
        <v>206</v>
      </c>
      <c r="K214" s="1">
        <v>147</v>
      </c>
      <c r="L214" s="1">
        <v>222</v>
      </c>
      <c r="M214" s="1">
        <v>78.099999999999994</v>
      </c>
      <c r="N214" s="1">
        <v>40.420347900000003</v>
      </c>
      <c r="O214" s="1">
        <v>-79.116698299999996</v>
      </c>
      <c r="P214" s="14">
        <f t="shared" si="26"/>
        <v>79.5</v>
      </c>
      <c r="Q214" s="13">
        <v>20</v>
      </c>
      <c r="R214" s="16">
        <f t="shared" si="27"/>
        <v>71.399999999999991</v>
      </c>
      <c r="S214" s="14">
        <f t="shared" si="28"/>
        <v>6.2706270627062706</v>
      </c>
      <c r="T214" s="13">
        <f t="shared" si="29"/>
        <v>78</v>
      </c>
      <c r="U214" s="14">
        <f t="shared" si="30"/>
        <v>85.399999999999991</v>
      </c>
      <c r="V214" s="14">
        <f t="shared" si="31"/>
        <v>77.900000000000006</v>
      </c>
      <c r="W214" s="1">
        <f t="shared" si="32"/>
        <v>78.8</v>
      </c>
      <c r="X214" s="1" t="str">
        <f>IF(Table1[[#This Row],[World Rank]]&lt;=250,"Q1-Elite",IF(Table1[[#This Row],[World Rank]]&lt;=500,"Q2-Strong",IF(Table1[[#This Row],[World Rank]]&lt;=750,"Q3-Developing","Q4-Emerging")))</f>
        <v>Q1-Elite</v>
      </c>
    </row>
    <row r="215" spans="1:24" x14ac:dyDescent="0.2">
      <c r="A215" s="1">
        <v>214</v>
      </c>
      <c r="B215" s="1" t="s">
        <v>255</v>
      </c>
      <c r="C215" s="1" t="s">
        <v>68</v>
      </c>
      <c r="D215" s="1" t="s">
        <v>1124</v>
      </c>
      <c r="E215" s="1">
        <v>16</v>
      </c>
      <c r="F215" s="1">
        <v>244</v>
      </c>
      <c r="G215" s="1">
        <v>853</v>
      </c>
      <c r="H215" s="1">
        <v>213</v>
      </c>
      <c r="I215" s="1">
        <v>268</v>
      </c>
      <c r="J215" s="1">
        <v>220</v>
      </c>
      <c r="K215" s="1">
        <v>186</v>
      </c>
      <c r="L215" s="1">
        <v>240</v>
      </c>
      <c r="M215" s="1">
        <v>78.099999999999994</v>
      </c>
      <c r="N215" s="1">
        <v>40.420347900000003</v>
      </c>
      <c r="O215" s="1">
        <v>-79.116698299999996</v>
      </c>
      <c r="P215" s="14">
        <f t="shared" si="26"/>
        <v>78.100000000000009</v>
      </c>
      <c r="Q215" s="13">
        <f>((667 - F215) / 666) * 100</f>
        <v>63.513513513513509</v>
      </c>
      <c r="R215" s="16">
        <f t="shared" si="27"/>
        <v>14.799999999999999</v>
      </c>
      <c r="S215" s="14">
        <f t="shared" si="28"/>
        <v>30.033003300330037</v>
      </c>
      <c r="T215" s="13">
        <f t="shared" si="29"/>
        <v>73.3</v>
      </c>
      <c r="U215" s="14">
        <f t="shared" si="30"/>
        <v>81.5</v>
      </c>
      <c r="V215" s="14">
        <f t="shared" si="31"/>
        <v>76.099999999999994</v>
      </c>
      <c r="W215" s="1">
        <f t="shared" si="32"/>
        <v>78.7</v>
      </c>
      <c r="X215" s="1" t="str">
        <f>IF(Table1[[#This Row],[World Rank]]&lt;=250,"Q1-Elite",IF(Table1[[#This Row],[World Rank]]&lt;=500,"Q2-Strong",IF(Table1[[#This Row],[World Rank]]&lt;=750,"Q3-Developing","Q4-Emerging")))</f>
        <v>Q1-Elite</v>
      </c>
    </row>
    <row r="216" spans="1:24" x14ac:dyDescent="0.2">
      <c r="A216" s="1">
        <v>215</v>
      </c>
      <c r="B216" s="1" t="s">
        <v>256</v>
      </c>
      <c r="C216" s="1" t="s">
        <v>59</v>
      </c>
      <c r="D216" s="1" t="s">
        <v>1124</v>
      </c>
      <c r="E216" s="1">
        <v>3</v>
      </c>
      <c r="F216" s="1">
        <v>640</v>
      </c>
      <c r="G216" s="1">
        <v>830</v>
      </c>
      <c r="H216" s="1">
        <v>287</v>
      </c>
      <c r="I216" s="1">
        <v>216</v>
      </c>
      <c r="J216" s="1">
        <v>203</v>
      </c>
      <c r="K216" s="1">
        <v>196</v>
      </c>
      <c r="L216" s="1">
        <v>93</v>
      </c>
      <c r="M216" s="1">
        <v>78</v>
      </c>
      <c r="N216" s="1">
        <v>55.670248999999998</v>
      </c>
      <c r="O216" s="1">
        <v>10.3333283</v>
      </c>
      <c r="P216" s="14">
        <f t="shared" si="26"/>
        <v>79.800000000000011</v>
      </c>
      <c r="Q216" s="13">
        <v>20</v>
      </c>
      <c r="R216" s="16">
        <f t="shared" si="27"/>
        <v>17.100000000000001</v>
      </c>
      <c r="S216" s="14">
        <f t="shared" si="28"/>
        <v>5.6105610561056105</v>
      </c>
      <c r="T216" s="13">
        <f t="shared" si="29"/>
        <v>78.5</v>
      </c>
      <c r="U216" s="14">
        <f t="shared" si="30"/>
        <v>80.5</v>
      </c>
      <c r="V216" s="14">
        <f t="shared" si="31"/>
        <v>90.8</v>
      </c>
      <c r="W216" s="1">
        <f t="shared" si="32"/>
        <v>78.600000000000009</v>
      </c>
      <c r="X216" s="1" t="str">
        <f>IF(Table1[[#This Row],[World Rank]]&lt;=250,"Q1-Elite",IF(Table1[[#This Row],[World Rank]]&lt;=500,"Q2-Strong",IF(Table1[[#This Row],[World Rank]]&lt;=750,"Q3-Developing","Q4-Emerging")))</f>
        <v>Q1-Elite</v>
      </c>
    </row>
    <row r="217" spans="1:24" x14ac:dyDescent="0.2">
      <c r="A217" s="1">
        <v>216</v>
      </c>
      <c r="B217" s="1" t="s">
        <v>257</v>
      </c>
      <c r="C217" s="1" t="s">
        <v>68</v>
      </c>
      <c r="D217" s="1" t="s">
        <v>1124</v>
      </c>
      <c r="E217" s="1">
        <v>17</v>
      </c>
      <c r="F217" s="1">
        <v>346</v>
      </c>
      <c r="G217" s="1">
        <v>928</v>
      </c>
      <c r="H217" s="1">
        <v>304</v>
      </c>
      <c r="I217" s="1">
        <v>166</v>
      </c>
      <c r="J217" s="1">
        <v>166</v>
      </c>
      <c r="K217" s="1">
        <v>189</v>
      </c>
      <c r="L217" s="1">
        <v>151</v>
      </c>
      <c r="M217" s="1">
        <v>78</v>
      </c>
      <c r="N217" s="1">
        <v>40.420347900000003</v>
      </c>
      <c r="O217" s="1">
        <v>-79.116698299999996</v>
      </c>
      <c r="P217" s="14">
        <f t="shared" si="26"/>
        <v>83.5</v>
      </c>
      <c r="Q217" s="13">
        <f>((667 - F217) / 666) * 100</f>
        <v>48.198198198198199</v>
      </c>
      <c r="R217" s="16">
        <f t="shared" si="27"/>
        <v>7.3</v>
      </c>
      <c r="S217" s="14">
        <f t="shared" si="28"/>
        <v>0</v>
      </c>
      <c r="T217" s="13">
        <f t="shared" si="29"/>
        <v>83.5</v>
      </c>
      <c r="U217" s="14">
        <f t="shared" si="30"/>
        <v>81.2</v>
      </c>
      <c r="V217" s="14">
        <f t="shared" si="31"/>
        <v>85</v>
      </c>
      <c r="W217" s="1">
        <f t="shared" si="32"/>
        <v>78.5</v>
      </c>
      <c r="X217" s="1" t="str">
        <f>IF(Table1[[#This Row],[World Rank]]&lt;=250,"Q1-Elite",IF(Table1[[#This Row],[World Rank]]&lt;=500,"Q2-Strong",IF(Table1[[#This Row],[World Rank]]&lt;=750,"Q3-Developing","Q4-Emerging")))</f>
        <v>Q1-Elite</v>
      </c>
    </row>
    <row r="218" spans="1:24" x14ac:dyDescent="0.2">
      <c r="A218" s="1">
        <v>217</v>
      </c>
      <c r="B218" s="1" t="s">
        <v>258</v>
      </c>
      <c r="C218" s="1" t="s">
        <v>15</v>
      </c>
      <c r="D218" s="1" t="s">
        <v>1120</v>
      </c>
      <c r="E218" s="1">
        <v>81</v>
      </c>
      <c r="F218" s="1">
        <v>431</v>
      </c>
      <c r="G218" s="1">
        <v>1001</v>
      </c>
      <c r="H218" s="1">
        <v>304</v>
      </c>
      <c r="I218" s="1">
        <v>169</v>
      </c>
      <c r="J218" s="1">
        <v>149</v>
      </c>
      <c r="K218" s="1">
        <v>205</v>
      </c>
      <c r="L218" s="1">
        <v>151</v>
      </c>
      <c r="M218" s="1">
        <v>78</v>
      </c>
      <c r="N218" s="1">
        <v>39.783730400000003</v>
      </c>
      <c r="O218" s="1">
        <v>-100.445882</v>
      </c>
      <c r="P218" s="14">
        <f t="shared" si="26"/>
        <v>85.2</v>
      </c>
      <c r="Q218" s="13">
        <f>((667 - F218) / 666) * 100</f>
        <v>35.435435435435437</v>
      </c>
      <c r="R218" s="16">
        <f t="shared" si="27"/>
        <v>0</v>
      </c>
      <c r="S218" s="14">
        <f t="shared" si="28"/>
        <v>0</v>
      </c>
      <c r="T218" s="13">
        <f t="shared" si="29"/>
        <v>83.2</v>
      </c>
      <c r="U218" s="14">
        <f t="shared" si="30"/>
        <v>79.600000000000009</v>
      </c>
      <c r="V218" s="14">
        <f t="shared" si="31"/>
        <v>85</v>
      </c>
      <c r="W218" s="1">
        <f t="shared" si="32"/>
        <v>78.400000000000006</v>
      </c>
      <c r="X218" s="1" t="str">
        <f>IF(Table1[[#This Row],[World Rank]]&lt;=250,"Q1-Elite",IF(Table1[[#This Row],[World Rank]]&lt;=500,"Q2-Strong",IF(Table1[[#This Row],[World Rank]]&lt;=750,"Q3-Developing","Q4-Emerging")))</f>
        <v>Q1-Elite</v>
      </c>
    </row>
    <row r="219" spans="1:24" x14ac:dyDescent="0.2">
      <c r="A219" s="1">
        <v>218</v>
      </c>
      <c r="B219" s="1" t="s">
        <v>259</v>
      </c>
      <c r="C219" s="1" t="s">
        <v>85</v>
      </c>
      <c r="D219" s="1" t="s">
        <v>1125</v>
      </c>
      <c r="E219" s="1">
        <v>3</v>
      </c>
      <c r="F219" s="1">
        <v>667</v>
      </c>
      <c r="G219" s="1">
        <v>237</v>
      </c>
      <c r="H219" s="1">
        <v>304</v>
      </c>
      <c r="I219" s="1">
        <v>119</v>
      </c>
      <c r="J219" s="1">
        <v>170</v>
      </c>
      <c r="K219" s="1">
        <v>295</v>
      </c>
      <c r="L219" s="1">
        <v>139</v>
      </c>
      <c r="M219" s="1">
        <v>78</v>
      </c>
      <c r="N219" s="1">
        <v>36.638392000000003</v>
      </c>
      <c r="O219" s="1">
        <v>127.69611879999999</v>
      </c>
      <c r="P219" s="14">
        <f t="shared" si="26"/>
        <v>83.1</v>
      </c>
      <c r="Q219" s="13">
        <v>20</v>
      </c>
      <c r="R219" s="16">
        <f t="shared" si="27"/>
        <v>76.400000000000006</v>
      </c>
      <c r="S219" s="14">
        <f t="shared" si="28"/>
        <v>0</v>
      </c>
      <c r="T219" s="13">
        <f t="shared" si="29"/>
        <v>88.2</v>
      </c>
      <c r="U219" s="14">
        <f t="shared" si="30"/>
        <v>70.599999999999994</v>
      </c>
      <c r="V219" s="14">
        <f t="shared" si="31"/>
        <v>86.2</v>
      </c>
      <c r="W219" s="1">
        <f t="shared" si="32"/>
        <v>78.3</v>
      </c>
      <c r="X219" s="1" t="str">
        <f>IF(Table1[[#This Row],[World Rank]]&lt;=250,"Q1-Elite",IF(Table1[[#This Row],[World Rank]]&lt;=500,"Q2-Strong",IF(Table1[[#This Row],[World Rank]]&lt;=750,"Q3-Developing","Q4-Emerging")))</f>
        <v>Q1-Elite</v>
      </c>
    </row>
    <row r="220" spans="1:24" x14ac:dyDescent="0.2">
      <c r="A220" s="1">
        <v>219</v>
      </c>
      <c r="B220" s="1" t="s">
        <v>260</v>
      </c>
      <c r="C220" s="1" t="s">
        <v>15</v>
      </c>
      <c r="D220" s="1" t="s">
        <v>1120</v>
      </c>
      <c r="E220" s="1">
        <v>82</v>
      </c>
      <c r="F220" s="1">
        <v>548</v>
      </c>
      <c r="G220" s="1">
        <v>345</v>
      </c>
      <c r="H220" s="1">
        <v>304</v>
      </c>
      <c r="I220" s="1">
        <v>190</v>
      </c>
      <c r="J220" s="1">
        <v>201</v>
      </c>
      <c r="K220" s="1">
        <v>198</v>
      </c>
      <c r="L220" s="1">
        <v>108</v>
      </c>
      <c r="M220" s="1">
        <v>77.900000000000006</v>
      </c>
      <c r="N220" s="1">
        <v>39.783730400000003</v>
      </c>
      <c r="O220" s="1">
        <v>-100.445882</v>
      </c>
      <c r="P220" s="14">
        <f t="shared" si="26"/>
        <v>80</v>
      </c>
      <c r="Q220" s="13">
        <v>20</v>
      </c>
      <c r="R220" s="16">
        <f t="shared" si="27"/>
        <v>65.600000000000009</v>
      </c>
      <c r="S220" s="14">
        <f t="shared" si="28"/>
        <v>0</v>
      </c>
      <c r="T220" s="13">
        <f t="shared" si="29"/>
        <v>81.100000000000009</v>
      </c>
      <c r="U220" s="14">
        <f t="shared" si="30"/>
        <v>80.300000000000011</v>
      </c>
      <c r="V220" s="14">
        <f t="shared" si="31"/>
        <v>89.3</v>
      </c>
      <c r="W220" s="1">
        <f t="shared" si="32"/>
        <v>78.2</v>
      </c>
      <c r="X220" s="1" t="str">
        <f>IF(Table1[[#This Row],[World Rank]]&lt;=250,"Q1-Elite",IF(Table1[[#This Row],[World Rank]]&lt;=500,"Q2-Strong",IF(Table1[[#This Row],[World Rank]]&lt;=750,"Q3-Developing","Q4-Emerging")))</f>
        <v>Q1-Elite</v>
      </c>
    </row>
    <row r="221" spans="1:24" x14ac:dyDescent="0.2">
      <c r="A221" s="1">
        <v>220</v>
      </c>
      <c r="B221" s="1" t="s">
        <v>261</v>
      </c>
      <c r="C221" s="1" t="s">
        <v>262</v>
      </c>
      <c r="D221" s="1" t="s">
        <v>1124</v>
      </c>
      <c r="E221" s="1">
        <v>1</v>
      </c>
      <c r="F221" s="1">
        <v>622</v>
      </c>
      <c r="G221" s="1">
        <v>1001</v>
      </c>
      <c r="H221" s="1">
        <v>291</v>
      </c>
      <c r="I221" s="1">
        <v>109</v>
      </c>
      <c r="J221" s="1">
        <v>154</v>
      </c>
      <c r="K221" s="1">
        <v>291</v>
      </c>
      <c r="L221" s="1">
        <v>167</v>
      </c>
      <c r="M221" s="1">
        <v>77.900000000000006</v>
      </c>
      <c r="N221" s="1">
        <v>39.662164799999999</v>
      </c>
      <c r="O221" s="1">
        <v>-8.1353518999999999</v>
      </c>
      <c r="P221" s="14">
        <f t="shared" si="26"/>
        <v>84.7</v>
      </c>
      <c r="Q221" s="13">
        <v>20</v>
      </c>
      <c r="R221" s="16">
        <f t="shared" si="27"/>
        <v>0</v>
      </c>
      <c r="S221" s="14">
        <f t="shared" si="28"/>
        <v>4.2904290429042904</v>
      </c>
      <c r="T221" s="13">
        <f t="shared" si="29"/>
        <v>89.2</v>
      </c>
      <c r="U221" s="14">
        <f t="shared" si="30"/>
        <v>71</v>
      </c>
      <c r="V221" s="14">
        <f t="shared" si="31"/>
        <v>83.399999999999991</v>
      </c>
      <c r="W221" s="1">
        <f t="shared" si="32"/>
        <v>78.100000000000009</v>
      </c>
      <c r="X221" s="1" t="str">
        <f>IF(Table1[[#This Row],[World Rank]]&lt;=250,"Q1-Elite",IF(Table1[[#This Row],[World Rank]]&lt;=500,"Q2-Strong",IF(Table1[[#This Row],[World Rank]]&lt;=750,"Q3-Developing","Q4-Emerging")))</f>
        <v>Q1-Elite</v>
      </c>
    </row>
    <row r="222" spans="1:24" x14ac:dyDescent="0.2">
      <c r="A222" s="1">
        <v>221</v>
      </c>
      <c r="B222" s="1" t="s">
        <v>263</v>
      </c>
      <c r="C222" s="1" t="s">
        <v>48</v>
      </c>
      <c r="D222" s="1" t="s">
        <v>1124</v>
      </c>
      <c r="E222" s="1">
        <v>12</v>
      </c>
      <c r="F222" s="1">
        <v>667</v>
      </c>
      <c r="G222" s="1">
        <v>1001</v>
      </c>
      <c r="H222" s="1">
        <v>304</v>
      </c>
      <c r="I222" s="1">
        <v>171</v>
      </c>
      <c r="J222" s="1">
        <v>150</v>
      </c>
      <c r="K222" s="1">
        <v>158</v>
      </c>
      <c r="L222" s="1">
        <v>254</v>
      </c>
      <c r="M222" s="1">
        <v>77.900000000000006</v>
      </c>
      <c r="N222" s="1">
        <v>46.603354000000003</v>
      </c>
      <c r="O222" s="1">
        <v>1.8883335000000001</v>
      </c>
      <c r="P222" s="14">
        <f t="shared" si="26"/>
        <v>85.1</v>
      </c>
      <c r="Q222" s="13">
        <v>20</v>
      </c>
      <c r="R222" s="16">
        <f t="shared" si="27"/>
        <v>0</v>
      </c>
      <c r="S222" s="14">
        <f t="shared" si="28"/>
        <v>0</v>
      </c>
      <c r="T222" s="13">
        <f t="shared" si="29"/>
        <v>83</v>
      </c>
      <c r="U222" s="14">
        <f t="shared" si="30"/>
        <v>84.3</v>
      </c>
      <c r="V222" s="14">
        <f t="shared" si="31"/>
        <v>74.7</v>
      </c>
      <c r="W222" s="1">
        <f t="shared" si="32"/>
        <v>78</v>
      </c>
      <c r="X222" s="1" t="str">
        <f>IF(Table1[[#This Row],[World Rank]]&lt;=250,"Q1-Elite",IF(Table1[[#This Row],[World Rank]]&lt;=500,"Q2-Strong",IF(Table1[[#This Row],[World Rank]]&lt;=750,"Q3-Developing","Q4-Emerging")))</f>
        <v>Q1-Elite</v>
      </c>
    </row>
    <row r="223" spans="1:24" x14ac:dyDescent="0.2">
      <c r="A223" s="1">
        <v>222</v>
      </c>
      <c r="B223" s="1" t="s">
        <v>264</v>
      </c>
      <c r="C223" s="1" t="s">
        <v>85</v>
      </c>
      <c r="D223" s="1" t="s">
        <v>1125</v>
      </c>
      <c r="E223" s="1">
        <v>4</v>
      </c>
      <c r="F223" s="1">
        <v>667</v>
      </c>
      <c r="G223" s="1">
        <v>116</v>
      </c>
      <c r="H223" s="1">
        <v>304</v>
      </c>
      <c r="I223" s="1">
        <v>76</v>
      </c>
      <c r="J223" s="1">
        <v>122</v>
      </c>
      <c r="K223" s="1">
        <v>308</v>
      </c>
      <c r="L223" s="1">
        <v>363</v>
      </c>
      <c r="M223" s="1">
        <v>77.900000000000006</v>
      </c>
      <c r="N223" s="1">
        <v>36.638392000000003</v>
      </c>
      <c r="O223" s="1">
        <v>127.69611879999999</v>
      </c>
      <c r="P223" s="14">
        <f t="shared" si="26"/>
        <v>87.9</v>
      </c>
      <c r="Q223" s="13">
        <v>20</v>
      </c>
      <c r="R223" s="16">
        <f t="shared" si="27"/>
        <v>88.5</v>
      </c>
      <c r="S223" s="14">
        <f t="shared" si="28"/>
        <v>0</v>
      </c>
      <c r="T223" s="13">
        <f t="shared" si="29"/>
        <v>92.5</v>
      </c>
      <c r="U223" s="14">
        <f t="shared" si="30"/>
        <v>69.3</v>
      </c>
      <c r="V223" s="14">
        <f t="shared" si="31"/>
        <v>63.800000000000004</v>
      </c>
      <c r="W223" s="1">
        <f t="shared" si="32"/>
        <v>77.900000000000006</v>
      </c>
      <c r="X223" s="1" t="str">
        <f>IF(Table1[[#This Row],[World Rank]]&lt;=250,"Q1-Elite",IF(Table1[[#This Row],[World Rank]]&lt;=500,"Q2-Strong",IF(Table1[[#This Row],[World Rank]]&lt;=750,"Q3-Developing","Q4-Emerging")))</f>
        <v>Q1-Elite</v>
      </c>
    </row>
    <row r="224" spans="1:24" x14ac:dyDescent="0.2">
      <c r="A224" s="1">
        <v>223</v>
      </c>
      <c r="B224" s="1" t="s">
        <v>265</v>
      </c>
      <c r="C224" s="1" t="s">
        <v>266</v>
      </c>
      <c r="D224" s="1" t="s">
        <v>1122</v>
      </c>
      <c r="E224" s="1">
        <v>1</v>
      </c>
      <c r="F224" s="1">
        <v>216</v>
      </c>
      <c r="G224" s="1">
        <v>294</v>
      </c>
      <c r="H224" s="1">
        <v>187</v>
      </c>
      <c r="I224" s="1">
        <v>293</v>
      </c>
      <c r="J224" s="1">
        <v>299</v>
      </c>
      <c r="K224" s="1">
        <v>190</v>
      </c>
      <c r="L224" s="1">
        <v>254</v>
      </c>
      <c r="M224" s="1">
        <v>77.900000000000006</v>
      </c>
      <c r="N224" s="1">
        <v>-28.8166236</v>
      </c>
      <c r="O224" s="1">
        <v>24.991638999999999</v>
      </c>
      <c r="P224" s="14">
        <f t="shared" si="26"/>
        <v>70.199999999999989</v>
      </c>
      <c r="Q224" s="13">
        <f t="shared" ref="Q224:Q232" si="33">((667 - F224) / 666) * 100</f>
        <v>67.717717717717719</v>
      </c>
      <c r="R224" s="16">
        <f t="shared" si="27"/>
        <v>70.7</v>
      </c>
      <c r="S224" s="14">
        <f t="shared" si="28"/>
        <v>38.613861386138616</v>
      </c>
      <c r="T224" s="13">
        <f t="shared" si="29"/>
        <v>70.8</v>
      </c>
      <c r="U224" s="14">
        <f t="shared" si="30"/>
        <v>81.100000000000009</v>
      </c>
      <c r="V224" s="14">
        <f t="shared" si="31"/>
        <v>74.7</v>
      </c>
      <c r="W224" s="1">
        <f t="shared" si="32"/>
        <v>77.8</v>
      </c>
      <c r="X224" s="1" t="str">
        <f>IF(Table1[[#This Row],[World Rank]]&lt;=250,"Q1-Elite",IF(Table1[[#This Row],[World Rank]]&lt;=500,"Q2-Strong",IF(Table1[[#This Row],[World Rank]]&lt;=750,"Q3-Developing","Q4-Emerging")))</f>
        <v>Q1-Elite</v>
      </c>
    </row>
    <row r="225" spans="1:24" x14ac:dyDescent="0.2">
      <c r="A225" s="1">
        <v>224</v>
      </c>
      <c r="B225" s="1" t="s">
        <v>267</v>
      </c>
      <c r="C225" s="1" t="s">
        <v>15</v>
      </c>
      <c r="D225" s="1" t="s">
        <v>1120</v>
      </c>
      <c r="E225" s="1">
        <v>83</v>
      </c>
      <c r="F225" s="1">
        <v>324</v>
      </c>
      <c r="G225" s="1">
        <v>270</v>
      </c>
      <c r="H225" s="1">
        <v>304</v>
      </c>
      <c r="I225" s="1">
        <v>243</v>
      </c>
      <c r="J225" s="1">
        <v>218</v>
      </c>
      <c r="K225" s="1">
        <v>180</v>
      </c>
      <c r="L225" s="1">
        <v>121</v>
      </c>
      <c r="M225" s="1">
        <v>77.8</v>
      </c>
      <c r="N225" s="1">
        <v>39.783730400000003</v>
      </c>
      <c r="O225" s="1">
        <v>-100.445882</v>
      </c>
      <c r="P225" s="14">
        <f t="shared" si="26"/>
        <v>78.3</v>
      </c>
      <c r="Q225" s="13">
        <f t="shared" si="33"/>
        <v>51.501501501501501</v>
      </c>
      <c r="R225" s="16">
        <f t="shared" si="27"/>
        <v>73.099999999999994</v>
      </c>
      <c r="S225" s="14">
        <f t="shared" si="28"/>
        <v>0</v>
      </c>
      <c r="T225" s="13">
        <f t="shared" si="29"/>
        <v>75.8</v>
      </c>
      <c r="U225" s="14">
        <f t="shared" si="30"/>
        <v>82.1</v>
      </c>
      <c r="V225" s="14">
        <f t="shared" si="31"/>
        <v>88</v>
      </c>
      <c r="W225" s="1">
        <f t="shared" si="32"/>
        <v>77.7</v>
      </c>
      <c r="X225" s="1" t="str">
        <f>IF(Table1[[#This Row],[World Rank]]&lt;=250,"Q1-Elite",IF(Table1[[#This Row],[World Rank]]&lt;=500,"Q2-Strong",IF(Table1[[#This Row],[World Rank]]&lt;=750,"Q3-Developing","Q4-Emerging")))</f>
        <v>Q1-Elite</v>
      </c>
    </row>
    <row r="226" spans="1:24" x14ac:dyDescent="0.2">
      <c r="A226" s="1">
        <v>225</v>
      </c>
      <c r="B226" s="1" t="s">
        <v>268</v>
      </c>
      <c r="C226" s="1" t="s">
        <v>269</v>
      </c>
      <c r="D226" s="1" t="s">
        <v>1124</v>
      </c>
      <c r="E226" s="1">
        <v>1</v>
      </c>
      <c r="F226" s="1">
        <v>492</v>
      </c>
      <c r="G226" s="1">
        <v>310</v>
      </c>
      <c r="H226" s="1">
        <v>127</v>
      </c>
      <c r="I226" s="1">
        <v>315</v>
      </c>
      <c r="J226" s="1">
        <v>291</v>
      </c>
      <c r="K226" s="1">
        <v>276</v>
      </c>
      <c r="L226" s="1">
        <v>200</v>
      </c>
      <c r="M226" s="1">
        <v>77.8</v>
      </c>
      <c r="N226" s="1">
        <v>52.865195999999997</v>
      </c>
      <c r="O226" s="1">
        <v>-7.9794599000000002</v>
      </c>
      <c r="P226" s="14">
        <f t="shared" si="26"/>
        <v>71</v>
      </c>
      <c r="Q226" s="13">
        <f t="shared" si="33"/>
        <v>26.276276276276278</v>
      </c>
      <c r="R226" s="16">
        <f t="shared" si="27"/>
        <v>69.099999999999994</v>
      </c>
      <c r="S226" s="14">
        <f t="shared" si="28"/>
        <v>58.415841584158414</v>
      </c>
      <c r="T226" s="13">
        <f t="shared" si="29"/>
        <v>68.600000000000009</v>
      </c>
      <c r="U226" s="14">
        <f t="shared" si="30"/>
        <v>72.5</v>
      </c>
      <c r="V226" s="14">
        <f t="shared" si="31"/>
        <v>80.100000000000009</v>
      </c>
      <c r="W226" s="1">
        <f t="shared" si="32"/>
        <v>77.600000000000009</v>
      </c>
      <c r="X226" s="1" t="str">
        <f>IF(Table1[[#This Row],[World Rank]]&lt;=250,"Q1-Elite",IF(Table1[[#This Row],[World Rank]]&lt;=500,"Q2-Strong",IF(Table1[[#This Row],[World Rank]]&lt;=750,"Q3-Developing","Q4-Emerging")))</f>
        <v>Q1-Elite</v>
      </c>
    </row>
    <row r="227" spans="1:24" x14ac:dyDescent="0.2">
      <c r="A227" s="1">
        <v>226</v>
      </c>
      <c r="B227" s="1" t="s">
        <v>270</v>
      </c>
      <c r="C227" s="1" t="s">
        <v>28</v>
      </c>
      <c r="D227" s="1" t="s">
        <v>1125</v>
      </c>
      <c r="E227" s="1">
        <v>9</v>
      </c>
      <c r="F227" s="1">
        <v>508</v>
      </c>
      <c r="G227" s="1">
        <v>106</v>
      </c>
      <c r="H227" s="1">
        <v>304</v>
      </c>
      <c r="I227" s="1">
        <v>124</v>
      </c>
      <c r="J227" s="1">
        <v>176</v>
      </c>
      <c r="K227" s="1">
        <v>238</v>
      </c>
      <c r="L227" s="1">
        <v>363</v>
      </c>
      <c r="M227" s="1">
        <v>77.8</v>
      </c>
      <c r="N227" s="1">
        <v>36.5748441</v>
      </c>
      <c r="O227" s="1">
        <v>139.23941790000001</v>
      </c>
      <c r="P227" s="14">
        <f t="shared" si="26"/>
        <v>82.5</v>
      </c>
      <c r="Q227" s="13">
        <f t="shared" si="33"/>
        <v>23.873873873873876</v>
      </c>
      <c r="R227" s="16">
        <f t="shared" si="27"/>
        <v>89.5</v>
      </c>
      <c r="S227" s="14">
        <f t="shared" si="28"/>
        <v>0</v>
      </c>
      <c r="T227" s="13">
        <f t="shared" si="29"/>
        <v>87.7</v>
      </c>
      <c r="U227" s="14">
        <f t="shared" si="30"/>
        <v>76.3</v>
      </c>
      <c r="V227" s="14">
        <f t="shared" si="31"/>
        <v>63.800000000000004</v>
      </c>
      <c r="W227" s="1">
        <f t="shared" si="32"/>
        <v>77.5</v>
      </c>
      <c r="X227" s="1" t="str">
        <f>IF(Table1[[#This Row],[World Rank]]&lt;=250,"Q1-Elite",IF(Table1[[#This Row],[World Rank]]&lt;=500,"Q2-Strong",IF(Table1[[#This Row],[World Rank]]&lt;=750,"Q3-Developing","Q4-Emerging")))</f>
        <v>Q1-Elite</v>
      </c>
    </row>
    <row r="228" spans="1:24" x14ac:dyDescent="0.2">
      <c r="A228" s="1">
        <v>227</v>
      </c>
      <c r="B228" s="1" t="s">
        <v>271</v>
      </c>
      <c r="C228" s="1" t="s">
        <v>262</v>
      </c>
      <c r="D228" s="1" t="s">
        <v>1124</v>
      </c>
      <c r="E228" s="1">
        <v>2</v>
      </c>
      <c r="F228" s="1">
        <v>195</v>
      </c>
      <c r="G228" s="1">
        <v>655</v>
      </c>
      <c r="H228" s="1">
        <v>191</v>
      </c>
      <c r="I228" s="1">
        <v>179</v>
      </c>
      <c r="J228" s="1">
        <v>245</v>
      </c>
      <c r="K228" s="1">
        <v>323</v>
      </c>
      <c r="L228" s="1">
        <v>304</v>
      </c>
      <c r="M228" s="1">
        <v>77.8</v>
      </c>
      <c r="N228" s="1">
        <v>39.662164799999999</v>
      </c>
      <c r="O228" s="1">
        <v>-8.1353518999999999</v>
      </c>
      <c r="P228" s="14">
        <f t="shared" si="26"/>
        <v>75.599999999999994</v>
      </c>
      <c r="Q228" s="13">
        <f t="shared" si="33"/>
        <v>70.870870870870874</v>
      </c>
      <c r="R228" s="16">
        <f t="shared" si="27"/>
        <v>34.599999999999994</v>
      </c>
      <c r="S228" s="14">
        <f t="shared" si="28"/>
        <v>37.293729372937293</v>
      </c>
      <c r="T228" s="13">
        <f t="shared" si="29"/>
        <v>82.199999999999989</v>
      </c>
      <c r="U228" s="14">
        <f t="shared" si="30"/>
        <v>67.800000000000011</v>
      </c>
      <c r="V228" s="14">
        <f t="shared" si="31"/>
        <v>69.699999999999989</v>
      </c>
      <c r="W228" s="1">
        <f t="shared" si="32"/>
        <v>77.400000000000006</v>
      </c>
      <c r="X228" s="1" t="str">
        <f>IF(Table1[[#This Row],[World Rank]]&lt;=250,"Q1-Elite",IF(Table1[[#This Row],[World Rank]]&lt;=500,"Q2-Strong",IF(Table1[[#This Row],[World Rank]]&lt;=750,"Q3-Developing","Q4-Emerging")))</f>
        <v>Q1-Elite</v>
      </c>
    </row>
    <row r="229" spans="1:24" x14ac:dyDescent="0.2">
      <c r="A229" s="1">
        <v>228</v>
      </c>
      <c r="B229" s="1" t="s">
        <v>272</v>
      </c>
      <c r="C229" s="1" t="s">
        <v>269</v>
      </c>
      <c r="D229" s="1" t="s">
        <v>1124</v>
      </c>
      <c r="E229" s="1">
        <v>2</v>
      </c>
      <c r="F229" s="1">
        <v>524</v>
      </c>
      <c r="G229" s="1">
        <v>96</v>
      </c>
      <c r="H229" s="1">
        <v>283</v>
      </c>
      <c r="I229" s="1">
        <v>335</v>
      </c>
      <c r="J229" s="1">
        <v>300</v>
      </c>
      <c r="K229" s="1">
        <v>222</v>
      </c>
      <c r="L229" s="1">
        <v>129</v>
      </c>
      <c r="M229" s="1">
        <v>77.7</v>
      </c>
      <c r="N229" s="1">
        <v>52.865195999999997</v>
      </c>
      <c r="O229" s="1">
        <v>-7.9794599000000002</v>
      </c>
      <c r="P229" s="14">
        <f t="shared" si="26"/>
        <v>70.099999999999994</v>
      </c>
      <c r="Q229" s="13">
        <f t="shared" si="33"/>
        <v>21.471471471471471</v>
      </c>
      <c r="R229" s="16">
        <f t="shared" si="27"/>
        <v>90.5</v>
      </c>
      <c r="S229" s="14">
        <f t="shared" si="28"/>
        <v>6.9306930693069315</v>
      </c>
      <c r="T229" s="13">
        <f t="shared" si="29"/>
        <v>66.600000000000009</v>
      </c>
      <c r="U229" s="14">
        <f t="shared" si="30"/>
        <v>77.900000000000006</v>
      </c>
      <c r="V229" s="14">
        <f t="shared" si="31"/>
        <v>87.2</v>
      </c>
      <c r="W229" s="1">
        <f t="shared" si="32"/>
        <v>77.3</v>
      </c>
      <c r="X229" s="1" t="str">
        <f>IF(Table1[[#This Row],[World Rank]]&lt;=250,"Q1-Elite",IF(Table1[[#This Row],[World Rank]]&lt;=500,"Q2-Strong",IF(Table1[[#This Row],[World Rank]]&lt;=750,"Q3-Developing","Q4-Emerging")))</f>
        <v>Q1-Elite</v>
      </c>
    </row>
    <row r="230" spans="1:24" x14ac:dyDescent="0.2">
      <c r="A230" s="1">
        <v>229</v>
      </c>
      <c r="B230" s="1" t="s">
        <v>273</v>
      </c>
      <c r="C230" s="1" t="s">
        <v>81</v>
      </c>
      <c r="D230" s="1" t="s">
        <v>1121</v>
      </c>
      <c r="E230" s="1">
        <v>8</v>
      </c>
      <c r="F230" s="1">
        <v>444</v>
      </c>
      <c r="G230" s="1">
        <v>845</v>
      </c>
      <c r="H230" s="1">
        <v>304</v>
      </c>
      <c r="I230" s="1">
        <v>197</v>
      </c>
      <c r="J230" s="1">
        <v>199</v>
      </c>
      <c r="K230" s="1">
        <v>194</v>
      </c>
      <c r="L230" s="1">
        <v>187</v>
      </c>
      <c r="M230" s="1">
        <v>77.7</v>
      </c>
      <c r="N230" s="1">
        <v>-24.776108600000001</v>
      </c>
      <c r="O230" s="1">
        <v>134.755</v>
      </c>
      <c r="P230" s="14">
        <f t="shared" si="26"/>
        <v>80.2</v>
      </c>
      <c r="Q230" s="13">
        <f t="shared" si="33"/>
        <v>33.483483483483482</v>
      </c>
      <c r="R230" s="16">
        <f t="shared" si="27"/>
        <v>15.6</v>
      </c>
      <c r="S230" s="14">
        <f t="shared" si="28"/>
        <v>0</v>
      </c>
      <c r="T230" s="13">
        <f t="shared" si="29"/>
        <v>80.400000000000006</v>
      </c>
      <c r="U230" s="14">
        <f t="shared" si="30"/>
        <v>80.7</v>
      </c>
      <c r="V230" s="14">
        <f t="shared" si="31"/>
        <v>81.399999999999991</v>
      </c>
      <c r="W230" s="1">
        <f t="shared" si="32"/>
        <v>77.2</v>
      </c>
      <c r="X230" s="1" t="str">
        <f>IF(Table1[[#This Row],[World Rank]]&lt;=250,"Q1-Elite",IF(Table1[[#This Row],[World Rank]]&lt;=500,"Q2-Strong",IF(Table1[[#This Row],[World Rank]]&lt;=750,"Q3-Developing","Q4-Emerging")))</f>
        <v>Q1-Elite</v>
      </c>
    </row>
    <row r="231" spans="1:24" x14ac:dyDescent="0.2">
      <c r="A231" s="1">
        <v>230</v>
      </c>
      <c r="B231" s="1" t="s">
        <v>274</v>
      </c>
      <c r="C231" s="1" t="s">
        <v>266</v>
      </c>
      <c r="D231" s="1" t="s">
        <v>1122</v>
      </c>
      <c r="E231" s="1">
        <v>2</v>
      </c>
      <c r="F231" s="1">
        <v>133</v>
      </c>
      <c r="G231" s="1">
        <v>80</v>
      </c>
      <c r="H231" s="1">
        <v>216</v>
      </c>
      <c r="I231" s="1">
        <v>367</v>
      </c>
      <c r="J231" s="1">
        <v>377</v>
      </c>
      <c r="K231" s="1">
        <v>187</v>
      </c>
      <c r="L231" s="1">
        <v>304</v>
      </c>
      <c r="M231" s="1">
        <v>77.7</v>
      </c>
      <c r="N231" s="1">
        <v>-28.8166236</v>
      </c>
      <c r="O231" s="1">
        <v>24.991638999999999</v>
      </c>
      <c r="P231" s="14">
        <f t="shared" si="26"/>
        <v>62.4</v>
      </c>
      <c r="Q231" s="13">
        <f t="shared" si="33"/>
        <v>80.180180180180187</v>
      </c>
      <c r="R231" s="16">
        <f t="shared" si="27"/>
        <v>92.100000000000009</v>
      </c>
      <c r="S231" s="14">
        <f t="shared" si="28"/>
        <v>29.042904290429046</v>
      </c>
      <c r="T231" s="13">
        <f t="shared" si="29"/>
        <v>63.4</v>
      </c>
      <c r="U231" s="14">
        <f t="shared" si="30"/>
        <v>81.399999999999991</v>
      </c>
      <c r="V231" s="14">
        <f t="shared" si="31"/>
        <v>69.699999999999989</v>
      </c>
      <c r="W231" s="1">
        <f t="shared" si="32"/>
        <v>77.100000000000009</v>
      </c>
      <c r="X231" s="1" t="str">
        <f>IF(Table1[[#This Row],[World Rank]]&lt;=250,"Q1-Elite",IF(Table1[[#This Row],[World Rank]]&lt;=500,"Q2-Strong",IF(Table1[[#This Row],[World Rank]]&lt;=750,"Q3-Developing","Q4-Emerging")))</f>
        <v>Q1-Elite</v>
      </c>
    </row>
    <row r="232" spans="1:24" x14ac:dyDescent="0.2">
      <c r="A232" s="1">
        <v>231</v>
      </c>
      <c r="B232" s="1" t="s">
        <v>275</v>
      </c>
      <c r="C232" s="1" t="s">
        <v>34</v>
      </c>
      <c r="D232" s="1" t="s">
        <v>1120</v>
      </c>
      <c r="E232" s="1">
        <v>10</v>
      </c>
      <c r="F232" s="1">
        <v>301</v>
      </c>
      <c r="G232" s="1">
        <v>207</v>
      </c>
      <c r="H232" s="1">
        <v>194</v>
      </c>
      <c r="I232" s="1">
        <v>281</v>
      </c>
      <c r="J232" s="1">
        <v>272</v>
      </c>
      <c r="K232" s="1">
        <v>288</v>
      </c>
      <c r="L232" s="1">
        <v>275</v>
      </c>
      <c r="M232" s="1">
        <v>77.7</v>
      </c>
      <c r="N232" s="1">
        <v>61.066692199999999</v>
      </c>
      <c r="O232" s="1">
        <v>-107.99170700000001</v>
      </c>
      <c r="P232" s="14">
        <f t="shared" si="26"/>
        <v>72.899999999999991</v>
      </c>
      <c r="Q232" s="13">
        <f t="shared" si="33"/>
        <v>54.954954954954957</v>
      </c>
      <c r="R232" s="16">
        <f t="shared" si="27"/>
        <v>79.400000000000006</v>
      </c>
      <c r="S232" s="14">
        <f t="shared" si="28"/>
        <v>36.303630363036305</v>
      </c>
      <c r="T232" s="13">
        <f t="shared" si="29"/>
        <v>72</v>
      </c>
      <c r="U232" s="14">
        <f t="shared" si="30"/>
        <v>71.3</v>
      </c>
      <c r="V232" s="14">
        <f t="shared" si="31"/>
        <v>72.599999999999994</v>
      </c>
      <c r="W232" s="1">
        <f t="shared" si="32"/>
        <v>77</v>
      </c>
      <c r="X232" s="1" t="str">
        <f>IF(Table1[[#This Row],[World Rank]]&lt;=250,"Q1-Elite",IF(Table1[[#This Row],[World Rank]]&lt;=500,"Q2-Strong",IF(Table1[[#This Row],[World Rank]]&lt;=750,"Q3-Developing","Q4-Emerging")))</f>
        <v>Q1-Elite</v>
      </c>
    </row>
    <row r="233" spans="1:24" x14ac:dyDescent="0.2">
      <c r="A233" s="1">
        <v>232</v>
      </c>
      <c r="B233" s="1" t="s">
        <v>276</v>
      </c>
      <c r="C233" s="1" t="s">
        <v>68</v>
      </c>
      <c r="D233" s="1" t="s">
        <v>1124</v>
      </c>
      <c r="E233" s="1">
        <v>18</v>
      </c>
      <c r="F233" s="1">
        <v>652</v>
      </c>
      <c r="G233" s="1">
        <v>334</v>
      </c>
      <c r="H233" s="1">
        <v>244</v>
      </c>
      <c r="I233" s="1">
        <v>211</v>
      </c>
      <c r="J233" s="1">
        <v>209</v>
      </c>
      <c r="K233" s="1">
        <v>326</v>
      </c>
      <c r="L233" s="1">
        <v>275</v>
      </c>
      <c r="M233" s="1">
        <v>77.7</v>
      </c>
      <c r="N233" s="1">
        <v>40.420347900000003</v>
      </c>
      <c r="O233" s="1">
        <v>-79.116698299999996</v>
      </c>
      <c r="P233" s="14">
        <f t="shared" si="26"/>
        <v>79.2</v>
      </c>
      <c r="Q233" s="13">
        <v>20</v>
      </c>
      <c r="R233" s="16">
        <f t="shared" si="27"/>
        <v>66.7</v>
      </c>
      <c r="S233" s="14">
        <f t="shared" si="28"/>
        <v>19.801980198019802</v>
      </c>
      <c r="T233" s="13">
        <f t="shared" si="29"/>
        <v>79</v>
      </c>
      <c r="U233" s="14">
        <f t="shared" si="30"/>
        <v>67.5</v>
      </c>
      <c r="V233" s="14">
        <f t="shared" si="31"/>
        <v>72.599999999999994</v>
      </c>
      <c r="W233" s="1">
        <f t="shared" si="32"/>
        <v>76.900000000000006</v>
      </c>
      <c r="X233" s="1" t="str">
        <f>IF(Table1[[#This Row],[World Rank]]&lt;=250,"Q1-Elite",IF(Table1[[#This Row],[World Rank]]&lt;=500,"Q2-Strong",IF(Table1[[#This Row],[World Rank]]&lt;=750,"Q3-Developing","Q4-Emerging")))</f>
        <v>Q1-Elite</v>
      </c>
    </row>
    <row r="234" spans="1:24" x14ac:dyDescent="0.2">
      <c r="A234" s="1">
        <v>233</v>
      </c>
      <c r="B234" s="1" t="s">
        <v>277</v>
      </c>
      <c r="C234" s="1" t="s">
        <v>68</v>
      </c>
      <c r="D234" s="1" t="s">
        <v>1124</v>
      </c>
      <c r="E234" s="1">
        <v>19</v>
      </c>
      <c r="F234" s="1">
        <v>407</v>
      </c>
      <c r="G234" s="1">
        <v>911</v>
      </c>
      <c r="H234" s="1">
        <v>282</v>
      </c>
      <c r="I234" s="1">
        <v>269</v>
      </c>
      <c r="J234" s="1">
        <v>253</v>
      </c>
      <c r="K234" s="1">
        <v>172</v>
      </c>
      <c r="L234" s="1">
        <v>222</v>
      </c>
      <c r="M234" s="1">
        <v>77.599999999999994</v>
      </c>
      <c r="N234" s="1">
        <v>40.420347900000003</v>
      </c>
      <c r="O234" s="1">
        <v>-79.116698299999996</v>
      </c>
      <c r="P234" s="14">
        <f t="shared" si="26"/>
        <v>74.8</v>
      </c>
      <c r="Q234" s="13">
        <f>((667 - F234) / 666) * 100</f>
        <v>39.039039039039039</v>
      </c>
      <c r="R234" s="16">
        <f t="shared" si="27"/>
        <v>9</v>
      </c>
      <c r="S234" s="14">
        <f t="shared" si="28"/>
        <v>7.2607260726072615</v>
      </c>
      <c r="T234" s="13">
        <f t="shared" si="29"/>
        <v>73.2</v>
      </c>
      <c r="U234" s="14">
        <f t="shared" si="30"/>
        <v>82.899999999999991</v>
      </c>
      <c r="V234" s="14">
        <f t="shared" si="31"/>
        <v>77.900000000000006</v>
      </c>
      <c r="W234" s="1">
        <f t="shared" si="32"/>
        <v>76.8</v>
      </c>
      <c r="X234" s="1" t="str">
        <f>IF(Table1[[#This Row],[World Rank]]&lt;=250,"Q1-Elite",IF(Table1[[#This Row],[World Rank]]&lt;=500,"Q2-Strong",IF(Table1[[#This Row],[World Rank]]&lt;=750,"Q3-Developing","Q4-Emerging")))</f>
        <v>Q1-Elite</v>
      </c>
    </row>
    <row r="235" spans="1:24" x14ac:dyDescent="0.2">
      <c r="A235" s="1">
        <v>234</v>
      </c>
      <c r="B235" s="1" t="s">
        <v>278</v>
      </c>
      <c r="C235" s="1" t="s">
        <v>68</v>
      </c>
      <c r="D235" s="1" t="s">
        <v>1124</v>
      </c>
      <c r="E235" s="1">
        <v>20</v>
      </c>
      <c r="F235" s="1">
        <v>556</v>
      </c>
      <c r="G235" s="1">
        <v>1001</v>
      </c>
      <c r="H235" s="1">
        <v>279</v>
      </c>
      <c r="I235" s="1">
        <v>239</v>
      </c>
      <c r="J235" s="1">
        <v>213</v>
      </c>
      <c r="K235" s="1">
        <v>193</v>
      </c>
      <c r="L235" s="1">
        <v>254</v>
      </c>
      <c r="M235" s="1">
        <v>77.599999999999994</v>
      </c>
      <c r="N235" s="1">
        <v>40.420347900000003</v>
      </c>
      <c r="O235" s="1">
        <v>-79.116698299999996</v>
      </c>
      <c r="P235" s="14">
        <f t="shared" si="26"/>
        <v>78.8</v>
      </c>
      <c r="Q235" s="13">
        <v>20</v>
      </c>
      <c r="R235" s="16">
        <f t="shared" si="27"/>
        <v>0</v>
      </c>
      <c r="S235" s="14">
        <f t="shared" si="28"/>
        <v>8.2508250825082499</v>
      </c>
      <c r="T235" s="13">
        <f t="shared" si="29"/>
        <v>76.2</v>
      </c>
      <c r="U235" s="14">
        <f t="shared" si="30"/>
        <v>80.800000000000011</v>
      </c>
      <c r="V235" s="14">
        <f t="shared" si="31"/>
        <v>74.7</v>
      </c>
      <c r="W235" s="1">
        <f t="shared" si="32"/>
        <v>76.7</v>
      </c>
      <c r="X235" s="1" t="str">
        <f>IF(Table1[[#This Row],[World Rank]]&lt;=250,"Q1-Elite",IF(Table1[[#This Row],[World Rank]]&lt;=500,"Q2-Strong",IF(Table1[[#This Row],[World Rank]]&lt;=750,"Q3-Developing","Q4-Emerging")))</f>
        <v>Q1-Elite</v>
      </c>
    </row>
    <row r="236" spans="1:24" x14ac:dyDescent="0.2">
      <c r="A236" s="1">
        <v>235</v>
      </c>
      <c r="B236" s="1" t="s">
        <v>279</v>
      </c>
      <c r="C236" s="1" t="s">
        <v>15</v>
      </c>
      <c r="D236" s="1" t="s">
        <v>1120</v>
      </c>
      <c r="E236" s="1">
        <v>84</v>
      </c>
      <c r="F236" s="1">
        <v>667</v>
      </c>
      <c r="G236" s="1">
        <v>943</v>
      </c>
      <c r="H236" s="1">
        <v>304</v>
      </c>
      <c r="I236" s="1">
        <v>250</v>
      </c>
      <c r="J236" s="1">
        <v>204</v>
      </c>
      <c r="K236" s="1">
        <v>177</v>
      </c>
      <c r="L236" s="1">
        <v>222</v>
      </c>
      <c r="M236" s="1">
        <v>77.599999999999994</v>
      </c>
      <c r="N236" s="1">
        <v>39.783730400000003</v>
      </c>
      <c r="O236" s="1">
        <v>-100.445882</v>
      </c>
      <c r="P236" s="14">
        <f t="shared" si="26"/>
        <v>79.7</v>
      </c>
      <c r="Q236" s="13">
        <v>20</v>
      </c>
      <c r="R236" s="16">
        <f t="shared" si="27"/>
        <v>5.8000000000000007</v>
      </c>
      <c r="S236" s="14">
        <f t="shared" si="28"/>
        <v>0</v>
      </c>
      <c r="T236" s="13">
        <f t="shared" si="29"/>
        <v>75.099999999999994</v>
      </c>
      <c r="U236" s="14">
        <f t="shared" si="30"/>
        <v>82.399999999999991</v>
      </c>
      <c r="V236" s="14">
        <f t="shared" si="31"/>
        <v>77.900000000000006</v>
      </c>
      <c r="W236" s="1">
        <f t="shared" si="32"/>
        <v>76.599999999999994</v>
      </c>
      <c r="X236" s="1" t="str">
        <f>IF(Table1[[#This Row],[World Rank]]&lt;=250,"Q1-Elite",IF(Table1[[#This Row],[World Rank]]&lt;=500,"Q2-Strong",IF(Table1[[#This Row],[World Rank]]&lt;=750,"Q3-Developing","Q4-Emerging")))</f>
        <v>Q1-Elite</v>
      </c>
    </row>
    <row r="237" spans="1:24" x14ac:dyDescent="0.2">
      <c r="A237" s="1">
        <v>236</v>
      </c>
      <c r="B237" s="1" t="s">
        <v>280</v>
      </c>
      <c r="C237" s="1" t="s">
        <v>281</v>
      </c>
      <c r="D237" s="1" t="s">
        <v>1121</v>
      </c>
      <c r="E237" s="1">
        <v>1</v>
      </c>
      <c r="F237" s="1">
        <v>481</v>
      </c>
      <c r="G237" s="1">
        <v>468</v>
      </c>
      <c r="H237" s="1">
        <v>304</v>
      </c>
      <c r="I237" s="1">
        <v>235</v>
      </c>
      <c r="J237" s="1">
        <v>236</v>
      </c>
      <c r="K237" s="1">
        <v>250</v>
      </c>
      <c r="L237" s="1">
        <v>121</v>
      </c>
      <c r="M237" s="1">
        <v>77.599999999999994</v>
      </c>
      <c r="N237" s="1">
        <v>-41.500083099999998</v>
      </c>
      <c r="O237" s="1">
        <v>172.83440770000001</v>
      </c>
      <c r="P237" s="14">
        <f t="shared" si="26"/>
        <v>76.5</v>
      </c>
      <c r="Q237" s="13">
        <f>((667 - F237) / 666) * 100</f>
        <v>27.927927927927925</v>
      </c>
      <c r="R237" s="16">
        <f t="shared" si="27"/>
        <v>53.300000000000004</v>
      </c>
      <c r="S237" s="14">
        <f t="shared" si="28"/>
        <v>0</v>
      </c>
      <c r="T237" s="13">
        <f t="shared" si="29"/>
        <v>76.599999999999994</v>
      </c>
      <c r="U237" s="14">
        <f t="shared" si="30"/>
        <v>75.099999999999994</v>
      </c>
      <c r="V237" s="14">
        <f t="shared" si="31"/>
        <v>88</v>
      </c>
      <c r="W237" s="1">
        <f t="shared" si="32"/>
        <v>76.5</v>
      </c>
      <c r="X237" s="1" t="str">
        <f>IF(Table1[[#This Row],[World Rank]]&lt;=250,"Q1-Elite",IF(Table1[[#This Row],[World Rank]]&lt;=500,"Q2-Strong",IF(Table1[[#This Row],[World Rank]]&lt;=750,"Q3-Developing","Q4-Emerging")))</f>
        <v>Q1-Elite</v>
      </c>
    </row>
    <row r="238" spans="1:24" x14ac:dyDescent="0.2">
      <c r="A238" s="1">
        <v>237</v>
      </c>
      <c r="B238" s="1" t="s">
        <v>282</v>
      </c>
      <c r="C238" s="1" t="s">
        <v>85</v>
      </c>
      <c r="D238" s="1" t="s">
        <v>1125</v>
      </c>
      <c r="E238" s="1">
        <v>5</v>
      </c>
      <c r="F238" s="1">
        <v>667</v>
      </c>
      <c r="G238" s="1">
        <v>108</v>
      </c>
      <c r="H238" s="1">
        <v>304</v>
      </c>
      <c r="I238" s="1">
        <v>115</v>
      </c>
      <c r="J238" s="1">
        <v>159</v>
      </c>
      <c r="K238" s="1">
        <v>384</v>
      </c>
      <c r="L238" s="1">
        <v>363</v>
      </c>
      <c r="M238" s="1">
        <v>77.599999999999994</v>
      </c>
      <c r="N238" s="1">
        <v>36.638392000000003</v>
      </c>
      <c r="O238" s="1">
        <v>127.69611879999999</v>
      </c>
      <c r="P238" s="14">
        <f t="shared" si="26"/>
        <v>84.2</v>
      </c>
      <c r="Q238" s="13">
        <v>20</v>
      </c>
      <c r="R238" s="16">
        <f t="shared" si="27"/>
        <v>89.3</v>
      </c>
      <c r="S238" s="14">
        <f t="shared" si="28"/>
        <v>0</v>
      </c>
      <c r="T238" s="13">
        <f t="shared" si="29"/>
        <v>88.6</v>
      </c>
      <c r="U238" s="14">
        <f t="shared" si="30"/>
        <v>61.7</v>
      </c>
      <c r="V238" s="14">
        <f t="shared" si="31"/>
        <v>63.800000000000004</v>
      </c>
      <c r="W238" s="1">
        <f t="shared" si="32"/>
        <v>76.400000000000006</v>
      </c>
      <c r="X238" s="1" t="str">
        <f>IF(Table1[[#This Row],[World Rank]]&lt;=250,"Q1-Elite",IF(Table1[[#This Row],[World Rank]]&lt;=500,"Q2-Strong",IF(Table1[[#This Row],[World Rank]]&lt;=750,"Q3-Developing","Q4-Emerging")))</f>
        <v>Q1-Elite</v>
      </c>
    </row>
    <row r="239" spans="1:24" x14ac:dyDescent="0.2">
      <c r="A239" s="1">
        <v>238</v>
      </c>
      <c r="B239" s="1" t="s">
        <v>283</v>
      </c>
      <c r="C239" s="1" t="s">
        <v>28</v>
      </c>
      <c r="D239" s="1" t="s">
        <v>1125</v>
      </c>
      <c r="E239" s="1">
        <v>10</v>
      </c>
      <c r="F239" s="1">
        <v>398</v>
      </c>
      <c r="G239" s="1">
        <v>1001</v>
      </c>
      <c r="H239" s="1">
        <v>130</v>
      </c>
      <c r="I239" s="1">
        <v>259</v>
      </c>
      <c r="J239" s="1">
        <v>277</v>
      </c>
      <c r="K239" s="1">
        <v>266</v>
      </c>
      <c r="L239" s="1">
        <v>405</v>
      </c>
      <c r="M239" s="1">
        <v>77.5</v>
      </c>
      <c r="N239" s="1">
        <v>36.5748441</v>
      </c>
      <c r="O239" s="1">
        <v>139.23941790000001</v>
      </c>
      <c r="P239" s="14">
        <f t="shared" si="26"/>
        <v>72.399999999999991</v>
      </c>
      <c r="Q239" s="13">
        <f>((667 - F239) / 666) * 100</f>
        <v>40.390390390390394</v>
      </c>
      <c r="R239" s="16">
        <f t="shared" si="27"/>
        <v>0</v>
      </c>
      <c r="S239" s="14">
        <f t="shared" si="28"/>
        <v>57.42574257425742</v>
      </c>
      <c r="T239" s="13">
        <f t="shared" si="29"/>
        <v>74.2</v>
      </c>
      <c r="U239" s="14">
        <f t="shared" si="30"/>
        <v>73.5</v>
      </c>
      <c r="V239" s="14">
        <f t="shared" si="31"/>
        <v>59.599999999999994</v>
      </c>
      <c r="W239" s="1">
        <f t="shared" si="32"/>
        <v>76.3</v>
      </c>
      <c r="X239" s="1" t="str">
        <f>IF(Table1[[#This Row],[World Rank]]&lt;=250,"Q1-Elite",IF(Table1[[#This Row],[World Rank]]&lt;=500,"Q2-Strong",IF(Table1[[#This Row],[World Rank]]&lt;=750,"Q3-Developing","Q4-Emerging")))</f>
        <v>Q1-Elite</v>
      </c>
    </row>
    <row r="240" spans="1:24" x14ac:dyDescent="0.2">
      <c r="A240" s="1">
        <v>239</v>
      </c>
      <c r="B240" s="1" t="s">
        <v>284</v>
      </c>
      <c r="C240" s="1" t="s">
        <v>15</v>
      </c>
      <c r="D240" s="1" t="s">
        <v>1120</v>
      </c>
      <c r="E240" s="1">
        <v>85</v>
      </c>
      <c r="F240" s="1">
        <v>445</v>
      </c>
      <c r="G240" s="1">
        <v>73</v>
      </c>
      <c r="H240" s="1">
        <v>304</v>
      </c>
      <c r="I240" s="1">
        <v>366</v>
      </c>
      <c r="J240" s="1">
        <v>285</v>
      </c>
      <c r="K240" s="1">
        <v>231</v>
      </c>
      <c r="L240" s="1">
        <v>167</v>
      </c>
      <c r="M240" s="1">
        <v>77.5</v>
      </c>
      <c r="N240" s="1">
        <v>39.783730400000003</v>
      </c>
      <c r="O240" s="1">
        <v>-100.445882</v>
      </c>
      <c r="P240" s="14">
        <f t="shared" si="26"/>
        <v>71.599999999999994</v>
      </c>
      <c r="Q240" s="13">
        <f>((667 - F240) / 666) * 100</f>
        <v>33.333333333333329</v>
      </c>
      <c r="R240" s="16">
        <f t="shared" si="27"/>
        <v>92.800000000000011</v>
      </c>
      <c r="S240" s="14">
        <f t="shared" si="28"/>
        <v>0</v>
      </c>
      <c r="T240" s="13">
        <f t="shared" si="29"/>
        <v>63.5</v>
      </c>
      <c r="U240" s="14">
        <f t="shared" si="30"/>
        <v>77</v>
      </c>
      <c r="V240" s="14">
        <f t="shared" si="31"/>
        <v>83.399999999999991</v>
      </c>
      <c r="W240" s="1">
        <f t="shared" si="32"/>
        <v>76.2</v>
      </c>
      <c r="X240" s="1" t="str">
        <f>IF(Table1[[#This Row],[World Rank]]&lt;=250,"Q1-Elite",IF(Table1[[#This Row],[World Rank]]&lt;=500,"Q2-Strong",IF(Table1[[#This Row],[World Rank]]&lt;=750,"Q3-Developing","Q4-Emerging")))</f>
        <v>Q1-Elite</v>
      </c>
    </row>
    <row r="241" spans="1:24" x14ac:dyDescent="0.2">
      <c r="A241" s="1">
        <v>240</v>
      </c>
      <c r="B241" s="1" t="s">
        <v>285</v>
      </c>
      <c r="C241" s="1" t="s">
        <v>68</v>
      </c>
      <c r="D241" s="1" t="s">
        <v>1124</v>
      </c>
      <c r="E241" s="1">
        <v>21</v>
      </c>
      <c r="F241" s="1">
        <v>667</v>
      </c>
      <c r="G241" s="1">
        <v>825</v>
      </c>
      <c r="H241" s="1">
        <v>174</v>
      </c>
      <c r="I241" s="1">
        <v>329</v>
      </c>
      <c r="J241" s="1">
        <v>301</v>
      </c>
      <c r="K241" s="1">
        <v>199</v>
      </c>
      <c r="L241" s="1">
        <v>363</v>
      </c>
      <c r="M241" s="1">
        <v>77.5</v>
      </c>
      <c r="N241" s="1">
        <v>40.420347900000003</v>
      </c>
      <c r="O241" s="1">
        <v>-79.116698299999996</v>
      </c>
      <c r="P241" s="14">
        <f t="shared" si="26"/>
        <v>70</v>
      </c>
      <c r="Q241" s="13">
        <v>20</v>
      </c>
      <c r="R241" s="16">
        <f t="shared" si="27"/>
        <v>17.599999999999998</v>
      </c>
      <c r="S241" s="14">
        <f t="shared" si="28"/>
        <v>42.904290429042902</v>
      </c>
      <c r="T241" s="13">
        <f t="shared" si="29"/>
        <v>67.2</v>
      </c>
      <c r="U241" s="14">
        <f t="shared" si="30"/>
        <v>80.2</v>
      </c>
      <c r="V241" s="14">
        <f t="shared" si="31"/>
        <v>63.800000000000004</v>
      </c>
      <c r="W241" s="1">
        <f t="shared" si="32"/>
        <v>76.099999999999994</v>
      </c>
      <c r="X241" s="1" t="str">
        <f>IF(Table1[[#This Row],[World Rank]]&lt;=250,"Q1-Elite",IF(Table1[[#This Row],[World Rank]]&lt;=500,"Q2-Strong",IF(Table1[[#This Row],[World Rank]]&lt;=750,"Q3-Developing","Q4-Emerging")))</f>
        <v>Q1-Elite</v>
      </c>
    </row>
    <row r="242" spans="1:24" x14ac:dyDescent="0.2">
      <c r="A242" s="1">
        <v>241</v>
      </c>
      <c r="B242" s="1" t="s">
        <v>286</v>
      </c>
      <c r="C242" s="1" t="s">
        <v>81</v>
      </c>
      <c r="D242" s="1" t="s">
        <v>1121</v>
      </c>
      <c r="E242" s="1">
        <v>9</v>
      </c>
      <c r="F242" s="1">
        <v>667</v>
      </c>
      <c r="G242" s="1">
        <v>1001</v>
      </c>
      <c r="H242" s="1">
        <v>304</v>
      </c>
      <c r="I242" s="1">
        <v>159</v>
      </c>
      <c r="J242" s="1">
        <v>183</v>
      </c>
      <c r="K242" s="1">
        <v>201</v>
      </c>
      <c r="L242" s="1">
        <v>327</v>
      </c>
      <c r="M242" s="1">
        <v>77.5</v>
      </c>
      <c r="N242" s="1">
        <v>-24.776108600000001</v>
      </c>
      <c r="O242" s="1">
        <v>134.755</v>
      </c>
      <c r="P242" s="14">
        <f t="shared" si="26"/>
        <v>81.8</v>
      </c>
      <c r="Q242" s="13">
        <v>20</v>
      </c>
      <c r="R242" s="16">
        <f t="shared" si="27"/>
        <v>0</v>
      </c>
      <c r="S242" s="14">
        <f t="shared" si="28"/>
        <v>0</v>
      </c>
      <c r="T242" s="13">
        <f t="shared" si="29"/>
        <v>84.2</v>
      </c>
      <c r="U242" s="14">
        <f t="shared" si="30"/>
        <v>80</v>
      </c>
      <c r="V242" s="14">
        <f t="shared" si="31"/>
        <v>67.400000000000006</v>
      </c>
      <c r="W242" s="1">
        <f t="shared" si="32"/>
        <v>76</v>
      </c>
      <c r="X242" s="1" t="str">
        <f>IF(Table1[[#This Row],[World Rank]]&lt;=250,"Q1-Elite",IF(Table1[[#This Row],[World Rank]]&lt;=500,"Q2-Strong",IF(Table1[[#This Row],[World Rank]]&lt;=750,"Q3-Developing","Q4-Emerging")))</f>
        <v>Q1-Elite</v>
      </c>
    </row>
    <row r="243" spans="1:24" x14ac:dyDescent="0.2">
      <c r="A243" s="1">
        <v>242</v>
      </c>
      <c r="B243" s="1" t="s">
        <v>287</v>
      </c>
      <c r="C243" s="1" t="s">
        <v>48</v>
      </c>
      <c r="D243" s="1" t="s">
        <v>1124</v>
      </c>
      <c r="E243" s="1">
        <v>13</v>
      </c>
      <c r="F243" s="1">
        <v>541</v>
      </c>
      <c r="G243" s="1">
        <v>1001</v>
      </c>
      <c r="H243" s="1">
        <v>304</v>
      </c>
      <c r="I243" s="1">
        <v>174</v>
      </c>
      <c r="J243" s="1">
        <v>195</v>
      </c>
      <c r="K243" s="1">
        <v>246</v>
      </c>
      <c r="L243" s="1">
        <v>240</v>
      </c>
      <c r="M243" s="1">
        <v>77.5</v>
      </c>
      <c r="N243" s="1">
        <v>46.603354000000003</v>
      </c>
      <c r="O243" s="1">
        <v>1.8883335000000001</v>
      </c>
      <c r="P243" s="14">
        <f t="shared" si="26"/>
        <v>80.600000000000009</v>
      </c>
      <c r="Q243" s="13">
        <v>20</v>
      </c>
      <c r="R243" s="16">
        <f t="shared" si="27"/>
        <v>0</v>
      </c>
      <c r="S243" s="14">
        <f t="shared" si="28"/>
        <v>0</v>
      </c>
      <c r="T243" s="13">
        <f t="shared" si="29"/>
        <v>82.699999999999989</v>
      </c>
      <c r="U243" s="14">
        <f t="shared" si="30"/>
        <v>75.5</v>
      </c>
      <c r="V243" s="14">
        <f t="shared" si="31"/>
        <v>76.099999999999994</v>
      </c>
      <c r="W243" s="1">
        <f t="shared" si="32"/>
        <v>75.900000000000006</v>
      </c>
      <c r="X243" s="1" t="str">
        <f>IF(Table1[[#This Row],[World Rank]]&lt;=250,"Q1-Elite",IF(Table1[[#This Row],[World Rank]]&lt;=500,"Q2-Strong",IF(Table1[[#This Row],[World Rank]]&lt;=750,"Q3-Developing","Q4-Emerging")))</f>
        <v>Q1-Elite</v>
      </c>
    </row>
    <row r="244" spans="1:24" x14ac:dyDescent="0.2">
      <c r="A244" s="1">
        <v>243</v>
      </c>
      <c r="B244" s="1" t="s">
        <v>288</v>
      </c>
      <c r="C244" s="1" t="s">
        <v>19</v>
      </c>
      <c r="D244" s="1" t="s">
        <v>1124</v>
      </c>
      <c r="E244" s="1">
        <v>22</v>
      </c>
      <c r="F244" s="1">
        <v>587</v>
      </c>
      <c r="G244" s="1">
        <v>649</v>
      </c>
      <c r="H244" s="1">
        <v>219</v>
      </c>
      <c r="I244" s="1">
        <v>348</v>
      </c>
      <c r="J244" s="1">
        <v>293</v>
      </c>
      <c r="K244" s="1">
        <v>210</v>
      </c>
      <c r="L244" s="1">
        <v>254</v>
      </c>
      <c r="M244" s="1">
        <v>77.400000000000006</v>
      </c>
      <c r="N244" s="1">
        <v>54.702354499999998</v>
      </c>
      <c r="O244" s="1">
        <v>-3.2765753000000002</v>
      </c>
      <c r="P244" s="14">
        <f t="shared" si="26"/>
        <v>70.8</v>
      </c>
      <c r="Q244" s="13">
        <v>20</v>
      </c>
      <c r="R244" s="16">
        <f t="shared" si="27"/>
        <v>35.199999999999996</v>
      </c>
      <c r="S244" s="14">
        <f t="shared" si="28"/>
        <v>28.052805280528055</v>
      </c>
      <c r="T244" s="13">
        <f t="shared" si="29"/>
        <v>65.3</v>
      </c>
      <c r="U244" s="14">
        <f t="shared" si="30"/>
        <v>79.100000000000009</v>
      </c>
      <c r="V244" s="14">
        <f t="shared" si="31"/>
        <v>74.7</v>
      </c>
      <c r="W244" s="1">
        <f t="shared" si="32"/>
        <v>75.8</v>
      </c>
      <c r="X244" s="1" t="str">
        <f>IF(Table1[[#This Row],[World Rank]]&lt;=250,"Q1-Elite",IF(Table1[[#This Row],[World Rank]]&lt;=500,"Q2-Strong",IF(Table1[[#This Row],[World Rank]]&lt;=750,"Q3-Developing","Q4-Emerging")))</f>
        <v>Q1-Elite</v>
      </c>
    </row>
    <row r="245" spans="1:24" x14ac:dyDescent="0.2">
      <c r="A245" s="1">
        <v>244</v>
      </c>
      <c r="B245" s="1" t="s">
        <v>289</v>
      </c>
      <c r="C245" s="1" t="s">
        <v>15</v>
      </c>
      <c r="D245" s="1" t="s">
        <v>1120</v>
      </c>
      <c r="E245" s="1">
        <v>86</v>
      </c>
      <c r="F245" s="1">
        <v>307</v>
      </c>
      <c r="G245" s="1">
        <v>1001</v>
      </c>
      <c r="H245" s="1">
        <v>254</v>
      </c>
      <c r="I245" s="1">
        <v>282</v>
      </c>
      <c r="J245" s="1">
        <v>256</v>
      </c>
      <c r="K245" s="1">
        <v>216</v>
      </c>
      <c r="L245" s="1">
        <v>304</v>
      </c>
      <c r="M245" s="1">
        <v>77.400000000000006</v>
      </c>
      <c r="N245" s="1">
        <v>39.783730400000003</v>
      </c>
      <c r="O245" s="1">
        <v>-100.445882</v>
      </c>
      <c r="P245" s="14">
        <f t="shared" si="26"/>
        <v>74.5</v>
      </c>
      <c r="Q245" s="13">
        <f>((667 - F245) / 666) * 100</f>
        <v>54.054054054054056</v>
      </c>
      <c r="R245" s="16">
        <f t="shared" si="27"/>
        <v>0</v>
      </c>
      <c r="S245" s="14">
        <f t="shared" si="28"/>
        <v>16.5016501650165</v>
      </c>
      <c r="T245" s="13">
        <f t="shared" si="29"/>
        <v>71.899999999999991</v>
      </c>
      <c r="U245" s="14">
        <f t="shared" si="30"/>
        <v>78.5</v>
      </c>
      <c r="V245" s="14">
        <f t="shared" si="31"/>
        <v>69.699999999999989</v>
      </c>
      <c r="W245" s="1">
        <f t="shared" si="32"/>
        <v>75.7</v>
      </c>
      <c r="X245" s="1" t="str">
        <f>IF(Table1[[#This Row],[World Rank]]&lt;=250,"Q1-Elite",IF(Table1[[#This Row],[World Rank]]&lt;=500,"Q2-Strong",IF(Table1[[#This Row],[World Rank]]&lt;=750,"Q3-Developing","Q4-Emerging")))</f>
        <v>Q1-Elite</v>
      </c>
    </row>
    <row r="246" spans="1:24" x14ac:dyDescent="0.2">
      <c r="A246" s="1">
        <v>245</v>
      </c>
      <c r="B246" s="1" t="s">
        <v>290</v>
      </c>
      <c r="C246" s="1" t="s">
        <v>15</v>
      </c>
      <c r="D246" s="1" t="s">
        <v>1120</v>
      </c>
      <c r="E246" s="1">
        <v>87</v>
      </c>
      <c r="F246" s="1">
        <v>477</v>
      </c>
      <c r="G246" s="1">
        <v>1001</v>
      </c>
      <c r="H246" s="1">
        <v>304</v>
      </c>
      <c r="I246" s="1">
        <v>328</v>
      </c>
      <c r="J246" s="1">
        <v>240</v>
      </c>
      <c r="K246" s="1">
        <v>149</v>
      </c>
      <c r="L246" s="1">
        <v>200</v>
      </c>
      <c r="M246" s="1">
        <v>77.400000000000006</v>
      </c>
      <c r="N246" s="1">
        <v>39.783730400000003</v>
      </c>
      <c r="O246" s="1">
        <v>-100.445882</v>
      </c>
      <c r="P246" s="14">
        <f t="shared" si="26"/>
        <v>76.099999999999994</v>
      </c>
      <c r="Q246" s="13">
        <f>((667 - F246) / 666) * 100</f>
        <v>28.528528528528529</v>
      </c>
      <c r="R246" s="16">
        <f t="shared" si="27"/>
        <v>0</v>
      </c>
      <c r="S246" s="14">
        <f t="shared" si="28"/>
        <v>0</v>
      </c>
      <c r="T246" s="13">
        <f t="shared" si="29"/>
        <v>67.300000000000011</v>
      </c>
      <c r="U246" s="14">
        <f t="shared" si="30"/>
        <v>85.2</v>
      </c>
      <c r="V246" s="14">
        <f t="shared" si="31"/>
        <v>80.100000000000009</v>
      </c>
      <c r="W246" s="1">
        <f t="shared" si="32"/>
        <v>75.599999999999994</v>
      </c>
      <c r="X246" s="1" t="str">
        <f>IF(Table1[[#This Row],[World Rank]]&lt;=250,"Q1-Elite",IF(Table1[[#This Row],[World Rank]]&lt;=500,"Q2-Strong",IF(Table1[[#This Row],[World Rank]]&lt;=750,"Q3-Developing","Q4-Emerging")))</f>
        <v>Q1-Elite</v>
      </c>
    </row>
    <row r="247" spans="1:24" x14ac:dyDescent="0.2">
      <c r="A247" s="1">
        <v>246</v>
      </c>
      <c r="B247" s="1" t="s">
        <v>291</v>
      </c>
      <c r="C247" s="1" t="s">
        <v>15</v>
      </c>
      <c r="D247" s="1" t="s">
        <v>1120</v>
      </c>
      <c r="E247" s="1">
        <v>88</v>
      </c>
      <c r="F247" s="1">
        <v>667</v>
      </c>
      <c r="G247" s="1">
        <v>1001</v>
      </c>
      <c r="H247" s="1">
        <v>189</v>
      </c>
      <c r="I247" s="1">
        <v>330</v>
      </c>
      <c r="J247" s="1">
        <v>278</v>
      </c>
      <c r="K247" s="1">
        <v>251</v>
      </c>
      <c r="L247" s="1">
        <v>304</v>
      </c>
      <c r="M247" s="1">
        <v>77.400000000000006</v>
      </c>
      <c r="N247" s="1">
        <v>39.783730400000003</v>
      </c>
      <c r="O247" s="1">
        <v>-100.445882</v>
      </c>
      <c r="P247" s="14">
        <f t="shared" si="26"/>
        <v>72.3</v>
      </c>
      <c r="Q247" s="13">
        <v>20</v>
      </c>
      <c r="R247" s="16">
        <f t="shared" si="27"/>
        <v>0</v>
      </c>
      <c r="S247" s="14">
        <f t="shared" si="28"/>
        <v>37.953795379537951</v>
      </c>
      <c r="T247" s="13">
        <f t="shared" si="29"/>
        <v>67.100000000000009</v>
      </c>
      <c r="U247" s="14">
        <f t="shared" si="30"/>
        <v>75</v>
      </c>
      <c r="V247" s="14">
        <f t="shared" si="31"/>
        <v>69.699999999999989</v>
      </c>
      <c r="W247" s="1">
        <f t="shared" si="32"/>
        <v>75.5</v>
      </c>
      <c r="X247" s="1" t="str">
        <f>IF(Table1[[#This Row],[World Rank]]&lt;=250,"Q1-Elite",IF(Table1[[#This Row],[World Rank]]&lt;=500,"Q2-Strong",IF(Table1[[#This Row],[World Rank]]&lt;=750,"Q3-Developing","Q4-Emerging")))</f>
        <v>Q1-Elite</v>
      </c>
    </row>
    <row r="248" spans="1:24" x14ac:dyDescent="0.2">
      <c r="A248" s="1">
        <v>247</v>
      </c>
      <c r="B248" s="1" t="s">
        <v>292</v>
      </c>
      <c r="C248" s="1" t="s">
        <v>93</v>
      </c>
      <c r="D248" s="1" t="s">
        <v>1124</v>
      </c>
      <c r="E248" s="1">
        <v>7</v>
      </c>
      <c r="F248" s="1">
        <v>616</v>
      </c>
      <c r="G248" s="1">
        <v>949</v>
      </c>
      <c r="H248" s="1">
        <v>304</v>
      </c>
      <c r="I248" s="1">
        <v>149</v>
      </c>
      <c r="J248" s="1">
        <v>177</v>
      </c>
      <c r="K248" s="1">
        <v>338</v>
      </c>
      <c r="L248" s="1">
        <v>200</v>
      </c>
      <c r="M248" s="1">
        <v>77.400000000000006</v>
      </c>
      <c r="N248" s="1">
        <v>42.638426099999997</v>
      </c>
      <c r="O248" s="1">
        <v>12.674296999999999</v>
      </c>
      <c r="P248" s="14">
        <f t="shared" si="26"/>
        <v>82.399999999999991</v>
      </c>
      <c r="Q248" s="13">
        <v>20</v>
      </c>
      <c r="R248" s="16">
        <f t="shared" si="27"/>
        <v>5.2</v>
      </c>
      <c r="S248" s="14">
        <f t="shared" si="28"/>
        <v>0</v>
      </c>
      <c r="T248" s="13">
        <f t="shared" si="29"/>
        <v>85.2</v>
      </c>
      <c r="U248" s="14">
        <f t="shared" si="30"/>
        <v>66.3</v>
      </c>
      <c r="V248" s="14">
        <f t="shared" si="31"/>
        <v>80.100000000000009</v>
      </c>
      <c r="W248" s="1">
        <f t="shared" si="32"/>
        <v>75.400000000000006</v>
      </c>
      <c r="X248" s="1" t="str">
        <f>IF(Table1[[#This Row],[World Rank]]&lt;=250,"Q1-Elite",IF(Table1[[#This Row],[World Rank]]&lt;=500,"Q2-Strong",IF(Table1[[#This Row],[World Rank]]&lt;=750,"Q3-Developing","Q4-Emerging")))</f>
        <v>Q1-Elite</v>
      </c>
    </row>
    <row r="249" spans="1:24" x14ac:dyDescent="0.2">
      <c r="A249" s="1">
        <v>248</v>
      </c>
      <c r="B249" s="1" t="s">
        <v>293</v>
      </c>
      <c r="C249" s="1" t="s">
        <v>15</v>
      </c>
      <c r="D249" s="1" t="s">
        <v>1120</v>
      </c>
      <c r="E249" s="1">
        <v>89</v>
      </c>
      <c r="F249" s="1">
        <v>475</v>
      </c>
      <c r="G249" s="1">
        <v>645</v>
      </c>
      <c r="H249" s="1">
        <v>304</v>
      </c>
      <c r="I249" s="1">
        <v>275</v>
      </c>
      <c r="J249" s="1">
        <v>235</v>
      </c>
      <c r="K249" s="1">
        <v>232</v>
      </c>
      <c r="L249" s="1">
        <v>139</v>
      </c>
      <c r="M249" s="1">
        <v>77.3</v>
      </c>
      <c r="N249" s="1">
        <v>39.783730400000003</v>
      </c>
      <c r="O249" s="1">
        <v>-100.445882</v>
      </c>
      <c r="P249" s="14">
        <f t="shared" si="26"/>
        <v>76.599999999999994</v>
      </c>
      <c r="Q249" s="13">
        <f>((667 - F249) / 666) * 100</f>
        <v>28.828828828828829</v>
      </c>
      <c r="R249" s="16">
        <f t="shared" si="27"/>
        <v>35.6</v>
      </c>
      <c r="S249" s="14">
        <f t="shared" si="28"/>
        <v>0</v>
      </c>
      <c r="T249" s="13">
        <f t="shared" si="29"/>
        <v>72.599999999999994</v>
      </c>
      <c r="U249" s="14">
        <f t="shared" si="30"/>
        <v>76.900000000000006</v>
      </c>
      <c r="V249" s="14">
        <f t="shared" si="31"/>
        <v>86.2</v>
      </c>
      <c r="W249" s="1">
        <f t="shared" si="32"/>
        <v>75.3</v>
      </c>
      <c r="X249" s="1" t="str">
        <f>IF(Table1[[#This Row],[World Rank]]&lt;=250,"Q1-Elite",IF(Table1[[#This Row],[World Rank]]&lt;=500,"Q2-Strong",IF(Table1[[#This Row],[World Rank]]&lt;=750,"Q3-Developing","Q4-Emerging")))</f>
        <v>Q1-Elite</v>
      </c>
    </row>
    <row r="250" spans="1:24" x14ac:dyDescent="0.2">
      <c r="A250" s="1">
        <v>249</v>
      </c>
      <c r="B250" s="1" t="s">
        <v>294</v>
      </c>
      <c r="C250" s="1" t="s">
        <v>99</v>
      </c>
      <c r="D250" s="1" t="s">
        <v>1124</v>
      </c>
      <c r="E250" s="1">
        <v>9</v>
      </c>
      <c r="F250" s="1">
        <v>667</v>
      </c>
      <c r="G250" s="1">
        <v>1001</v>
      </c>
      <c r="H250" s="1">
        <v>304</v>
      </c>
      <c r="I250" s="1">
        <v>223</v>
      </c>
      <c r="J250" s="1">
        <v>169</v>
      </c>
      <c r="K250" s="1">
        <v>293</v>
      </c>
      <c r="L250" s="1">
        <v>187</v>
      </c>
      <c r="M250" s="1">
        <v>77.3</v>
      </c>
      <c r="N250" s="1">
        <v>52.243497900000001</v>
      </c>
      <c r="O250" s="1">
        <v>5.6343227000000002</v>
      </c>
      <c r="P250" s="14">
        <f t="shared" si="26"/>
        <v>83.2</v>
      </c>
      <c r="Q250" s="13">
        <v>20</v>
      </c>
      <c r="R250" s="16">
        <f t="shared" si="27"/>
        <v>0</v>
      </c>
      <c r="S250" s="14">
        <f t="shared" si="28"/>
        <v>0</v>
      </c>
      <c r="T250" s="13">
        <f t="shared" si="29"/>
        <v>77.8</v>
      </c>
      <c r="U250" s="14">
        <f t="shared" si="30"/>
        <v>70.8</v>
      </c>
      <c r="V250" s="14">
        <f t="shared" si="31"/>
        <v>81.399999999999991</v>
      </c>
      <c r="W250" s="1">
        <f t="shared" si="32"/>
        <v>75.2</v>
      </c>
      <c r="X250" s="1" t="str">
        <f>IF(Table1[[#This Row],[World Rank]]&lt;=250,"Q1-Elite",IF(Table1[[#This Row],[World Rank]]&lt;=500,"Q2-Strong",IF(Table1[[#This Row],[World Rank]]&lt;=750,"Q3-Developing","Q4-Emerging")))</f>
        <v>Q1-Elite</v>
      </c>
    </row>
    <row r="251" spans="1:24" x14ac:dyDescent="0.2">
      <c r="A251" s="1">
        <v>250</v>
      </c>
      <c r="B251" s="1" t="s">
        <v>295</v>
      </c>
      <c r="C251" s="1" t="s">
        <v>15</v>
      </c>
      <c r="D251" s="1" t="s">
        <v>1120</v>
      </c>
      <c r="E251" s="1">
        <v>90</v>
      </c>
      <c r="F251" s="1">
        <v>20</v>
      </c>
      <c r="G251" s="1">
        <v>251</v>
      </c>
      <c r="H251" s="1">
        <v>66</v>
      </c>
      <c r="I251" s="1">
        <v>948</v>
      </c>
      <c r="J251" s="1">
        <v>636</v>
      </c>
      <c r="K251" s="1">
        <v>217</v>
      </c>
      <c r="L251" s="1">
        <v>405</v>
      </c>
      <c r="M251" s="1">
        <v>77.3</v>
      </c>
      <c r="N251" s="1">
        <v>39.783730400000003</v>
      </c>
      <c r="O251" s="1">
        <v>-100.445882</v>
      </c>
      <c r="P251" s="14">
        <f t="shared" si="26"/>
        <v>36.5</v>
      </c>
      <c r="Q251" s="13">
        <f>((667 - F251) / 666) * 100</f>
        <v>97.147147147147152</v>
      </c>
      <c r="R251" s="16">
        <f t="shared" si="27"/>
        <v>75</v>
      </c>
      <c r="S251" s="14">
        <f t="shared" si="28"/>
        <v>78.547854785478549</v>
      </c>
      <c r="T251" s="13">
        <f t="shared" si="29"/>
        <v>5.3</v>
      </c>
      <c r="U251" s="14">
        <f t="shared" si="30"/>
        <v>78.400000000000006</v>
      </c>
      <c r="V251" s="14">
        <f t="shared" si="31"/>
        <v>59.599999999999994</v>
      </c>
      <c r="W251" s="1">
        <f t="shared" si="32"/>
        <v>75.099999999999994</v>
      </c>
      <c r="X251" s="1" t="str">
        <f>IF(Table1[[#This Row],[World Rank]]&lt;=250,"Q1-Elite",IF(Table1[[#This Row],[World Rank]]&lt;=500,"Q2-Strong",IF(Table1[[#This Row],[World Rank]]&lt;=750,"Q3-Developing","Q4-Emerging")))</f>
        <v>Q1-Elite</v>
      </c>
    </row>
    <row r="252" spans="1:24" x14ac:dyDescent="0.2">
      <c r="A252" s="1">
        <v>251</v>
      </c>
      <c r="B252" s="1" t="s">
        <v>296</v>
      </c>
      <c r="C252" s="1" t="s">
        <v>15</v>
      </c>
      <c r="D252" s="1" t="s">
        <v>1120</v>
      </c>
      <c r="E252" s="1">
        <v>91</v>
      </c>
      <c r="F252" s="1">
        <v>328</v>
      </c>
      <c r="G252" s="1">
        <v>519</v>
      </c>
      <c r="H252" s="1">
        <v>304</v>
      </c>
      <c r="I252" s="1">
        <v>294</v>
      </c>
      <c r="J252" s="1">
        <v>267</v>
      </c>
      <c r="K252" s="1">
        <v>173</v>
      </c>
      <c r="L252" s="1">
        <v>187</v>
      </c>
      <c r="M252" s="1">
        <v>77.3</v>
      </c>
      <c r="N252" s="1">
        <v>39.783730400000003</v>
      </c>
      <c r="O252" s="1">
        <v>-100.445882</v>
      </c>
      <c r="P252" s="14">
        <f t="shared" si="26"/>
        <v>73.400000000000006</v>
      </c>
      <c r="Q252" s="13">
        <f>((667 - F252) / 666) * 100</f>
        <v>50.900900900900901</v>
      </c>
      <c r="R252" s="16">
        <f t="shared" si="27"/>
        <v>48.199999999999996</v>
      </c>
      <c r="S252" s="14">
        <f t="shared" si="28"/>
        <v>0</v>
      </c>
      <c r="T252" s="13">
        <f t="shared" si="29"/>
        <v>70.7</v>
      </c>
      <c r="U252" s="14">
        <f t="shared" si="30"/>
        <v>82.8</v>
      </c>
      <c r="V252" s="14">
        <f t="shared" si="31"/>
        <v>81.399999999999991</v>
      </c>
      <c r="W252" s="1">
        <f t="shared" si="32"/>
        <v>75</v>
      </c>
      <c r="X252" s="1" t="str">
        <f>IF(Table1[[#This Row],[World Rank]]&lt;=250,"Q1-Elite",IF(Table1[[#This Row],[World Rank]]&lt;=500,"Q2-Strong",IF(Table1[[#This Row],[World Rank]]&lt;=750,"Q3-Developing","Q4-Emerging")))</f>
        <v>Q2-Strong</v>
      </c>
    </row>
    <row r="253" spans="1:24" x14ac:dyDescent="0.2">
      <c r="A253" s="1">
        <v>252</v>
      </c>
      <c r="B253" s="1" t="s">
        <v>297</v>
      </c>
      <c r="C253" s="1" t="s">
        <v>103</v>
      </c>
      <c r="D253" s="1" t="s">
        <v>1124</v>
      </c>
      <c r="E253" s="1">
        <v>2</v>
      </c>
      <c r="F253" s="1">
        <v>667</v>
      </c>
      <c r="G253" s="1">
        <v>1001</v>
      </c>
      <c r="H253" s="1">
        <v>304</v>
      </c>
      <c r="I253" s="1">
        <v>264</v>
      </c>
      <c r="J253" s="1">
        <v>241</v>
      </c>
      <c r="K253" s="1">
        <v>181</v>
      </c>
      <c r="L253" s="1">
        <v>222</v>
      </c>
      <c r="M253" s="1">
        <v>77.3</v>
      </c>
      <c r="N253" s="1">
        <v>64.573153700000006</v>
      </c>
      <c r="O253" s="2" t="s">
        <v>104</v>
      </c>
      <c r="P253" s="14">
        <f t="shared" si="26"/>
        <v>76</v>
      </c>
      <c r="Q253" s="13">
        <v>20</v>
      </c>
      <c r="R253" s="16">
        <f t="shared" si="27"/>
        <v>0</v>
      </c>
      <c r="S253" s="14">
        <f t="shared" si="28"/>
        <v>0</v>
      </c>
      <c r="T253" s="13">
        <f t="shared" si="29"/>
        <v>73.7</v>
      </c>
      <c r="U253" s="14">
        <f t="shared" si="30"/>
        <v>82</v>
      </c>
      <c r="V253" s="14">
        <f t="shared" si="31"/>
        <v>77.900000000000006</v>
      </c>
      <c r="W253" s="1">
        <f t="shared" si="32"/>
        <v>74.900000000000006</v>
      </c>
      <c r="X253" s="1" t="str">
        <f>IF(Table1[[#This Row],[World Rank]]&lt;=250,"Q1-Elite",IF(Table1[[#This Row],[World Rank]]&lt;=500,"Q2-Strong",IF(Table1[[#This Row],[World Rank]]&lt;=750,"Q3-Developing","Q4-Emerging")))</f>
        <v>Q2-Strong</v>
      </c>
    </row>
    <row r="254" spans="1:24" x14ac:dyDescent="0.2">
      <c r="A254" s="1">
        <v>253</v>
      </c>
      <c r="B254" s="1" t="s">
        <v>298</v>
      </c>
      <c r="C254" s="1" t="s">
        <v>15</v>
      </c>
      <c r="D254" s="1" t="s">
        <v>1120</v>
      </c>
      <c r="E254" s="1">
        <v>92</v>
      </c>
      <c r="F254" s="1">
        <v>667</v>
      </c>
      <c r="G254" s="1">
        <v>263</v>
      </c>
      <c r="H254" s="1">
        <v>304</v>
      </c>
      <c r="I254" s="1">
        <v>266</v>
      </c>
      <c r="J254" s="1">
        <v>234</v>
      </c>
      <c r="K254" s="1">
        <v>267</v>
      </c>
      <c r="L254" s="1">
        <v>163</v>
      </c>
      <c r="M254" s="1">
        <v>77.2</v>
      </c>
      <c r="N254" s="1">
        <v>39.783730400000003</v>
      </c>
      <c r="O254" s="1">
        <v>-100.445882</v>
      </c>
      <c r="P254" s="14">
        <f t="shared" si="26"/>
        <v>76.7</v>
      </c>
      <c r="Q254" s="13">
        <v>20</v>
      </c>
      <c r="R254" s="16">
        <f t="shared" si="27"/>
        <v>73.8</v>
      </c>
      <c r="S254" s="14">
        <f t="shared" si="28"/>
        <v>0</v>
      </c>
      <c r="T254" s="13">
        <f t="shared" si="29"/>
        <v>73.5</v>
      </c>
      <c r="U254" s="14">
        <f t="shared" si="30"/>
        <v>73.400000000000006</v>
      </c>
      <c r="V254" s="14">
        <f t="shared" si="31"/>
        <v>83.8</v>
      </c>
      <c r="W254" s="1">
        <f t="shared" si="32"/>
        <v>74.8</v>
      </c>
      <c r="X254" s="1" t="str">
        <f>IF(Table1[[#This Row],[World Rank]]&lt;=250,"Q1-Elite",IF(Table1[[#This Row],[World Rank]]&lt;=500,"Q2-Strong",IF(Table1[[#This Row],[World Rank]]&lt;=750,"Q3-Developing","Q4-Emerging")))</f>
        <v>Q2-Strong</v>
      </c>
    </row>
    <row r="255" spans="1:24" x14ac:dyDescent="0.2">
      <c r="A255" s="1">
        <v>254</v>
      </c>
      <c r="B255" s="1" t="s">
        <v>299</v>
      </c>
      <c r="C255" s="1" t="s">
        <v>15</v>
      </c>
      <c r="D255" s="1" t="s">
        <v>1120</v>
      </c>
      <c r="E255" s="1">
        <v>93</v>
      </c>
      <c r="F255" s="1">
        <v>585</v>
      </c>
      <c r="G255" s="1">
        <v>288</v>
      </c>
      <c r="H255" s="1">
        <v>304</v>
      </c>
      <c r="I255" s="1">
        <v>231</v>
      </c>
      <c r="J255" s="1">
        <v>224</v>
      </c>
      <c r="K255" s="1">
        <v>233</v>
      </c>
      <c r="L255" s="1">
        <v>240</v>
      </c>
      <c r="M255" s="1">
        <v>77.2</v>
      </c>
      <c r="N255" s="1">
        <v>39.783730400000003</v>
      </c>
      <c r="O255" s="1">
        <v>-100.445882</v>
      </c>
      <c r="P255" s="14">
        <f t="shared" si="26"/>
        <v>77.7</v>
      </c>
      <c r="Q255" s="13">
        <v>20</v>
      </c>
      <c r="R255" s="16">
        <f t="shared" si="27"/>
        <v>71.3</v>
      </c>
      <c r="S255" s="14">
        <f t="shared" si="28"/>
        <v>0</v>
      </c>
      <c r="T255" s="13">
        <f t="shared" si="29"/>
        <v>77</v>
      </c>
      <c r="U255" s="14">
        <f t="shared" si="30"/>
        <v>76.8</v>
      </c>
      <c r="V255" s="14">
        <f t="shared" si="31"/>
        <v>76.099999999999994</v>
      </c>
      <c r="W255" s="1">
        <f t="shared" si="32"/>
        <v>74.7</v>
      </c>
      <c r="X255" s="1" t="str">
        <f>IF(Table1[[#This Row],[World Rank]]&lt;=250,"Q1-Elite",IF(Table1[[#This Row],[World Rank]]&lt;=500,"Q2-Strong",IF(Table1[[#This Row],[World Rank]]&lt;=750,"Q3-Developing","Q4-Emerging")))</f>
        <v>Q2-Strong</v>
      </c>
    </row>
    <row r="256" spans="1:24" x14ac:dyDescent="0.2">
      <c r="A256" s="1">
        <v>255</v>
      </c>
      <c r="B256" s="1" t="s">
        <v>300</v>
      </c>
      <c r="C256" s="1" t="s">
        <v>72</v>
      </c>
      <c r="D256" s="1" t="s">
        <v>1124</v>
      </c>
      <c r="E256" s="1">
        <v>7</v>
      </c>
      <c r="F256" s="1">
        <v>667</v>
      </c>
      <c r="G256" s="1">
        <v>1001</v>
      </c>
      <c r="H256" s="1">
        <v>238</v>
      </c>
      <c r="I256" s="1">
        <v>336</v>
      </c>
      <c r="J256" s="1">
        <v>281</v>
      </c>
      <c r="K256" s="1">
        <v>207</v>
      </c>
      <c r="L256" s="1">
        <v>275</v>
      </c>
      <c r="M256" s="1">
        <v>77.2</v>
      </c>
      <c r="N256" s="1">
        <v>44.133434999999999</v>
      </c>
      <c r="O256" s="1">
        <v>-70.822677999999996</v>
      </c>
      <c r="P256" s="14">
        <f t="shared" si="26"/>
        <v>72</v>
      </c>
      <c r="Q256" s="13">
        <v>20</v>
      </c>
      <c r="R256" s="16">
        <f t="shared" si="27"/>
        <v>0</v>
      </c>
      <c r="S256" s="14">
        <f t="shared" si="28"/>
        <v>21.782178217821784</v>
      </c>
      <c r="T256" s="13">
        <f t="shared" si="29"/>
        <v>66.5</v>
      </c>
      <c r="U256" s="14">
        <f t="shared" si="30"/>
        <v>79.400000000000006</v>
      </c>
      <c r="V256" s="14">
        <f t="shared" si="31"/>
        <v>72.599999999999994</v>
      </c>
      <c r="W256" s="1">
        <f t="shared" si="32"/>
        <v>74.599999999999994</v>
      </c>
      <c r="X256" s="1" t="str">
        <f>IF(Table1[[#This Row],[World Rank]]&lt;=250,"Q1-Elite",IF(Table1[[#This Row],[World Rank]]&lt;=500,"Q2-Strong",IF(Table1[[#This Row],[World Rank]]&lt;=750,"Q3-Developing","Q4-Emerging")))</f>
        <v>Q2-Strong</v>
      </c>
    </row>
    <row r="257" spans="1:24" x14ac:dyDescent="0.2">
      <c r="A257" s="1">
        <v>256</v>
      </c>
      <c r="B257" s="1" t="s">
        <v>301</v>
      </c>
      <c r="C257" s="1" t="s">
        <v>19</v>
      </c>
      <c r="D257" s="1" t="s">
        <v>1124</v>
      </c>
      <c r="E257" s="1">
        <v>23</v>
      </c>
      <c r="F257" s="1">
        <v>667</v>
      </c>
      <c r="G257" s="1">
        <v>1001</v>
      </c>
      <c r="H257" s="1">
        <v>304</v>
      </c>
      <c r="I257" s="1">
        <v>392</v>
      </c>
      <c r="J257" s="1">
        <v>257</v>
      </c>
      <c r="K257" s="1">
        <v>151</v>
      </c>
      <c r="L257" s="1">
        <v>174</v>
      </c>
      <c r="M257" s="1">
        <v>77.2</v>
      </c>
      <c r="N257" s="1">
        <v>54.702354499999998</v>
      </c>
      <c r="O257" s="1">
        <v>-3.2765753000000002</v>
      </c>
      <c r="P257" s="14">
        <f t="shared" si="26"/>
        <v>74.400000000000006</v>
      </c>
      <c r="Q257" s="13">
        <v>20</v>
      </c>
      <c r="R257" s="16">
        <f t="shared" si="27"/>
        <v>0</v>
      </c>
      <c r="S257" s="14">
        <f t="shared" si="28"/>
        <v>0</v>
      </c>
      <c r="T257" s="13">
        <f t="shared" si="29"/>
        <v>60.9</v>
      </c>
      <c r="U257" s="14">
        <f t="shared" si="30"/>
        <v>85</v>
      </c>
      <c r="V257" s="14">
        <f t="shared" si="31"/>
        <v>82.699999999999989</v>
      </c>
      <c r="W257" s="1">
        <f t="shared" si="32"/>
        <v>74.5</v>
      </c>
      <c r="X257" s="1" t="str">
        <f>IF(Table1[[#This Row],[World Rank]]&lt;=250,"Q1-Elite",IF(Table1[[#This Row],[World Rank]]&lt;=500,"Q2-Strong",IF(Table1[[#This Row],[World Rank]]&lt;=750,"Q3-Developing","Q4-Emerging")))</f>
        <v>Q2-Strong</v>
      </c>
    </row>
    <row r="258" spans="1:24" x14ac:dyDescent="0.2">
      <c r="A258" s="1">
        <v>257</v>
      </c>
      <c r="B258" s="1" t="s">
        <v>302</v>
      </c>
      <c r="C258" s="1" t="s">
        <v>15</v>
      </c>
      <c r="D258" s="1" t="s">
        <v>1120</v>
      </c>
      <c r="E258" s="1">
        <v>94</v>
      </c>
      <c r="F258" s="1">
        <v>667</v>
      </c>
      <c r="G258" s="1">
        <v>1001</v>
      </c>
      <c r="H258" s="1">
        <v>304</v>
      </c>
      <c r="I258" s="1">
        <v>304</v>
      </c>
      <c r="J258" s="1">
        <v>251</v>
      </c>
      <c r="K258" s="1">
        <v>174</v>
      </c>
      <c r="L258" s="1">
        <v>200</v>
      </c>
      <c r="M258" s="1">
        <v>77.2</v>
      </c>
      <c r="N258" s="1">
        <v>39.783730400000003</v>
      </c>
      <c r="O258" s="1">
        <v>-100.445882</v>
      </c>
      <c r="P258" s="14">
        <f t="shared" ref="P258:P321" si="34">((1001 - J258) / 1000) * 100</f>
        <v>75</v>
      </c>
      <c r="Q258" s="13">
        <v>20</v>
      </c>
      <c r="R258" s="16">
        <f t="shared" ref="R258:R321" si="35">(1001 - G258) / 1000 * 100</f>
        <v>0</v>
      </c>
      <c r="S258" s="14">
        <f t="shared" ref="S258:S321" si="36">(304 - H258) / 303 * 100</f>
        <v>0</v>
      </c>
      <c r="T258" s="13">
        <f t="shared" ref="T258:T321" si="37">(1001 - I258) / 1000 * 100</f>
        <v>69.699999999999989</v>
      </c>
      <c r="U258" s="14">
        <f t="shared" ref="U258:U321" si="38">(1001 - K258) / 1000 * 100</f>
        <v>82.699999999999989</v>
      </c>
      <c r="V258" s="14">
        <f t="shared" ref="V258:V321" si="39">(1001 - L258) / 1000 * 100</f>
        <v>80.100000000000009</v>
      </c>
      <c r="W258" s="1">
        <f t="shared" ref="W258:W321" si="40">(1001 - A258) / 1000 * 100</f>
        <v>74.400000000000006</v>
      </c>
      <c r="X258" s="1" t="str">
        <f>IF(Table1[[#This Row],[World Rank]]&lt;=250,"Q1-Elite",IF(Table1[[#This Row],[World Rank]]&lt;=500,"Q2-Strong",IF(Table1[[#This Row],[World Rank]]&lt;=750,"Q3-Developing","Q4-Emerging")))</f>
        <v>Q2-Strong</v>
      </c>
    </row>
    <row r="259" spans="1:24" x14ac:dyDescent="0.2">
      <c r="A259" s="1">
        <v>258</v>
      </c>
      <c r="B259" s="1" t="s">
        <v>303</v>
      </c>
      <c r="C259" s="1" t="s">
        <v>304</v>
      </c>
      <c r="D259" s="1" t="s">
        <v>1120</v>
      </c>
      <c r="E259" s="1">
        <v>1</v>
      </c>
      <c r="F259" s="1">
        <v>491</v>
      </c>
      <c r="G259" s="1">
        <v>1001</v>
      </c>
      <c r="H259" s="1">
        <v>304</v>
      </c>
      <c r="I259" s="1">
        <v>105</v>
      </c>
      <c r="J259" s="1">
        <v>219</v>
      </c>
      <c r="K259" s="1">
        <v>249</v>
      </c>
      <c r="L259" s="1">
        <v>405</v>
      </c>
      <c r="M259" s="1">
        <v>77.2</v>
      </c>
      <c r="N259" s="1">
        <v>19.432629599999999</v>
      </c>
      <c r="O259" s="1">
        <v>-99.1331785</v>
      </c>
      <c r="P259" s="14">
        <f t="shared" si="34"/>
        <v>78.2</v>
      </c>
      <c r="Q259" s="13">
        <f>((667 - F259) / 666) * 100</f>
        <v>26.426426426426424</v>
      </c>
      <c r="R259" s="16">
        <f t="shared" si="35"/>
        <v>0</v>
      </c>
      <c r="S259" s="14">
        <f t="shared" si="36"/>
        <v>0</v>
      </c>
      <c r="T259" s="13">
        <f t="shared" si="37"/>
        <v>89.600000000000009</v>
      </c>
      <c r="U259" s="14">
        <f t="shared" si="38"/>
        <v>75.2</v>
      </c>
      <c r="V259" s="14">
        <f t="shared" si="39"/>
        <v>59.599999999999994</v>
      </c>
      <c r="W259" s="1">
        <f t="shared" si="40"/>
        <v>74.3</v>
      </c>
      <c r="X259" s="1" t="str">
        <f>IF(Table1[[#This Row],[World Rank]]&lt;=250,"Q1-Elite",IF(Table1[[#This Row],[World Rank]]&lt;=500,"Q2-Strong",IF(Table1[[#This Row],[World Rank]]&lt;=750,"Q3-Developing","Q4-Emerging")))</f>
        <v>Q2-Strong</v>
      </c>
    </row>
    <row r="260" spans="1:24" x14ac:dyDescent="0.2">
      <c r="A260" s="1">
        <v>259</v>
      </c>
      <c r="B260" s="1" t="s">
        <v>305</v>
      </c>
      <c r="C260" s="1" t="s">
        <v>15</v>
      </c>
      <c r="D260" s="1" t="s">
        <v>1120</v>
      </c>
      <c r="E260" s="1">
        <v>95</v>
      </c>
      <c r="F260" s="1">
        <v>611</v>
      </c>
      <c r="G260" s="1">
        <v>535</v>
      </c>
      <c r="H260" s="1">
        <v>304</v>
      </c>
      <c r="I260" s="1">
        <v>227</v>
      </c>
      <c r="J260" s="1">
        <v>216</v>
      </c>
      <c r="K260" s="1">
        <v>275</v>
      </c>
      <c r="L260" s="1">
        <v>200</v>
      </c>
      <c r="M260" s="1">
        <v>77.099999999999994</v>
      </c>
      <c r="N260" s="1">
        <v>39.783730400000003</v>
      </c>
      <c r="O260" s="1">
        <v>-100.445882</v>
      </c>
      <c r="P260" s="14">
        <f t="shared" si="34"/>
        <v>78.5</v>
      </c>
      <c r="Q260" s="13">
        <v>20</v>
      </c>
      <c r="R260" s="16">
        <f t="shared" si="35"/>
        <v>46.6</v>
      </c>
      <c r="S260" s="14">
        <f t="shared" si="36"/>
        <v>0</v>
      </c>
      <c r="T260" s="13">
        <f t="shared" si="37"/>
        <v>77.400000000000006</v>
      </c>
      <c r="U260" s="14">
        <f t="shared" si="38"/>
        <v>72.599999999999994</v>
      </c>
      <c r="V260" s="14">
        <f t="shared" si="39"/>
        <v>80.100000000000009</v>
      </c>
      <c r="W260" s="1">
        <f t="shared" si="40"/>
        <v>74.2</v>
      </c>
      <c r="X260" s="1" t="str">
        <f>IF(Table1[[#This Row],[World Rank]]&lt;=250,"Q1-Elite",IF(Table1[[#This Row],[World Rank]]&lt;=500,"Q2-Strong",IF(Table1[[#This Row],[World Rank]]&lt;=750,"Q3-Developing","Q4-Emerging")))</f>
        <v>Q2-Strong</v>
      </c>
    </row>
    <row r="261" spans="1:24" x14ac:dyDescent="0.2">
      <c r="A261" s="1">
        <v>260</v>
      </c>
      <c r="B261" s="1" t="s">
        <v>306</v>
      </c>
      <c r="C261" s="1" t="s">
        <v>307</v>
      </c>
      <c r="D261" s="1" t="s">
        <v>1124</v>
      </c>
      <c r="E261" s="1">
        <v>1</v>
      </c>
      <c r="F261" s="1">
        <v>150</v>
      </c>
      <c r="G261" s="1">
        <v>1001</v>
      </c>
      <c r="H261" s="1">
        <v>96</v>
      </c>
      <c r="I261" s="1">
        <v>380</v>
      </c>
      <c r="J261" s="1">
        <v>415</v>
      </c>
      <c r="K261" s="1">
        <v>360</v>
      </c>
      <c r="L261" s="1">
        <v>275</v>
      </c>
      <c r="M261" s="1">
        <v>77.099999999999994</v>
      </c>
      <c r="N261" s="1">
        <v>52.215933</v>
      </c>
      <c r="O261" s="1">
        <v>19.134422000000001</v>
      </c>
      <c r="P261" s="14">
        <f t="shared" si="34"/>
        <v>58.599999999999994</v>
      </c>
      <c r="Q261" s="13">
        <f>((667 - F261) / 666) * 100</f>
        <v>77.627627627627632</v>
      </c>
      <c r="R261" s="16">
        <f t="shared" si="35"/>
        <v>0</v>
      </c>
      <c r="S261" s="14">
        <f t="shared" si="36"/>
        <v>68.646864686468646</v>
      </c>
      <c r="T261" s="13">
        <f t="shared" si="37"/>
        <v>62.1</v>
      </c>
      <c r="U261" s="14">
        <f t="shared" si="38"/>
        <v>64.099999999999994</v>
      </c>
      <c r="V261" s="14">
        <f t="shared" si="39"/>
        <v>72.599999999999994</v>
      </c>
      <c r="W261" s="1">
        <f t="shared" si="40"/>
        <v>74.099999999999994</v>
      </c>
      <c r="X261" s="1" t="str">
        <f>IF(Table1[[#This Row],[World Rank]]&lt;=250,"Q1-Elite",IF(Table1[[#This Row],[World Rank]]&lt;=500,"Q2-Strong",IF(Table1[[#This Row],[World Rank]]&lt;=750,"Q3-Developing","Q4-Emerging")))</f>
        <v>Q2-Strong</v>
      </c>
    </row>
    <row r="262" spans="1:24" x14ac:dyDescent="0.2">
      <c r="A262" s="1">
        <v>261</v>
      </c>
      <c r="B262" s="1" t="s">
        <v>308</v>
      </c>
      <c r="C262" s="1" t="s">
        <v>34</v>
      </c>
      <c r="D262" s="1" t="s">
        <v>1120</v>
      </c>
      <c r="E262" s="1">
        <v>11</v>
      </c>
      <c r="F262" s="1">
        <v>588</v>
      </c>
      <c r="G262" s="1">
        <v>378</v>
      </c>
      <c r="H262" s="1">
        <v>141</v>
      </c>
      <c r="I262" s="1">
        <v>320</v>
      </c>
      <c r="J262" s="1">
        <v>287</v>
      </c>
      <c r="K262" s="1">
        <v>316</v>
      </c>
      <c r="L262" s="1">
        <v>363</v>
      </c>
      <c r="M262" s="1">
        <v>77.099999999999994</v>
      </c>
      <c r="N262" s="1">
        <v>61.066692199999999</v>
      </c>
      <c r="O262" s="1">
        <v>-107.99170700000001</v>
      </c>
      <c r="P262" s="14">
        <f t="shared" si="34"/>
        <v>71.399999999999991</v>
      </c>
      <c r="Q262" s="13">
        <v>20</v>
      </c>
      <c r="R262" s="16">
        <f t="shared" si="35"/>
        <v>62.3</v>
      </c>
      <c r="S262" s="14">
        <f t="shared" si="36"/>
        <v>53.795379537953792</v>
      </c>
      <c r="T262" s="13">
        <f t="shared" si="37"/>
        <v>68.100000000000009</v>
      </c>
      <c r="U262" s="14">
        <f t="shared" si="38"/>
        <v>68.5</v>
      </c>
      <c r="V262" s="14">
        <f t="shared" si="39"/>
        <v>63.800000000000004</v>
      </c>
      <c r="W262" s="1">
        <f t="shared" si="40"/>
        <v>74</v>
      </c>
      <c r="X262" s="1" t="str">
        <f>IF(Table1[[#This Row],[World Rank]]&lt;=250,"Q1-Elite",IF(Table1[[#This Row],[World Rank]]&lt;=500,"Q2-Strong",IF(Table1[[#This Row],[World Rank]]&lt;=750,"Q3-Developing","Q4-Emerging")))</f>
        <v>Q2-Strong</v>
      </c>
    </row>
    <row r="263" spans="1:24" x14ac:dyDescent="0.2">
      <c r="A263" s="1">
        <v>262</v>
      </c>
      <c r="B263" s="1" t="s">
        <v>309</v>
      </c>
      <c r="C263" s="1" t="s">
        <v>15</v>
      </c>
      <c r="D263" s="1" t="s">
        <v>1120</v>
      </c>
      <c r="E263" s="1">
        <v>96</v>
      </c>
      <c r="F263" s="1">
        <v>667</v>
      </c>
      <c r="G263" s="1">
        <v>724</v>
      </c>
      <c r="H263" s="1">
        <v>304</v>
      </c>
      <c r="I263" s="1">
        <v>256</v>
      </c>
      <c r="J263" s="1">
        <v>248</v>
      </c>
      <c r="K263" s="1">
        <v>256</v>
      </c>
      <c r="L263" s="1">
        <v>174</v>
      </c>
      <c r="M263" s="1">
        <v>77.099999999999994</v>
      </c>
      <c r="N263" s="1">
        <v>39.783730400000003</v>
      </c>
      <c r="O263" s="1">
        <v>-100.445882</v>
      </c>
      <c r="P263" s="14">
        <f t="shared" si="34"/>
        <v>75.3</v>
      </c>
      <c r="Q263" s="13">
        <v>20</v>
      </c>
      <c r="R263" s="16">
        <f t="shared" si="35"/>
        <v>27.700000000000003</v>
      </c>
      <c r="S263" s="14">
        <f t="shared" si="36"/>
        <v>0</v>
      </c>
      <c r="T263" s="13">
        <f t="shared" si="37"/>
        <v>74.5</v>
      </c>
      <c r="U263" s="14">
        <f t="shared" si="38"/>
        <v>74.5</v>
      </c>
      <c r="V263" s="14">
        <f t="shared" si="39"/>
        <v>82.699999999999989</v>
      </c>
      <c r="W263" s="1">
        <f t="shared" si="40"/>
        <v>73.900000000000006</v>
      </c>
      <c r="X263" s="1" t="str">
        <f>IF(Table1[[#This Row],[World Rank]]&lt;=250,"Q1-Elite",IF(Table1[[#This Row],[World Rank]]&lt;=500,"Q2-Strong",IF(Table1[[#This Row],[World Rank]]&lt;=750,"Q3-Developing","Q4-Emerging")))</f>
        <v>Q2-Strong</v>
      </c>
    </row>
    <row r="264" spans="1:24" x14ac:dyDescent="0.2">
      <c r="A264" s="1">
        <v>263</v>
      </c>
      <c r="B264" s="1" t="s">
        <v>310</v>
      </c>
      <c r="C264" s="1" t="s">
        <v>103</v>
      </c>
      <c r="D264" s="1" t="s">
        <v>1124</v>
      </c>
      <c r="E264" s="1">
        <v>3</v>
      </c>
      <c r="F264" s="1">
        <v>523</v>
      </c>
      <c r="G264" s="1">
        <v>397</v>
      </c>
      <c r="H264" s="1">
        <v>88</v>
      </c>
      <c r="I264" s="1">
        <v>339</v>
      </c>
      <c r="J264" s="1">
        <v>349</v>
      </c>
      <c r="K264" s="1">
        <v>463</v>
      </c>
      <c r="L264" s="1">
        <v>327</v>
      </c>
      <c r="M264" s="1">
        <v>77.099999999999994</v>
      </c>
      <c r="N264" s="1">
        <v>64.573153700000006</v>
      </c>
      <c r="O264" s="2" t="s">
        <v>104</v>
      </c>
      <c r="P264" s="14">
        <f t="shared" si="34"/>
        <v>65.2</v>
      </c>
      <c r="Q264" s="13">
        <f>((667 - F264) / 666) * 100</f>
        <v>21.621621621621621</v>
      </c>
      <c r="R264" s="16">
        <f t="shared" si="35"/>
        <v>60.4</v>
      </c>
      <c r="S264" s="14">
        <f t="shared" si="36"/>
        <v>71.287128712871279</v>
      </c>
      <c r="T264" s="13">
        <f t="shared" si="37"/>
        <v>66.2</v>
      </c>
      <c r="U264" s="14">
        <f t="shared" si="38"/>
        <v>53.800000000000004</v>
      </c>
      <c r="V264" s="14">
        <f t="shared" si="39"/>
        <v>67.400000000000006</v>
      </c>
      <c r="W264" s="1">
        <f t="shared" si="40"/>
        <v>73.8</v>
      </c>
      <c r="X264" s="1" t="str">
        <f>IF(Table1[[#This Row],[World Rank]]&lt;=250,"Q1-Elite",IF(Table1[[#This Row],[World Rank]]&lt;=500,"Q2-Strong",IF(Table1[[#This Row],[World Rank]]&lt;=750,"Q3-Developing","Q4-Emerging")))</f>
        <v>Q2-Strong</v>
      </c>
    </row>
    <row r="265" spans="1:24" x14ac:dyDescent="0.2">
      <c r="A265" s="1">
        <v>264</v>
      </c>
      <c r="B265" s="1" t="s">
        <v>311</v>
      </c>
      <c r="C265" s="1" t="s">
        <v>118</v>
      </c>
      <c r="D265" s="1" t="s">
        <v>1124</v>
      </c>
      <c r="E265" s="1">
        <v>3</v>
      </c>
      <c r="F265" s="1">
        <v>193</v>
      </c>
      <c r="G265" s="1">
        <v>131</v>
      </c>
      <c r="H265" s="1">
        <v>300</v>
      </c>
      <c r="I265" s="1">
        <v>178</v>
      </c>
      <c r="J265" s="1">
        <v>214</v>
      </c>
      <c r="K265" s="1">
        <v>321</v>
      </c>
      <c r="L265" s="1">
        <v>363</v>
      </c>
      <c r="M265" s="1">
        <v>77</v>
      </c>
      <c r="N265" s="1">
        <v>39.326068499999998</v>
      </c>
      <c r="O265" s="1">
        <v>-4.8379791000000001</v>
      </c>
      <c r="P265" s="14">
        <f t="shared" si="34"/>
        <v>78.7</v>
      </c>
      <c r="Q265" s="13">
        <f>((667 - F265) / 666) * 100</f>
        <v>71.171171171171167</v>
      </c>
      <c r="R265" s="16">
        <f t="shared" si="35"/>
        <v>87</v>
      </c>
      <c r="S265" s="14">
        <f t="shared" si="36"/>
        <v>1.3201320132013201</v>
      </c>
      <c r="T265" s="13">
        <f t="shared" si="37"/>
        <v>82.3</v>
      </c>
      <c r="U265" s="14">
        <f t="shared" si="38"/>
        <v>68</v>
      </c>
      <c r="V265" s="14">
        <f t="shared" si="39"/>
        <v>63.800000000000004</v>
      </c>
      <c r="W265" s="1">
        <f t="shared" si="40"/>
        <v>73.7</v>
      </c>
      <c r="X265" s="1" t="str">
        <f>IF(Table1[[#This Row],[World Rank]]&lt;=250,"Q1-Elite",IF(Table1[[#This Row],[World Rank]]&lt;=500,"Q2-Strong",IF(Table1[[#This Row],[World Rank]]&lt;=750,"Q3-Developing","Q4-Emerging")))</f>
        <v>Q2-Strong</v>
      </c>
    </row>
    <row r="266" spans="1:24" x14ac:dyDescent="0.2">
      <c r="A266" s="1">
        <v>265</v>
      </c>
      <c r="B266" s="1" t="s">
        <v>312</v>
      </c>
      <c r="C266" s="1" t="s">
        <v>124</v>
      </c>
      <c r="D266" s="1" t="s">
        <v>1125</v>
      </c>
      <c r="E266" s="1">
        <v>10</v>
      </c>
      <c r="F266" s="1">
        <v>667</v>
      </c>
      <c r="G266" s="1">
        <v>201</v>
      </c>
      <c r="H266" s="1">
        <v>304</v>
      </c>
      <c r="I266" s="1">
        <v>112</v>
      </c>
      <c r="J266" s="1">
        <v>180</v>
      </c>
      <c r="K266" s="1">
        <v>451</v>
      </c>
      <c r="L266" s="1">
        <v>327</v>
      </c>
      <c r="M266" s="1">
        <v>77</v>
      </c>
      <c r="N266" s="1">
        <v>30.047992000000001</v>
      </c>
      <c r="O266" s="1">
        <v>-94.335743300000004</v>
      </c>
      <c r="P266" s="14">
        <f t="shared" si="34"/>
        <v>82.1</v>
      </c>
      <c r="Q266" s="13">
        <v>20</v>
      </c>
      <c r="R266" s="16">
        <f t="shared" si="35"/>
        <v>80</v>
      </c>
      <c r="S266" s="14">
        <f t="shared" si="36"/>
        <v>0</v>
      </c>
      <c r="T266" s="13">
        <f t="shared" si="37"/>
        <v>88.9</v>
      </c>
      <c r="U266" s="14">
        <f t="shared" si="38"/>
        <v>55.000000000000007</v>
      </c>
      <c r="V266" s="14">
        <f t="shared" si="39"/>
        <v>67.400000000000006</v>
      </c>
      <c r="W266" s="1">
        <f t="shared" si="40"/>
        <v>73.599999999999994</v>
      </c>
      <c r="X266" s="1" t="str">
        <f>IF(Table1[[#This Row],[World Rank]]&lt;=250,"Q1-Elite",IF(Table1[[#This Row],[World Rank]]&lt;=500,"Q2-Strong",IF(Table1[[#This Row],[World Rank]]&lt;=750,"Q3-Developing","Q4-Emerging")))</f>
        <v>Q2-Strong</v>
      </c>
    </row>
    <row r="267" spans="1:24" x14ac:dyDescent="0.2">
      <c r="A267" s="1">
        <v>266</v>
      </c>
      <c r="B267" s="1" t="s">
        <v>313</v>
      </c>
      <c r="C267" s="1" t="s">
        <v>19</v>
      </c>
      <c r="D267" s="1" t="s">
        <v>1124</v>
      </c>
      <c r="E267" s="1">
        <v>24</v>
      </c>
      <c r="F267" s="1">
        <v>667</v>
      </c>
      <c r="G267" s="1">
        <v>1001</v>
      </c>
      <c r="H267" s="1">
        <v>304</v>
      </c>
      <c r="I267" s="1">
        <v>345</v>
      </c>
      <c r="J267" s="1">
        <v>280</v>
      </c>
      <c r="K267" s="1">
        <v>131</v>
      </c>
      <c r="L267" s="1">
        <v>275</v>
      </c>
      <c r="M267" s="1">
        <v>77</v>
      </c>
      <c r="N267" s="1">
        <v>54.702354499999998</v>
      </c>
      <c r="O267" s="1">
        <v>-3.2765753000000002</v>
      </c>
      <c r="P267" s="14">
        <f t="shared" si="34"/>
        <v>72.099999999999994</v>
      </c>
      <c r="Q267" s="13">
        <v>20</v>
      </c>
      <c r="R267" s="16">
        <f t="shared" si="35"/>
        <v>0</v>
      </c>
      <c r="S267" s="14">
        <f t="shared" si="36"/>
        <v>0</v>
      </c>
      <c r="T267" s="13">
        <f t="shared" si="37"/>
        <v>65.600000000000009</v>
      </c>
      <c r="U267" s="14">
        <f t="shared" si="38"/>
        <v>87</v>
      </c>
      <c r="V267" s="14">
        <f t="shared" si="39"/>
        <v>72.599999999999994</v>
      </c>
      <c r="W267" s="1">
        <f t="shared" si="40"/>
        <v>73.5</v>
      </c>
      <c r="X267" s="1" t="str">
        <f>IF(Table1[[#This Row],[World Rank]]&lt;=250,"Q1-Elite",IF(Table1[[#This Row],[World Rank]]&lt;=500,"Q2-Strong",IF(Table1[[#This Row],[World Rank]]&lt;=750,"Q3-Developing","Q4-Emerging")))</f>
        <v>Q2-Strong</v>
      </c>
    </row>
    <row r="268" spans="1:24" x14ac:dyDescent="0.2">
      <c r="A268" s="1">
        <v>267</v>
      </c>
      <c r="B268" s="1" t="s">
        <v>314</v>
      </c>
      <c r="C268" s="1" t="s">
        <v>212</v>
      </c>
      <c r="D268" s="1" t="s">
        <v>1124</v>
      </c>
      <c r="E268" s="1">
        <v>2</v>
      </c>
      <c r="F268" s="1">
        <v>667</v>
      </c>
      <c r="G268" s="1">
        <v>1001</v>
      </c>
      <c r="H268" s="1">
        <v>304</v>
      </c>
      <c r="I268" s="1">
        <v>301</v>
      </c>
      <c r="J268" s="1">
        <v>252</v>
      </c>
      <c r="K268" s="1">
        <v>200</v>
      </c>
      <c r="L268" s="1">
        <v>200</v>
      </c>
      <c r="M268" s="1">
        <v>77</v>
      </c>
      <c r="N268" s="1">
        <v>47.593969999999999</v>
      </c>
      <c r="O268" s="1">
        <v>14.124560000000001</v>
      </c>
      <c r="P268" s="14">
        <f t="shared" si="34"/>
        <v>74.900000000000006</v>
      </c>
      <c r="Q268" s="13">
        <v>20</v>
      </c>
      <c r="R268" s="16">
        <f t="shared" si="35"/>
        <v>0</v>
      </c>
      <c r="S268" s="14">
        <f t="shared" si="36"/>
        <v>0</v>
      </c>
      <c r="T268" s="13">
        <f t="shared" si="37"/>
        <v>70</v>
      </c>
      <c r="U268" s="14">
        <f t="shared" si="38"/>
        <v>80.100000000000009</v>
      </c>
      <c r="V268" s="14">
        <f t="shared" si="39"/>
        <v>80.100000000000009</v>
      </c>
      <c r="W268" s="1">
        <f t="shared" si="40"/>
        <v>73.400000000000006</v>
      </c>
      <c r="X268" s="1" t="str">
        <f>IF(Table1[[#This Row],[World Rank]]&lt;=250,"Q1-Elite",IF(Table1[[#This Row],[World Rank]]&lt;=500,"Q2-Strong",IF(Table1[[#This Row],[World Rank]]&lt;=750,"Q3-Developing","Q4-Emerging")))</f>
        <v>Q2-Strong</v>
      </c>
    </row>
    <row r="269" spans="1:24" x14ac:dyDescent="0.2">
      <c r="A269" s="1">
        <v>268</v>
      </c>
      <c r="B269" s="1" t="s">
        <v>315</v>
      </c>
      <c r="C269" s="1" t="s">
        <v>34</v>
      </c>
      <c r="D269" s="1" t="s">
        <v>1120</v>
      </c>
      <c r="E269" s="1">
        <v>12</v>
      </c>
      <c r="F269" s="1">
        <v>667</v>
      </c>
      <c r="G269" s="1">
        <v>222</v>
      </c>
      <c r="H269" s="1">
        <v>304</v>
      </c>
      <c r="I269" s="1">
        <v>196</v>
      </c>
      <c r="J269" s="1">
        <v>194</v>
      </c>
      <c r="K269" s="1">
        <v>353</v>
      </c>
      <c r="L269" s="1">
        <v>275</v>
      </c>
      <c r="M269" s="1">
        <v>77</v>
      </c>
      <c r="N269" s="1">
        <v>61.066692199999999</v>
      </c>
      <c r="O269" s="1">
        <v>-107.99170700000001</v>
      </c>
      <c r="P269" s="14">
        <f t="shared" si="34"/>
        <v>80.7</v>
      </c>
      <c r="Q269" s="13">
        <v>20</v>
      </c>
      <c r="R269" s="16">
        <f t="shared" si="35"/>
        <v>77.900000000000006</v>
      </c>
      <c r="S269" s="14">
        <f t="shared" si="36"/>
        <v>0</v>
      </c>
      <c r="T269" s="13">
        <f t="shared" si="37"/>
        <v>80.5</v>
      </c>
      <c r="U269" s="14">
        <f t="shared" si="38"/>
        <v>64.8</v>
      </c>
      <c r="V269" s="14">
        <f t="shared" si="39"/>
        <v>72.599999999999994</v>
      </c>
      <c r="W269" s="1">
        <f t="shared" si="40"/>
        <v>73.3</v>
      </c>
      <c r="X269" s="1" t="str">
        <f>IF(Table1[[#This Row],[World Rank]]&lt;=250,"Q1-Elite",IF(Table1[[#This Row],[World Rank]]&lt;=500,"Q2-Strong",IF(Table1[[#This Row],[World Rank]]&lt;=750,"Q3-Developing","Q4-Emerging")))</f>
        <v>Q2-Strong</v>
      </c>
    </row>
    <row r="270" spans="1:24" x14ac:dyDescent="0.2">
      <c r="A270" s="1">
        <v>269</v>
      </c>
      <c r="B270" s="1" t="s">
        <v>316</v>
      </c>
      <c r="C270" s="1" t="s">
        <v>34</v>
      </c>
      <c r="D270" s="1" t="s">
        <v>1120</v>
      </c>
      <c r="E270" s="1">
        <v>13</v>
      </c>
      <c r="F270" s="1">
        <v>564</v>
      </c>
      <c r="G270" s="1">
        <v>499</v>
      </c>
      <c r="H270" s="1">
        <v>304</v>
      </c>
      <c r="I270" s="1">
        <v>241</v>
      </c>
      <c r="J270" s="1">
        <v>225</v>
      </c>
      <c r="K270" s="1">
        <v>252</v>
      </c>
      <c r="L270" s="1">
        <v>275</v>
      </c>
      <c r="M270" s="1">
        <v>76.900000000000006</v>
      </c>
      <c r="N270" s="1">
        <v>61.066692199999999</v>
      </c>
      <c r="O270" s="1">
        <v>-107.99170700000001</v>
      </c>
      <c r="P270" s="14">
        <f t="shared" si="34"/>
        <v>77.600000000000009</v>
      </c>
      <c r="Q270" s="13">
        <v>20</v>
      </c>
      <c r="R270" s="16">
        <f t="shared" si="35"/>
        <v>50.2</v>
      </c>
      <c r="S270" s="14">
        <f t="shared" si="36"/>
        <v>0</v>
      </c>
      <c r="T270" s="13">
        <f t="shared" si="37"/>
        <v>76</v>
      </c>
      <c r="U270" s="14">
        <f t="shared" si="38"/>
        <v>74.900000000000006</v>
      </c>
      <c r="V270" s="14">
        <f t="shared" si="39"/>
        <v>72.599999999999994</v>
      </c>
      <c r="W270" s="1">
        <f t="shared" si="40"/>
        <v>73.2</v>
      </c>
      <c r="X270" s="1" t="str">
        <f>IF(Table1[[#This Row],[World Rank]]&lt;=250,"Q1-Elite",IF(Table1[[#This Row],[World Rank]]&lt;=500,"Q2-Strong",IF(Table1[[#This Row],[World Rank]]&lt;=750,"Q3-Developing","Q4-Emerging")))</f>
        <v>Q2-Strong</v>
      </c>
    </row>
    <row r="271" spans="1:24" x14ac:dyDescent="0.2">
      <c r="A271" s="1">
        <v>270</v>
      </c>
      <c r="B271" s="1" t="s">
        <v>317</v>
      </c>
      <c r="C271" s="1" t="s">
        <v>124</v>
      </c>
      <c r="D271" s="1" t="s">
        <v>1125</v>
      </c>
      <c r="E271" s="1">
        <v>11</v>
      </c>
      <c r="F271" s="1">
        <v>667</v>
      </c>
      <c r="G271" s="1">
        <v>800</v>
      </c>
      <c r="H271" s="1">
        <v>304</v>
      </c>
      <c r="I271" s="1">
        <v>84</v>
      </c>
      <c r="J271" s="1">
        <v>153</v>
      </c>
      <c r="K271" s="1">
        <v>571</v>
      </c>
      <c r="L271" s="1">
        <v>327</v>
      </c>
      <c r="M271" s="1">
        <v>76.900000000000006</v>
      </c>
      <c r="N271" s="1">
        <v>30.047992000000001</v>
      </c>
      <c r="O271" s="1">
        <v>-94.335743300000004</v>
      </c>
      <c r="P271" s="14">
        <f t="shared" si="34"/>
        <v>84.8</v>
      </c>
      <c r="Q271" s="13">
        <v>20</v>
      </c>
      <c r="R271" s="16">
        <f t="shared" si="35"/>
        <v>20.100000000000001</v>
      </c>
      <c r="S271" s="14">
        <f t="shared" si="36"/>
        <v>0</v>
      </c>
      <c r="T271" s="13">
        <f t="shared" si="37"/>
        <v>91.7</v>
      </c>
      <c r="U271" s="14">
        <f t="shared" si="38"/>
        <v>43</v>
      </c>
      <c r="V271" s="14">
        <f t="shared" si="39"/>
        <v>67.400000000000006</v>
      </c>
      <c r="W271" s="1">
        <f t="shared" si="40"/>
        <v>73.099999999999994</v>
      </c>
      <c r="X271" s="1" t="str">
        <f>IF(Table1[[#This Row],[World Rank]]&lt;=250,"Q1-Elite",IF(Table1[[#This Row],[World Rank]]&lt;=500,"Q2-Strong",IF(Table1[[#This Row],[World Rank]]&lt;=750,"Q3-Developing","Q4-Emerging")))</f>
        <v>Q2-Strong</v>
      </c>
    </row>
    <row r="272" spans="1:24" x14ac:dyDescent="0.2">
      <c r="A272" s="1">
        <v>271</v>
      </c>
      <c r="B272" s="1" t="s">
        <v>318</v>
      </c>
      <c r="C272" s="1" t="s">
        <v>118</v>
      </c>
      <c r="D272" s="1" t="s">
        <v>1124</v>
      </c>
      <c r="E272" s="1">
        <v>4</v>
      </c>
      <c r="F272" s="1">
        <v>667</v>
      </c>
      <c r="G272" s="1">
        <v>1001</v>
      </c>
      <c r="H272" s="1">
        <v>304</v>
      </c>
      <c r="I272" s="1">
        <v>215</v>
      </c>
      <c r="J272" s="1">
        <v>237</v>
      </c>
      <c r="K272" s="1">
        <v>349</v>
      </c>
      <c r="L272" s="1">
        <v>174</v>
      </c>
      <c r="M272" s="1">
        <v>76.900000000000006</v>
      </c>
      <c r="N272" s="1">
        <v>39.326068499999998</v>
      </c>
      <c r="O272" s="1">
        <v>-4.8379791000000001</v>
      </c>
      <c r="P272" s="14">
        <f t="shared" si="34"/>
        <v>76.400000000000006</v>
      </c>
      <c r="Q272" s="13">
        <v>20</v>
      </c>
      <c r="R272" s="16">
        <f t="shared" si="35"/>
        <v>0</v>
      </c>
      <c r="S272" s="14">
        <f t="shared" si="36"/>
        <v>0</v>
      </c>
      <c r="T272" s="13">
        <f t="shared" si="37"/>
        <v>78.600000000000009</v>
      </c>
      <c r="U272" s="14">
        <f t="shared" si="38"/>
        <v>65.2</v>
      </c>
      <c r="V272" s="14">
        <f t="shared" si="39"/>
        <v>82.699999999999989</v>
      </c>
      <c r="W272" s="1">
        <f t="shared" si="40"/>
        <v>73</v>
      </c>
      <c r="X272" s="1" t="str">
        <f>IF(Table1[[#This Row],[World Rank]]&lt;=250,"Q1-Elite",IF(Table1[[#This Row],[World Rank]]&lt;=500,"Q2-Strong",IF(Table1[[#This Row],[World Rank]]&lt;=750,"Q3-Developing","Q4-Emerging")))</f>
        <v>Q2-Strong</v>
      </c>
    </row>
    <row r="273" spans="1:24" x14ac:dyDescent="0.2">
      <c r="A273" s="1">
        <v>272</v>
      </c>
      <c r="B273" s="1" t="s">
        <v>319</v>
      </c>
      <c r="C273" s="1" t="s">
        <v>19</v>
      </c>
      <c r="D273" s="1" t="s">
        <v>1124</v>
      </c>
      <c r="E273" s="1">
        <v>25</v>
      </c>
      <c r="F273" s="1">
        <v>227</v>
      </c>
      <c r="G273" s="1">
        <v>1001</v>
      </c>
      <c r="H273" s="1">
        <v>227</v>
      </c>
      <c r="I273" s="1">
        <v>471</v>
      </c>
      <c r="J273" s="1">
        <v>353</v>
      </c>
      <c r="K273" s="1">
        <v>224</v>
      </c>
      <c r="L273" s="1">
        <v>187</v>
      </c>
      <c r="M273" s="1">
        <v>76.900000000000006</v>
      </c>
      <c r="N273" s="1">
        <v>54.702354499999998</v>
      </c>
      <c r="O273" s="1">
        <v>-3.2765753000000002</v>
      </c>
      <c r="P273" s="14">
        <f t="shared" si="34"/>
        <v>64.8</v>
      </c>
      <c r="Q273" s="13">
        <f>((667 - F273) / 666) * 100</f>
        <v>66.066066066066071</v>
      </c>
      <c r="R273" s="16">
        <f t="shared" si="35"/>
        <v>0</v>
      </c>
      <c r="S273" s="14">
        <f t="shared" si="36"/>
        <v>25.412541254125415</v>
      </c>
      <c r="T273" s="13">
        <f t="shared" si="37"/>
        <v>53</v>
      </c>
      <c r="U273" s="14">
        <f t="shared" si="38"/>
        <v>77.7</v>
      </c>
      <c r="V273" s="14">
        <f t="shared" si="39"/>
        <v>81.399999999999991</v>
      </c>
      <c r="W273" s="1">
        <f t="shared" si="40"/>
        <v>72.899999999999991</v>
      </c>
      <c r="X273" s="1" t="str">
        <f>IF(Table1[[#This Row],[World Rank]]&lt;=250,"Q1-Elite",IF(Table1[[#This Row],[World Rank]]&lt;=500,"Q2-Strong",IF(Table1[[#This Row],[World Rank]]&lt;=750,"Q3-Developing","Q4-Emerging")))</f>
        <v>Q2-Strong</v>
      </c>
    </row>
    <row r="274" spans="1:24" x14ac:dyDescent="0.2">
      <c r="A274" s="1">
        <v>273</v>
      </c>
      <c r="B274" s="1" t="s">
        <v>320</v>
      </c>
      <c r="C274" s="1" t="s">
        <v>15</v>
      </c>
      <c r="D274" s="1" t="s">
        <v>1120</v>
      </c>
      <c r="E274" s="1">
        <v>97</v>
      </c>
      <c r="F274" s="1">
        <v>233</v>
      </c>
      <c r="G274" s="1">
        <v>747</v>
      </c>
      <c r="H274" s="1">
        <v>304</v>
      </c>
      <c r="I274" s="1">
        <v>263</v>
      </c>
      <c r="J274" s="1">
        <v>221</v>
      </c>
      <c r="K274" s="1">
        <v>292</v>
      </c>
      <c r="L274" s="1">
        <v>222</v>
      </c>
      <c r="M274" s="1">
        <v>76.900000000000006</v>
      </c>
      <c r="N274" s="1">
        <v>39.783730400000003</v>
      </c>
      <c r="O274" s="1">
        <v>-100.445882</v>
      </c>
      <c r="P274" s="14">
        <f t="shared" si="34"/>
        <v>78</v>
      </c>
      <c r="Q274" s="13">
        <f>((667 - F274) / 666) * 100</f>
        <v>65.165165165165163</v>
      </c>
      <c r="R274" s="16">
        <f t="shared" si="35"/>
        <v>25.4</v>
      </c>
      <c r="S274" s="14">
        <f t="shared" si="36"/>
        <v>0</v>
      </c>
      <c r="T274" s="13">
        <f t="shared" si="37"/>
        <v>73.8</v>
      </c>
      <c r="U274" s="14">
        <f t="shared" si="38"/>
        <v>70.899999999999991</v>
      </c>
      <c r="V274" s="14">
        <f t="shared" si="39"/>
        <v>77.900000000000006</v>
      </c>
      <c r="W274" s="1">
        <f t="shared" si="40"/>
        <v>72.8</v>
      </c>
      <c r="X274" s="1" t="str">
        <f>IF(Table1[[#This Row],[World Rank]]&lt;=250,"Q1-Elite",IF(Table1[[#This Row],[World Rank]]&lt;=500,"Q2-Strong",IF(Table1[[#This Row],[World Rank]]&lt;=750,"Q3-Developing","Q4-Emerging")))</f>
        <v>Q2-Strong</v>
      </c>
    </row>
    <row r="275" spans="1:24" x14ac:dyDescent="0.2">
      <c r="A275" s="1">
        <v>274</v>
      </c>
      <c r="B275" s="1" t="s">
        <v>321</v>
      </c>
      <c r="C275" s="1" t="s">
        <v>19</v>
      </c>
      <c r="D275" s="1" t="s">
        <v>1124</v>
      </c>
      <c r="E275" s="1">
        <v>26</v>
      </c>
      <c r="F275" s="1">
        <v>44</v>
      </c>
      <c r="G275" s="1">
        <v>85</v>
      </c>
      <c r="H275" s="1">
        <v>90</v>
      </c>
      <c r="I275" s="1">
        <v>655</v>
      </c>
      <c r="J275" s="1">
        <v>506</v>
      </c>
      <c r="K275" s="1">
        <v>627</v>
      </c>
      <c r="L275" s="1">
        <v>240</v>
      </c>
      <c r="M275" s="1">
        <v>76.900000000000006</v>
      </c>
      <c r="N275" s="1">
        <v>54.702354499999998</v>
      </c>
      <c r="O275" s="1">
        <v>-3.2765753000000002</v>
      </c>
      <c r="P275" s="14">
        <f t="shared" si="34"/>
        <v>49.5</v>
      </c>
      <c r="Q275" s="13">
        <f>((667 - F275) / 666) * 100</f>
        <v>93.543543543543535</v>
      </c>
      <c r="R275" s="16">
        <f t="shared" si="35"/>
        <v>91.600000000000009</v>
      </c>
      <c r="S275" s="14">
        <f t="shared" si="36"/>
        <v>70.627062706270621</v>
      </c>
      <c r="T275" s="13">
        <f t="shared" si="37"/>
        <v>34.599999999999994</v>
      </c>
      <c r="U275" s="14">
        <f t="shared" si="38"/>
        <v>37.4</v>
      </c>
      <c r="V275" s="14">
        <f t="shared" si="39"/>
        <v>76.099999999999994</v>
      </c>
      <c r="W275" s="1">
        <f t="shared" si="40"/>
        <v>72.7</v>
      </c>
      <c r="X275" s="1" t="str">
        <f>IF(Table1[[#This Row],[World Rank]]&lt;=250,"Q1-Elite",IF(Table1[[#This Row],[World Rank]]&lt;=500,"Q2-Strong",IF(Table1[[#This Row],[World Rank]]&lt;=750,"Q3-Developing","Q4-Emerging")))</f>
        <v>Q2-Strong</v>
      </c>
    </row>
    <row r="276" spans="1:24" x14ac:dyDescent="0.2">
      <c r="A276" s="1">
        <v>275</v>
      </c>
      <c r="B276" s="1" t="s">
        <v>322</v>
      </c>
      <c r="C276" s="1" t="s">
        <v>15</v>
      </c>
      <c r="D276" s="1" t="s">
        <v>1120</v>
      </c>
      <c r="E276" s="1">
        <v>98</v>
      </c>
      <c r="F276" s="1">
        <v>544</v>
      </c>
      <c r="G276" s="1">
        <v>322</v>
      </c>
      <c r="H276" s="1">
        <v>304</v>
      </c>
      <c r="I276" s="1">
        <v>206</v>
      </c>
      <c r="J276" s="1">
        <v>211</v>
      </c>
      <c r="K276" s="1">
        <v>259</v>
      </c>
      <c r="L276" s="1">
        <v>363</v>
      </c>
      <c r="M276" s="1">
        <v>76.8</v>
      </c>
      <c r="N276" s="1">
        <v>39.783730400000003</v>
      </c>
      <c r="O276" s="1">
        <v>-100.445882</v>
      </c>
      <c r="P276" s="14">
        <f t="shared" si="34"/>
        <v>79</v>
      </c>
      <c r="Q276" s="13">
        <v>20</v>
      </c>
      <c r="R276" s="16">
        <f t="shared" si="35"/>
        <v>67.900000000000006</v>
      </c>
      <c r="S276" s="14">
        <f t="shared" si="36"/>
        <v>0</v>
      </c>
      <c r="T276" s="13">
        <f t="shared" si="37"/>
        <v>79.5</v>
      </c>
      <c r="U276" s="14">
        <f t="shared" si="38"/>
        <v>74.2</v>
      </c>
      <c r="V276" s="14">
        <f t="shared" si="39"/>
        <v>63.800000000000004</v>
      </c>
      <c r="W276" s="1">
        <f t="shared" si="40"/>
        <v>72.599999999999994</v>
      </c>
      <c r="X276" s="1" t="str">
        <f>IF(Table1[[#This Row],[World Rank]]&lt;=250,"Q1-Elite",IF(Table1[[#This Row],[World Rank]]&lt;=500,"Q2-Strong",IF(Table1[[#This Row],[World Rank]]&lt;=750,"Q3-Developing","Q4-Emerging")))</f>
        <v>Q2-Strong</v>
      </c>
    </row>
    <row r="277" spans="1:24" x14ac:dyDescent="0.2">
      <c r="A277" s="1">
        <v>276</v>
      </c>
      <c r="B277" s="1" t="s">
        <v>323</v>
      </c>
      <c r="C277" s="1" t="s">
        <v>124</v>
      </c>
      <c r="D277" s="1" t="s">
        <v>1125</v>
      </c>
      <c r="E277" s="1">
        <v>12</v>
      </c>
      <c r="F277" s="1">
        <v>667</v>
      </c>
      <c r="G277" s="1">
        <v>244</v>
      </c>
      <c r="H277" s="1">
        <v>304</v>
      </c>
      <c r="I277" s="1">
        <v>77</v>
      </c>
      <c r="J277" s="1">
        <v>124</v>
      </c>
      <c r="K277" s="1">
        <v>537</v>
      </c>
      <c r="L277" s="1">
        <v>541</v>
      </c>
      <c r="M277" s="1">
        <v>76.8</v>
      </c>
      <c r="N277" s="1">
        <v>30.047992000000001</v>
      </c>
      <c r="O277" s="1">
        <v>-94.335743300000004</v>
      </c>
      <c r="P277" s="14">
        <f t="shared" si="34"/>
        <v>87.7</v>
      </c>
      <c r="Q277" s="13">
        <v>20</v>
      </c>
      <c r="R277" s="16">
        <f t="shared" si="35"/>
        <v>75.7</v>
      </c>
      <c r="S277" s="14">
        <f t="shared" si="36"/>
        <v>0</v>
      </c>
      <c r="T277" s="13">
        <f t="shared" si="37"/>
        <v>92.4</v>
      </c>
      <c r="U277" s="14">
        <f t="shared" si="38"/>
        <v>46.400000000000006</v>
      </c>
      <c r="V277" s="14">
        <f t="shared" si="39"/>
        <v>46</v>
      </c>
      <c r="W277" s="1">
        <f t="shared" si="40"/>
        <v>72.5</v>
      </c>
      <c r="X277" s="1" t="str">
        <f>IF(Table1[[#This Row],[World Rank]]&lt;=250,"Q1-Elite",IF(Table1[[#This Row],[World Rank]]&lt;=500,"Q2-Strong",IF(Table1[[#This Row],[World Rank]]&lt;=750,"Q3-Developing","Q4-Emerging")))</f>
        <v>Q2-Strong</v>
      </c>
    </row>
    <row r="278" spans="1:24" x14ac:dyDescent="0.2">
      <c r="A278" s="1">
        <v>277</v>
      </c>
      <c r="B278" s="1" t="s">
        <v>324</v>
      </c>
      <c r="C278" s="1" t="s">
        <v>15</v>
      </c>
      <c r="D278" s="1" t="s">
        <v>1120</v>
      </c>
      <c r="E278" s="1">
        <v>99</v>
      </c>
      <c r="F278" s="1">
        <v>667</v>
      </c>
      <c r="G278" s="1">
        <v>748</v>
      </c>
      <c r="H278" s="1">
        <v>174</v>
      </c>
      <c r="I278" s="1">
        <v>321</v>
      </c>
      <c r="J278" s="1">
        <v>312</v>
      </c>
      <c r="K278" s="1">
        <v>289</v>
      </c>
      <c r="L278" s="1">
        <v>460</v>
      </c>
      <c r="M278" s="1">
        <v>76.8</v>
      </c>
      <c r="N278" s="1">
        <v>39.783730400000003</v>
      </c>
      <c r="O278" s="1">
        <v>-100.445882</v>
      </c>
      <c r="P278" s="14">
        <f t="shared" si="34"/>
        <v>68.899999999999991</v>
      </c>
      <c r="Q278" s="13">
        <v>20</v>
      </c>
      <c r="R278" s="16">
        <f t="shared" si="35"/>
        <v>25.3</v>
      </c>
      <c r="S278" s="14">
        <f t="shared" si="36"/>
        <v>42.904290429042902</v>
      </c>
      <c r="T278" s="13">
        <f t="shared" si="37"/>
        <v>68</v>
      </c>
      <c r="U278" s="14">
        <f t="shared" si="38"/>
        <v>71.2</v>
      </c>
      <c r="V278" s="14">
        <f t="shared" si="39"/>
        <v>54.1</v>
      </c>
      <c r="W278" s="1">
        <f t="shared" si="40"/>
        <v>72.399999999999991</v>
      </c>
      <c r="X278" s="1" t="str">
        <f>IF(Table1[[#This Row],[World Rank]]&lt;=250,"Q1-Elite",IF(Table1[[#This Row],[World Rank]]&lt;=500,"Q2-Strong",IF(Table1[[#This Row],[World Rank]]&lt;=750,"Q3-Developing","Q4-Emerging")))</f>
        <v>Q2-Strong</v>
      </c>
    </row>
    <row r="279" spans="1:24" x14ac:dyDescent="0.2">
      <c r="A279" s="1">
        <v>278</v>
      </c>
      <c r="B279" s="1" t="s">
        <v>325</v>
      </c>
      <c r="C279" s="1" t="s">
        <v>34</v>
      </c>
      <c r="D279" s="1" t="s">
        <v>1120</v>
      </c>
      <c r="E279" s="1">
        <v>14</v>
      </c>
      <c r="F279" s="1">
        <v>218</v>
      </c>
      <c r="G279" s="1">
        <v>290</v>
      </c>
      <c r="H279" s="1">
        <v>304</v>
      </c>
      <c r="I279" s="1">
        <v>308</v>
      </c>
      <c r="J279" s="1">
        <v>305</v>
      </c>
      <c r="K279" s="1">
        <v>225</v>
      </c>
      <c r="L279" s="1">
        <v>200</v>
      </c>
      <c r="M279" s="1">
        <v>76.8</v>
      </c>
      <c r="N279" s="1">
        <v>61.066692199999999</v>
      </c>
      <c r="O279" s="1">
        <v>-107.99170700000001</v>
      </c>
      <c r="P279" s="14">
        <f t="shared" si="34"/>
        <v>69.599999999999994</v>
      </c>
      <c r="Q279" s="13">
        <f>((667 - F279) / 666) * 100</f>
        <v>67.417417417417411</v>
      </c>
      <c r="R279" s="16">
        <f t="shared" si="35"/>
        <v>71.099999999999994</v>
      </c>
      <c r="S279" s="14">
        <f t="shared" si="36"/>
        <v>0</v>
      </c>
      <c r="T279" s="13">
        <f t="shared" si="37"/>
        <v>69.3</v>
      </c>
      <c r="U279" s="14">
        <f t="shared" si="38"/>
        <v>77.600000000000009</v>
      </c>
      <c r="V279" s="14">
        <f t="shared" si="39"/>
        <v>80.100000000000009</v>
      </c>
      <c r="W279" s="1">
        <f t="shared" si="40"/>
        <v>72.3</v>
      </c>
      <c r="X279" s="1" t="str">
        <f>IF(Table1[[#This Row],[World Rank]]&lt;=250,"Q1-Elite",IF(Table1[[#This Row],[World Rank]]&lt;=500,"Q2-Strong",IF(Table1[[#This Row],[World Rank]]&lt;=750,"Q3-Developing","Q4-Emerging")))</f>
        <v>Q2-Strong</v>
      </c>
    </row>
    <row r="280" spans="1:24" x14ac:dyDescent="0.2">
      <c r="A280" s="1">
        <v>279</v>
      </c>
      <c r="B280" s="1" t="s">
        <v>326</v>
      </c>
      <c r="C280" s="1" t="s">
        <v>19</v>
      </c>
      <c r="D280" s="1" t="s">
        <v>1124</v>
      </c>
      <c r="E280" s="1">
        <v>27</v>
      </c>
      <c r="F280" s="1">
        <v>667</v>
      </c>
      <c r="G280" s="1">
        <v>1001</v>
      </c>
      <c r="H280" s="1">
        <v>304</v>
      </c>
      <c r="I280" s="1">
        <v>362</v>
      </c>
      <c r="J280" s="1">
        <v>284</v>
      </c>
      <c r="K280" s="1">
        <v>208</v>
      </c>
      <c r="L280" s="1">
        <v>174</v>
      </c>
      <c r="M280" s="1">
        <v>76.8</v>
      </c>
      <c r="N280" s="1">
        <v>54.702354499999998</v>
      </c>
      <c r="O280" s="1">
        <v>-3.2765753000000002</v>
      </c>
      <c r="P280" s="14">
        <f t="shared" si="34"/>
        <v>71.7</v>
      </c>
      <c r="Q280" s="13">
        <v>20</v>
      </c>
      <c r="R280" s="16">
        <f t="shared" si="35"/>
        <v>0</v>
      </c>
      <c r="S280" s="14">
        <f t="shared" si="36"/>
        <v>0</v>
      </c>
      <c r="T280" s="13">
        <f t="shared" si="37"/>
        <v>63.9</v>
      </c>
      <c r="U280" s="14">
        <f t="shared" si="38"/>
        <v>79.3</v>
      </c>
      <c r="V280" s="14">
        <f t="shared" si="39"/>
        <v>82.699999999999989</v>
      </c>
      <c r="W280" s="1">
        <f t="shared" si="40"/>
        <v>72.2</v>
      </c>
      <c r="X280" s="1" t="str">
        <f>IF(Table1[[#This Row],[World Rank]]&lt;=250,"Q1-Elite",IF(Table1[[#This Row],[World Rank]]&lt;=500,"Q2-Strong",IF(Table1[[#This Row],[World Rank]]&lt;=750,"Q3-Developing","Q4-Emerging")))</f>
        <v>Q2-Strong</v>
      </c>
    </row>
    <row r="281" spans="1:24" x14ac:dyDescent="0.2">
      <c r="A281" s="1">
        <v>280</v>
      </c>
      <c r="B281" s="1" t="s">
        <v>327</v>
      </c>
      <c r="C281" s="1" t="s">
        <v>118</v>
      </c>
      <c r="D281" s="1" t="s">
        <v>1124</v>
      </c>
      <c r="E281" s="1">
        <v>5</v>
      </c>
      <c r="F281" s="1">
        <v>667</v>
      </c>
      <c r="G281" s="1">
        <v>932</v>
      </c>
      <c r="H281" s="1">
        <v>304</v>
      </c>
      <c r="I281" s="1">
        <v>257</v>
      </c>
      <c r="J281" s="1">
        <v>246</v>
      </c>
      <c r="K281" s="1">
        <v>285</v>
      </c>
      <c r="L281" s="1">
        <v>240</v>
      </c>
      <c r="M281" s="1">
        <v>76.7</v>
      </c>
      <c r="N281" s="1">
        <v>39.326068499999998</v>
      </c>
      <c r="O281" s="1">
        <v>-4.8379791000000001</v>
      </c>
      <c r="P281" s="14">
        <f t="shared" si="34"/>
        <v>75.5</v>
      </c>
      <c r="Q281" s="13">
        <v>20</v>
      </c>
      <c r="R281" s="16">
        <f t="shared" si="35"/>
        <v>6.9</v>
      </c>
      <c r="S281" s="14">
        <f t="shared" si="36"/>
        <v>0</v>
      </c>
      <c r="T281" s="13">
        <f t="shared" si="37"/>
        <v>74.400000000000006</v>
      </c>
      <c r="U281" s="14">
        <f t="shared" si="38"/>
        <v>71.599999999999994</v>
      </c>
      <c r="V281" s="14">
        <f t="shared" si="39"/>
        <v>76.099999999999994</v>
      </c>
      <c r="W281" s="1">
        <f t="shared" si="40"/>
        <v>72.099999999999994</v>
      </c>
      <c r="X281" s="1" t="str">
        <f>IF(Table1[[#This Row],[World Rank]]&lt;=250,"Q1-Elite",IF(Table1[[#This Row],[World Rank]]&lt;=500,"Q2-Strong",IF(Table1[[#This Row],[World Rank]]&lt;=750,"Q3-Developing","Q4-Emerging")))</f>
        <v>Q2-Strong</v>
      </c>
    </row>
    <row r="282" spans="1:24" x14ac:dyDescent="0.2">
      <c r="A282" s="1">
        <v>281</v>
      </c>
      <c r="B282" s="1" t="s">
        <v>328</v>
      </c>
      <c r="C282" s="1" t="s">
        <v>19</v>
      </c>
      <c r="D282" s="1" t="s">
        <v>1124</v>
      </c>
      <c r="E282" s="1">
        <v>28</v>
      </c>
      <c r="F282" s="1">
        <v>506</v>
      </c>
      <c r="G282" s="1">
        <v>684</v>
      </c>
      <c r="H282" s="1">
        <v>304</v>
      </c>
      <c r="I282" s="1">
        <v>331</v>
      </c>
      <c r="J282" s="1">
        <v>270</v>
      </c>
      <c r="K282" s="1">
        <v>168</v>
      </c>
      <c r="L282" s="1">
        <v>327</v>
      </c>
      <c r="M282" s="1">
        <v>76.7</v>
      </c>
      <c r="N282" s="1">
        <v>54.702354499999998</v>
      </c>
      <c r="O282" s="1">
        <v>-3.2765753000000002</v>
      </c>
      <c r="P282" s="14">
        <f t="shared" si="34"/>
        <v>73.099999999999994</v>
      </c>
      <c r="Q282" s="13">
        <f>((667 - F282) / 666) * 100</f>
        <v>24.174174174174173</v>
      </c>
      <c r="R282" s="16">
        <f t="shared" si="35"/>
        <v>31.7</v>
      </c>
      <c r="S282" s="14">
        <f t="shared" si="36"/>
        <v>0</v>
      </c>
      <c r="T282" s="13">
        <f t="shared" si="37"/>
        <v>67</v>
      </c>
      <c r="U282" s="14">
        <f t="shared" si="38"/>
        <v>83.3</v>
      </c>
      <c r="V282" s="14">
        <f t="shared" si="39"/>
        <v>67.400000000000006</v>
      </c>
      <c r="W282" s="1">
        <f t="shared" si="40"/>
        <v>72</v>
      </c>
      <c r="X282" s="1" t="str">
        <f>IF(Table1[[#This Row],[World Rank]]&lt;=250,"Q1-Elite",IF(Table1[[#This Row],[World Rank]]&lt;=500,"Q2-Strong",IF(Table1[[#This Row],[World Rank]]&lt;=750,"Q3-Developing","Q4-Emerging")))</f>
        <v>Q2-Strong</v>
      </c>
    </row>
    <row r="283" spans="1:24" x14ac:dyDescent="0.2">
      <c r="A283" s="1">
        <v>282</v>
      </c>
      <c r="B283" s="1" t="s">
        <v>329</v>
      </c>
      <c r="C283" s="1" t="s">
        <v>15</v>
      </c>
      <c r="D283" s="1" t="s">
        <v>1120</v>
      </c>
      <c r="E283" s="1">
        <v>100</v>
      </c>
      <c r="F283" s="1">
        <v>667</v>
      </c>
      <c r="G283" s="1">
        <v>503</v>
      </c>
      <c r="H283" s="1">
        <v>257</v>
      </c>
      <c r="I283" s="1">
        <v>334</v>
      </c>
      <c r="J283" s="1">
        <v>288</v>
      </c>
      <c r="K283" s="1">
        <v>436</v>
      </c>
      <c r="L283" s="1">
        <v>174</v>
      </c>
      <c r="M283" s="1">
        <v>76.7</v>
      </c>
      <c r="N283" s="1">
        <v>39.783730400000003</v>
      </c>
      <c r="O283" s="1">
        <v>-100.445882</v>
      </c>
      <c r="P283" s="14">
        <f t="shared" si="34"/>
        <v>71.3</v>
      </c>
      <c r="Q283" s="13">
        <v>20</v>
      </c>
      <c r="R283" s="16">
        <f t="shared" si="35"/>
        <v>49.8</v>
      </c>
      <c r="S283" s="14">
        <f t="shared" si="36"/>
        <v>15.511551155115511</v>
      </c>
      <c r="T283" s="13">
        <f t="shared" si="37"/>
        <v>66.7</v>
      </c>
      <c r="U283" s="14">
        <f t="shared" si="38"/>
        <v>56.499999999999993</v>
      </c>
      <c r="V283" s="14">
        <f t="shared" si="39"/>
        <v>82.699999999999989</v>
      </c>
      <c r="W283" s="1">
        <f t="shared" si="40"/>
        <v>71.899999999999991</v>
      </c>
      <c r="X283" s="1" t="str">
        <f>IF(Table1[[#This Row],[World Rank]]&lt;=250,"Q1-Elite",IF(Table1[[#This Row],[World Rank]]&lt;=500,"Q2-Strong",IF(Table1[[#This Row],[World Rank]]&lt;=750,"Q3-Developing","Q4-Emerging")))</f>
        <v>Q2-Strong</v>
      </c>
    </row>
    <row r="284" spans="1:24" x14ac:dyDescent="0.2">
      <c r="A284" s="1">
        <v>283</v>
      </c>
      <c r="B284" s="1" t="s">
        <v>330</v>
      </c>
      <c r="C284" s="1" t="s">
        <v>93</v>
      </c>
      <c r="D284" s="1" t="s">
        <v>1124</v>
      </c>
      <c r="E284" s="1">
        <v>8</v>
      </c>
      <c r="F284" s="1">
        <v>667</v>
      </c>
      <c r="G284" s="1">
        <v>1001</v>
      </c>
      <c r="H284" s="1">
        <v>304</v>
      </c>
      <c r="I284" s="1">
        <v>273</v>
      </c>
      <c r="J284" s="1">
        <v>282</v>
      </c>
      <c r="K284" s="1">
        <v>303</v>
      </c>
      <c r="L284" s="1">
        <v>174</v>
      </c>
      <c r="M284" s="1">
        <v>76.7</v>
      </c>
      <c r="N284" s="1">
        <v>42.638426099999997</v>
      </c>
      <c r="O284" s="1">
        <v>12.674296999999999</v>
      </c>
      <c r="P284" s="14">
        <f t="shared" si="34"/>
        <v>71.899999999999991</v>
      </c>
      <c r="Q284" s="13">
        <v>20</v>
      </c>
      <c r="R284" s="16">
        <f t="shared" si="35"/>
        <v>0</v>
      </c>
      <c r="S284" s="14">
        <f t="shared" si="36"/>
        <v>0</v>
      </c>
      <c r="T284" s="13">
        <f t="shared" si="37"/>
        <v>72.8</v>
      </c>
      <c r="U284" s="14">
        <f t="shared" si="38"/>
        <v>69.8</v>
      </c>
      <c r="V284" s="14">
        <f t="shared" si="39"/>
        <v>82.699999999999989</v>
      </c>
      <c r="W284" s="1">
        <f t="shared" si="40"/>
        <v>71.8</v>
      </c>
      <c r="X284" s="1" t="str">
        <f>IF(Table1[[#This Row],[World Rank]]&lt;=250,"Q1-Elite",IF(Table1[[#This Row],[World Rank]]&lt;=500,"Q2-Strong",IF(Table1[[#This Row],[World Rank]]&lt;=750,"Q3-Developing","Q4-Emerging")))</f>
        <v>Q2-Strong</v>
      </c>
    </row>
    <row r="285" spans="1:24" x14ac:dyDescent="0.2">
      <c r="A285" s="1">
        <v>284</v>
      </c>
      <c r="B285" s="1" t="s">
        <v>331</v>
      </c>
      <c r="C285" s="1" t="s">
        <v>99</v>
      </c>
      <c r="D285" s="1" t="s">
        <v>1124</v>
      </c>
      <c r="E285" s="1">
        <v>10</v>
      </c>
      <c r="F285" s="1">
        <v>566</v>
      </c>
      <c r="G285" s="1">
        <v>406</v>
      </c>
      <c r="H285" s="1">
        <v>304</v>
      </c>
      <c r="I285" s="1">
        <v>224</v>
      </c>
      <c r="J285" s="1">
        <v>228</v>
      </c>
      <c r="K285" s="1">
        <v>281</v>
      </c>
      <c r="L285" s="1">
        <v>363</v>
      </c>
      <c r="M285" s="1">
        <v>76.7</v>
      </c>
      <c r="N285" s="1">
        <v>52.243497900000001</v>
      </c>
      <c r="O285" s="1">
        <v>5.6343227000000002</v>
      </c>
      <c r="P285" s="14">
        <f t="shared" si="34"/>
        <v>77.3</v>
      </c>
      <c r="Q285" s="13">
        <v>20</v>
      </c>
      <c r="R285" s="16">
        <f t="shared" si="35"/>
        <v>59.5</v>
      </c>
      <c r="S285" s="14">
        <f t="shared" si="36"/>
        <v>0</v>
      </c>
      <c r="T285" s="13">
        <f t="shared" si="37"/>
        <v>77.7</v>
      </c>
      <c r="U285" s="14">
        <f t="shared" si="38"/>
        <v>72</v>
      </c>
      <c r="V285" s="14">
        <f t="shared" si="39"/>
        <v>63.800000000000004</v>
      </c>
      <c r="W285" s="1">
        <f t="shared" si="40"/>
        <v>71.7</v>
      </c>
      <c r="X285" s="1" t="str">
        <f>IF(Table1[[#This Row],[World Rank]]&lt;=250,"Q1-Elite",IF(Table1[[#This Row],[World Rank]]&lt;=500,"Q2-Strong",IF(Table1[[#This Row],[World Rank]]&lt;=750,"Q3-Developing","Q4-Emerging")))</f>
        <v>Q2-Strong</v>
      </c>
    </row>
    <row r="286" spans="1:24" x14ac:dyDescent="0.2">
      <c r="A286" s="1">
        <v>285</v>
      </c>
      <c r="B286" s="1" t="s">
        <v>332</v>
      </c>
      <c r="C286" s="1" t="s">
        <v>93</v>
      </c>
      <c r="D286" s="1" t="s">
        <v>1124</v>
      </c>
      <c r="E286" s="1">
        <v>9</v>
      </c>
      <c r="F286" s="1">
        <v>538</v>
      </c>
      <c r="G286" s="1">
        <v>1001</v>
      </c>
      <c r="H286" s="1">
        <v>304</v>
      </c>
      <c r="I286" s="1">
        <v>228</v>
      </c>
      <c r="J286" s="1">
        <v>261</v>
      </c>
      <c r="K286" s="1">
        <v>337</v>
      </c>
      <c r="L286" s="1">
        <v>222</v>
      </c>
      <c r="M286" s="1">
        <v>76.7</v>
      </c>
      <c r="N286" s="1">
        <v>42.638426099999997</v>
      </c>
      <c r="O286" s="1">
        <v>12.674296999999999</v>
      </c>
      <c r="P286" s="14">
        <f t="shared" si="34"/>
        <v>74</v>
      </c>
      <c r="Q286" s="13">
        <v>20</v>
      </c>
      <c r="R286" s="16">
        <f t="shared" si="35"/>
        <v>0</v>
      </c>
      <c r="S286" s="14">
        <f t="shared" si="36"/>
        <v>0</v>
      </c>
      <c r="T286" s="13">
        <f t="shared" si="37"/>
        <v>77.3</v>
      </c>
      <c r="U286" s="14">
        <f t="shared" si="38"/>
        <v>66.400000000000006</v>
      </c>
      <c r="V286" s="14">
        <f t="shared" si="39"/>
        <v>77.900000000000006</v>
      </c>
      <c r="W286" s="1">
        <f t="shared" si="40"/>
        <v>71.599999999999994</v>
      </c>
      <c r="X286" s="1" t="str">
        <f>IF(Table1[[#This Row],[World Rank]]&lt;=250,"Q1-Elite",IF(Table1[[#This Row],[World Rank]]&lt;=500,"Q2-Strong",IF(Table1[[#This Row],[World Rank]]&lt;=750,"Q3-Developing","Q4-Emerging")))</f>
        <v>Q2-Strong</v>
      </c>
    </row>
    <row r="287" spans="1:24" x14ac:dyDescent="0.2">
      <c r="A287" s="1">
        <v>286</v>
      </c>
      <c r="B287" s="1" t="s">
        <v>333</v>
      </c>
      <c r="C287" s="1" t="s">
        <v>28</v>
      </c>
      <c r="D287" s="1" t="s">
        <v>1125</v>
      </c>
      <c r="E287" s="1">
        <v>11</v>
      </c>
      <c r="F287" s="1">
        <v>160</v>
      </c>
      <c r="G287" s="1">
        <v>445</v>
      </c>
      <c r="H287" s="1">
        <v>141</v>
      </c>
      <c r="I287" s="1">
        <v>369</v>
      </c>
      <c r="J287" s="1">
        <v>418</v>
      </c>
      <c r="K287" s="1">
        <v>318</v>
      </c>
      <c r="L287" s="1">
        <v>327</v>
      </c>
      <c r="M287" s="1">
        <v>76.599999999999994</v>
      </c>
      <c r="N287" s="1">
        <v>36.5748441</v>
      </c>
      <c r="O287" s="1">
        <v>139.23941790000001</v>
      </c>
      <c r="P287" s="14">
        <f t="shared" si="34"/>
        <v>58.3</v>
      </c>
      <c r="Q287" s="13">
        <f>((667 - F287) / 666) * 100</f>
        <v>76.126126126126124</v>
      </c>
      <c r="R287" s="16">
        <f t="shared" si="35"/>
        <v>55.600000000000009</v>
      </c>
      <c r="S287" s="14">
        <f t="shared" si="36"/>
        <v>53.795379537953792</v>
      </c>
      <c r="T287" s="13">
        <f t="shared" si="37"/>
        <v>63.2</v>
      </c>
      <c r="U287" s="14">
        <f t="shared" si="38"/>
        <v>68.300000000000011</v>
      </c>
      <c r="V287" s="14">
        <f t="shared" si="39"/>
        <v>67.400000000000006</v>
      </c>
      <c r="W287" s="1">
        <f t="shared" si="40"/>
        <v>71.5</v>
      </c>
      <c r="X287" s="1" t="str">
        <f>IF(Table1[[#This Row],[World Rank]]&lt;=250,"Q1-Elite",IF(Table1[[#This Row],[World Rank]]&lt;=500,"Q2-Strong",IF(Table1[[#This Row],[World Rank]]&lt;=750,"Q3-Developing","Q4-Emerging")))</f>
        <v>Q2-Strong</v>
      </c>
    </row>
    <row r="288" spans="1:24" x14ac:dyDescent="0.2">
      <c r="A288" s="1">
        <v>287</v>
      </c>
      <c r="B288" s="1" t="s">
        <v>334</v>
      </c>
      <c r="C288" s="1" t="s">
        <v>68</v>
      </c>
      <c r="D288" s="1" t="s">
        <v>1124</v>
      </c>
      <c r="E288" s="1">
        <v>22</v>
      </c>
      <c r="F288" s="1">
        <v>599</v>
      </c>
      <c r="G288" s="1">
        <v>1001</v>
      </c>
      <c r="H288" s="1">
        <v>295</v>
      </c>
      <c r="I288" s="1">
        <v>284</v>
      </c>
      <c r="J288" s="1">
        <v>279</v>
      </c>
      <c r="K288" s="1">
        <v>229</v>
      </c>
      <c r="L288" s="1">
        <v>275</v>
      </c>
      <c r="M288" s="1">
        <v>76.599999999999994</v>
      </c>
      <c r="N288" s="1">
        <v>40.420347900000003</v>
      </c>
      <c r="O288" s="1">
        <v>-79.116698299999996</v>
      </c>
      <c r="P288" s="14">
        <f t="shared" si="34"/>
        <v>72.2</v>
      </c>
      <c r="Q288" s="13">
        <v>20</v>
      </c>
      <c r="R288" s="16">
        <f t="shared" si="35"/>
        <v>0</v>
      </c>
      <c r="S288" s="14">
        <f t="shared" si="36"/>
        <v>2.9702970297029703</v>
      </c>
      <c r="T288" s="13">
        <f t="shared" si="37"/>
        <v>71.7</v>
      </c>
      <c r="U288" s="14">
        <f t="shared" si="38"/>
        <v>77.2</v>
      </c>
      <c r="V288" s="14">
        <f t="shared" si="39"/>
        <v>72.599999999999994</v>
      </c>
      <c r="W288" s="1">
        <f t="shared" si="40"/>
        <v>71.399999999999991</v>
      </c>
      <c r="X288" s="1" t="str">
        <f>IF(Table1[[#This Row],[World Rank]]&lt;=250,"Q1-Elite",IF(Table1[[#This Row],[World Rank]]&lt;=500,"Q2-Strong",IF(Table1[[#This Row],[World Rank]]&lt;=750,"Q3-Developing","Q4-Emerging")))</f>
        <v>Q2-Strong</v>
      </c>
    </row>
    <row r="289" spans="1:24" x14ac:dyDescent="0.2">
      <c r="A289" s="1">
        <v>288</v>
      </c>
      <c r="B289" s="1" t="s">
        <v>335</v>
      </c>
      <c r="C289" s="1" t="s">
        <v>15</v>
      </c>
      <c r="D289" s="1" t="s">
        <v>1120</v>
      </c>
      <c r="E289" s="1">
        <v>101</v>
      </c>
      <c r="F289" s="1">
        <v>396</v>
      </c>
      <c r="G289" s="1">
        <v>688</v>
      </c>
      <c r="H289" s="1">
        <v>177</v>
      </c>
      <c r="I289" s="1">
        <v>371</v>
      </c>
      <c r="J289" s="1">
        <v>304</v>
      </c>
      <c r="K289" s="1">
        <v>341</v>
      </c>
      <c r="L289" s="1">
        <v>405</v>
      </c>
      <c r="M289" s="1">
        <v>76.599999999999994</v>
      </c>
      <c r="N289" s="1">
        <v>39.783730400000003</v>
      </c>
      <c r="O289" s="1">
        <v>-100.445882</v>
      </c>
      <c r="P289" s="14">
        <f t="shared" si="34"/>
        <v>69.699999999999989</v>
      </c>
      <c r="Q289" s="13">
        <f>((667 - F289) / 666) * 100</f>
        <v>40.690690690690687</v>
      </c>
      <c r="R289" s="16">
        <f t="shared" si="35"/>
        <v>31.3</v>
      </c>
      <c r="S289" s="14">
        <f t="shared" si="36"/>
        <v>41.914191419141915</v>
      </c>
      <c r="T289" s="13">
        <f t="shared" si="37"/>
        <v>63</v>
      </c>
      <c r="U289" s="14">
        <f t="shared" si="38"/>
        <v>66</v>
      </c>
      <c r="V289" s="14">
        <f t="shared" si="39"/>
        <v>59.599999999999994</v>
      </c>
      <c r="W289" s="1">
        <f t="shared" si="40"/>
        <v>71.3</v>
      </c>
      <c r="X289" s="1" t="str">
        <f>IF(Table1[[#This Row],[World Rank]]&lt;=250,"Q1-Elite",IF(Table1[[#This Row],[World Rank]]&lt;=500,"Q2-Strong",IF(Table1[[#This Row],[World Rank]]&lt;=750,"Q3-Developing","Q4-Emerging")))</f>
        <v>Q2-Strong</v>
      </c>
    </row>
    <row r="290" spans="1:24" x14ac:dyDescent="0.2">
      <c r="A290" s="1">
        <v>289</v>
      </c>
      <c r="B290" s="1" t="s">
        <v>336</v>
      </c>
      <c r="C290" s="1" t="s">
        <v>15</v>
      </c>
      <c r="D290" s="1" t="s">
        <v>1120</v>
      </c>
      <c r="E290" s="1">
        <v>102</v>
      </c>
      <c r="F290" s="1">
        <v>277</v>
      </c>
      <c r="G290" s="1">
        <v>59</v>
      </c>
      <c r="H290" s="1">
        <v>304</v>
      </c>
      <c r="I290" s="1">
        <v>427</v>
      </c>
      <c r="J290" s="1">
        <v>331</v>
      </c>
      <c r="K290" s="1">
        <v>319</v>
      </c>
      <c r="L290" s="1">
        <v>275</v>
      </c>
      <c r="M290" s="1">
        <v>76.599999999999994</v>
      </c>
      <c r="N290" s="1">
        <v>39.783730400000003</v>
      </c>
      <c r="O290" s="1">
        <v>-100.445882</v>
      </c>
      <c r="P290" s="14">
        <f t="shared" si="34"/>
        <v>67</v>
      </c>
      <c r="Q290" s="13">
        <f>((667 - F290) / 666) * 100</f>
        <v>58.558558558558559</v>
      </c>
      <c r="R290" s="16">
        <f t="shared" si="35"/>
        <v>94.199999999999989</v>
      </c>
      <c r="S290" s="14">
        <f t="shared" si="36"/>
        <v>0</v>
      </c>
      <c r="T290" s="13">
        <f t="shared" si="37"/>
        <v>57.4</v>
      </c>
      <c r="U290" s="14">
        <f t="shared" si="38"/>
        <v>68.2</v>
      </c>
      <c r="V290" s="14">
        <f t="shared" si="39"/>
        <v>72.599999999999994</v>
      </c>
      <c r="W290" s="1">
        <f t="shared" si="40"/>
        <v>71.2</v>
      </c>
      <c r="X290" s="1" t="str">
        <f>IF(Table1[[#This Row],[World Rank]]&lt;=250,"Q1-Elite",IF(Table1[[#This Row],[World Rank]]&lt;=500,"Q2-Strong",IF(Table1[[#This Row],[World Rank]]&lt;=750,"Q3-Developing","Q4-Emerging")))</f>
        <v>Q2-Strong</v>
      </c>
    </row>
    <row r="291" spans="1:24" x14ac:dyDescent="0.2">
      <c r="A291" s="1">
        <v>290</v>
      </c>
      <c r="B291" s="1" t="s">
        <v>337</v>
      </c>
      <c r="C291" s="1" t="s">
        <v>68</v>
      </c>
      <c r="D291" s="1" t="s">
        <v>1124</v>
      </c>
      <c r="E291" s="1">
        <v>23</v>
      </c>
      <c r="F291" s="1">
        <v>667</v>
      </c>
      <c r="G291" s="1">
        <v>1001</v>
      </c>
      <c r="H291" s="1">
        <v>304</v>
      </c>
      <c r="I291" s="1">
        <v>299</v>
      </c>
      <c r="J291" s="1">
        <v>297</v>
      </c>
      <c r="K291" s="1">
        <v>215</v>
      </c>
      <c r="L291" s="1">
        <v>254</v>
      </c>
      <c r="M291" s="1">
        <v>76.599999999999994</v>
      </c>
      <c r="N291" s="1">
        <v>40.420347900000003</v>
      </c>
      <c r="O291" s="1">
        <v>-79.116698299999996</v>
      </c>
      <c r="P291" s="14">
        <f t="shared" si="34"/>
        <v>70.399999999999991</v>
      </c>
      <c r="Q291" s="13">
        <v>20</v>
      </c>
      <c r="R291" s="16">
        <f t="shared" si="35"/>
        <v>0</v>
      </c>
      <c r="S291" s="14">
        <f t="shared" si="36"/>
        <v>0</v>
      </c>
      <c r="T291" s="13">
        <f t="shared" si="37"/>
        <v>70.199999999999989</v>
      </c>
      <c r="U291" s="14">
        <f t="shared" si="38"/>
        <v>78.600000000000009</v>
      </c>
      <c r="V291" s="14">
        <f t="shared" si="39"/>
        <v>74.7</v>
      </c>
      <c r="W291" s="1">
        <f t="shared" si="40"/>
        <v>71.099999999999994</v>
      </c>
      <c r="X291" s="1" t="str">
        <f>IF(Table1[[#This Row],[World Rank]]&lt;=250,"Q1-Elite",IF(Table1[[#This Row],[World Rank]]&lt;=500,"Q2-Strong",IF(Table1[[#This Row],[World Rank]]&lt;=750,"Q3-Developing","Q4-Emerging")))</f>
        <v>Q2-Strong</v>
      </c>
    </row>
    <row r="292" spans="1:24" x14ac:dyDescent="0.2">
      <c r="A292" s="1">
        <v>291</v>
      </c>
      <c r="B292" s="1" t="s">
        <v>338</v>
      </c>
      <c r="C292" s="1" t="s">
        <v>68</v>
      </c>
      <c r="D292" s="1" t="s">
        <v>1124</v>
      </c>
      <c r="E292" s="1">
        <v>24</v>
      </c>
      <c r="F292" s="1">
        <v>667</v>
      </c>
      <c r="G292" s="1">
        <v>370</v>
      </c>
      <c r="H292" s="1">
        <v>304</v>
      </c>
      <c r="I292" s="1">
        <v>245</v>
      </c>
      <c r="J292" s="1">
        <v>259</v>
      </c>
      <c r="K292" s="1">
        <v>283</v>
      </c>
      <c r="L292" s="1">
        <v>327</v>
      </c>
      <c r="M292" s="1">
        <v>76.599999999999994</v>
      </c>
      <c r="N292" s="1">
        <v>40.420347900000003</v>
      </c>
      <c r="O292" s="1">
        <v>-79.116698299999996</v>
      </c>
      <c r="P292" s="14">
        <f t="shared" si="34"/>
        <v>74.2</v>
      </c>
      <c r="Q292" s="13">
        <v>20</v>
      </c>
      <c r="R292" s="16">
        <f t="shared" si="35"/>
        <v>63.1</v>
      </c>
      <c r="S292" s="14">
        <f t="shared" si="36"/>
        <v>0</v>
      </c>
      <c r="T292" s="13">
        <f t="shared" si="37"/>
        <v>75.599999999999994</v>
      </c>
      <c r="U292" s="14">
        <f t="shared" si="38"/>
        <v>71.8</v>
      </c>
      <c r="V292" s="14">
        <f t="shared" si="39"/>
        <v>67.400000000000006</v>
      </c>
      <c r="W292" s="1">
        <f t="shared" si="40"/>
        <v>71</v>
      </c>
      <c r="X292" s="1" t="str">
        <f>IF(Table1[[#This Row],[World Rank]]&lt;=250,"Q1-Elite",IF(Table1[[#This Row],[World Rank]]&lt;=500,"Q2-Strong",IF(Table1[[#This Row],[World Rank]]&lt;=750,"Q3-Developing","Q4-Emerging")))</f>
        <v>Q2-Strong</v>
      </c>
    </row>
    <row r="293" spans="1:24" x14ac:dyDescent="0.2">
      <c r="A293" s="1">
        <v>292</v>
      </c>
      <c r="B293" s="1" t="s">
        <v>339</v>
      </c>
      <c r="C293" s="1" t="s">
        <v>139</v>
      </c>
      <c r="D293" s="1" t="s">
        <v>1124</v>
      </c>
      <c r="E293" s="1">
        <v>6</v>
      </c>
      <c r="F293" s="1">
        <v>667</v>
      </c>
      <c r="G293" s="1">
        <v>714</v>
      </c>
      <c r="H293" s="1">
        <v>304</v>
      </c>
      <c r="I293" s="1">
        <v>287</v>
      </c>
      <c r="J293" s="1">
        <v>262</v>
      </c>
      <c r="K293" s="1">
        <v>329</v>
      </c>
      <c r="L293" s="1">
        <v>200</v>
      </c>
      <c r="M293" s="1">
        <v>76.5</v>
      </c>
      <c r="N293" s="1">
        <v>50.6402809</v>
      </c>
      <c r="O293" s="1">
        <v>4.6667145000000003</v>
      </c>
      <c r="P293" s="14">
        <f t="shared" si="34"/>
        <v>73.900000000000006</v>
      </c>
      <c r="Q293" s="13">
        <v>20</v>
      </c>
      <c r="R293" s="16">
        <f t="shared" si="35"/>
        <v>28.7</v>
      </c>
      <c r="S293" s="14">
        <f t="shared" si="36"/>
        <v>0</v>
      </c>
      <c r="T293" s="13">
        <f t="shared" si="37"/>
        <v>71.399999999999991</v>
      </c>
      <c r="U293" s="14">
        <f t="shared" si="38"/>
        <v>67.2</v>
      </c>
      <c r="V293" s="14">
        <f t="shared" si="39"/>
        <v>80.100000000000009</v>
      </c>
      <c r="W293" s="1">
        <f t="shared" si="40"/>
        <v>70.899999999999991</v>
      </c>
      <c r="X293" s="1" t="str">
        <f>IF(Table1[[#This Row],[World Rank]]&lt;=250,"Q1-Elite",IF(Table1[[#This Row],[World Rank]]&lt;=500,"Q2-Strong",IF(Table1[[#This Row],[World Rank]]&lt;=750,"Q3-Developing","Q4-Emerging")))</f>
        <v>Q2-Strong</v>
      </c>
    </row>
    <row r="294" spans="1:24" x14ac:dyDescent="0.2">
      <c r="A294" s="1">
        <v>293</v>
      </c>
      <c r="B294" s="1" t="s">
        <v>340</v>
      </c>
      <c r="C294" s="1" t="s">
        <v>341</v>
      </c>
      <c r="D294" s="1" t="s">
        <v>1123</v>
      </c>
      <c r="E294" s="1">
        <v>1</v>
      </c>
      <c r="F294" s="1">
        <v>305</v>
      </c>
      <c r="G294" s="1">
        <v>1001</v>
      </c>
      <c r="H294" s="1">
        <v>231</v>
      </c>
      <c r="I294" s="1">
        <v>237</v>
      </c>
      <c r="J294" s="1">
        <v>306</v>
      </c>
      <c r="K294" s="1">
        <v>350</v>
      </c>
      <c r="L294" s="1">
        <v>460</v>
      </c>
      <c r="M294" s="1">
        <v>76.5</v>
      </c>
      <c r="N294" s="1">
        <v>-34.996496299999997</v>
      </c>
      <c r="O294" s="1">
        <v>-64.967281700000001</v>
      </c>
      <c r="P294" s="14">
        <f t="shared" si="34"/>
        <v>69.5</v>
      </c>
      <c r="Q294" s="13">
        <f>((667 - F294) / 666) * 100</f>
        <v>54.354354354354349</v>
      </c>
      <c r="R294" s="16">
        <f t="shared" si="35"/>
        <v>0</v>
      </c>
      <c r="S294" s="14">
        <f t="shared" si="36"/>
        <v>24.092409240924091</v>
      </c>
      <c r="T294" s="13">
        <f t="shared" si="37"/>
        <v>76.400000000000006</v>
      </c>
      <c r="U294" s="14">
        <f t="shared" si="38"/>
        <v>65.100000000000009</v>
      </c>
      <c r="V294" s="14">
        <f t="shared" si="39"/>
        <v>54.1</v>
      </c>
      <c r="W294" s="1">
        <f t="shared" si="40"/>
        <v>70.8</v>
      </c>
      <c r="X294" s="1" t="str">
        <f>IF(Table1[[#This Row],[World Rank]]&lt;=250,"Q1-Elite",IF(Table1[[#This Row],[World Rank]]&lt;=500,"Q2-Strong",IF(Table1[[#This Row],[World Rank]]&lt;=750,"Q3-Developing","Q4-Emerging")))</f>
        <v>Q2-Strong</v>
      </c>
    </row>
    <row r="295" spans="1:24" x14ac:dyDescent="0.2">
      <c r="A295" s="1">
        <v>294</v>
      </c>
      <c r="B295" s="1" t="s">
        <v>342</v>
      </c>
      <c r="C295" s="1" t="s">
        <v>68</v>
      </c>
      <c r="D295" s="1" t="s">
        <v>1124</v>
      </c>
      <c r="E295" s="1">
        <v>25</v>
      </c>
      <c r="F295" s="1">
        <v>409</v>
      </c>
      <c r="G295" s="1">
        <v>1001</v>
      </c>
      <c r="H295" s="1">
        <v>304</v>
      </c>
      <c r="I295" s="1">
        <v>347</v>
      </c>
      <c r="J295" s="1">
        <v>317</v>
      </c>
      <c r="K295" s="1">
        <v>219</v>
      </c>
      <c r="L295" s="1">
        <v>222</v>
      </c>
      <c r="M295" s="1">
        <v>76.5</v>
      </c>
      <c r="N295" s="1">
        <v>40.420347900000003</v>
      </c>
      <c r="O295" s="1">
        <v>-79.116698299999996</v>
      </c>
      <c r="P295" s="14">
        <f t="shared" si="34"/>
        <v>68.400000000000006</v>
      </c>
      <c r="Q295" s="13">
        <f>((667 - F295) / 666) * 100</f>
        <v>38.738738738738739</v>
      </c>
      <c r="R295" s="16">
        <f t="shared" si="35"/>
        <v>0</v>
      </c>
      <c r="S295" s="14">
        <f t="shared" si="36"/>
        <v>0</v>
      </c>
      <c r="T295" s="13">
        <f t="shared" si="37"/>
        <v>65.400000000000006</v>
      </c>
      <c r="U295" s="14">
        <f t="shared" si="38"/>
        <v>78.2</v>
      </c>
      <c r="V295" s="14">
        <f t="shared" si="39"/>
        <v>77.900000000000006</v>
      </c>
      <c r="W295" s="1">
        <f t="shared" si="40"/>
        <v>70.7</v>
      </c>
      <c r="X295" s="1" t="str">
        <f>IF(Table1[[#This Row],[World Rank]]&lt;=250,"Q1-Elite",IF(Table1[[#This Row],[World Rank]]&lt;=500,"Q2-Strong",IF(Table1[[#This Row],[World Rank]]&lt;=750,"Q3-Developing","Q4-Emerging")))</f>
        <v>Q2-Strong</v>
      </c>
    </row>
    <row r="296" spans="1:24" x14ac:dyDescent="0.2">
      <c r="A296" s="1">
        <v>295</v>
      </c>
      <c r="B296" s="1" t="s">
        <v>343</v>
      </c>
      <c r="C296" s="1" t="s">
        <v>85</v>
      </c>
      <c r="D296" s="1" t="s">
        <v>1125</v>
      </c>
      <c r="E296" s="1">
        <v>6</v>
      </c>
      <c r="F296" s="1">
        <v>667</v>
      </c>
      <c r="G296" s="1">
        <v>156</v>
      </c>
      <c r="H296" s="1">
        <v>304</v>
      </c>
      <c r="I296" s="1">
        <v>209</v>
      </c>
      <c r="J296" s="1">
        <v>187</v>
      </c>
      <c r="K296" s="1">
        <v>306</v>
      </c>
      <c r="L296" s="1">
        <v>673</v>
      </c>
      <c r="M296" s="1">
        <v>76.5</v>
      </c>
      <c r="N296" s="1">
        <v>36.638392000000003</v>
      </c>
      <c r="O296" s="1">
        <v>127.69611879999999</v>
      </c>
      <c r="P296" s="14">
        <f t="shared" si="34"/>
        <v>81.399999999999991</v>
      </c>
      <c r="Q296" s="13">
        <v>20</v>
      </c>
      <c r="R296" s="16">
        <f t="shared" si="35"/>
        <v>84.5</v>
      </c>
      <c r="S296" s="14">
        <f t="shared" si="36"/>
        <v>0</v>
      </c>
      <c r="T296" s="13">
        <f t="shared" si="37"/>
        <v>79.2</v>
      </c>
      <c r="U296" s="14">
        <f t="shared" si="38"/>
        <v>69.5</v>
      </c>
      <c r="V296" s="14">
        <f t="shared" si="39"/>
        <v>32.800000000000004</v>
      </c>
      <c r="W296" s="1">
        <f t="shared" si="40"/>
        <v>70.599999999999994</v>
      </c>
      <c r="X296" s="1" t="str">
        <f>IF(Table1[[#This Row],[World Rank]]&lt;=250,"Q1-Elite",IF(Table1[[#This Row],[World Rank]]&lt;=500,"Q2-Strong",IF(Table1[[#This Row],[World Rank]]&lt;=750,"Q3-Developing","Q4-Emerging")))</f>
        <v>Q2-Strong</v>
      </c>
    </row>
    <row r="297" spans="1:24" x14ac:dyDescent="0.2">
      <c r="A297" s="1">
        <v>296</v>
      </c>
      <c r="B297" s="1" t="s">
        <v>344</v>
      </c>
      <c r="C297" s="1" t="s">
        <v>124</v>
      </c>
      <c r="D297" s="1" t="s">
        <v>1125</v>
      </c>
      <c r="E297" s="1">
        <v>13</v>
      </c>
      <c r="F297" s="1">
        <v>667</v>
      </c>
      <c r="G297" s="1">
        <v>1001</v>
      </c>
      <c r="H297" s="1">
        <v>304</v>
      </c>
      <c r="I297" s="1">
        <v>75</v>
      </c>
      <c r="J297" s="1">
        <v>181</v>
      </c>
      <c r="K297" s="1">
        <v>370</v>
      </c>
      <c r="L297" s="1">
        <v>898</v>
      </c>
      <c r="M297" s="1">
        <v>76.5</v>
      </c>
      <c r="N297" s="1">
        <v>30.047992000000001</v>
      </c>
      <c r="O297" s="1">
        <v>-94.335743300000004</v>
      </c>
      <c r="P297" s="14">
        <f t="shared" si="34"/>
        <v>82</v>
      </c>
      <c r="Q297" s="13">
        <v>20</v>
      </c>
      <c r="R297" s="16">
        <f t="shared" si="35"/>
        <v>0</v>
      </c>
      <c r="S297" s="14">
        <f t="shared" si="36"/>
        <v>0</v>
      </c>
      <c r="T297" s="13">
        <f t="shared" si="37"/>
        <v>92.600000000000009</v>
      </c>
      <c r="U297" s="14">
        <f t="shared" si="38"/>
        <v>63.1</v>
      </c>
      <c r="V297" s="14">
        <f t="shared" si="39"/>
        <v>10.299999999999999</v>
      </c>
      <c r="W297" s="1">
        <f t="shared" si="40"/>
        <v>70.5</v>
      </c>
      <c r="X297" s="1" t="str">
        <f>IF(Table1[[#This Row],[World Rank]]&lt;=250,"Q1-Elite",IF(Table1[[#This Row],[World Rank]]&lt;=500,"Q2-Strong",IF(Table1[[#This Row],[World Rank]]&lt;=750,"Q3-Developing","Q4-Emerging")))</f>
        <v>Q2-Strong</v>
      </c>
    </row>
    <row r="298" spans="1:24" x14ac:dyDescent="0.2">
      <c r="A298" s="1">
        <v>297</v>
      </c>
      <c r="B298" s="1" t="s">
        <v>345</v>
      </c>
      <c r="C298" s="1" t="s">
        <v>145</v>
      </c>
      <c r="D298" s="1" t="s">
        <v>1125</v>
      </c>
      <c r="E298" s="1">
        <v>2</v>
      </c>
      <c r="F298" s="1">
        <v>667</v>
      </c>
      <c r="G298" s="1">
        <v>102</v>
      </c>
      <c r="H298" s="1">
        <v>304</v>
      </c>
      <c r="I298" s="1">
        <v>168</v>
      </c>
      <c r="J298" s="1">
        <v>202</v>
      </c>
      <c r="K298" s="1">
        <v>484</v>
      </c>
      <c r="L298" s="1">
        <v>541</v>
      </c>
      <c r="M298" s="1">
        <v>76.5</v>
      </c>
      <c r="N298" s="1">
        <v>23.598322700000001</v>
      </c>
      <c r="O298" s="2" t="s">
        <v>146</v>
      </c>
      <c r="P298" s="14">
        <f t="shared" si="34"/>
        <v>79.900000000000006</v>
      </c>
      <c r="Q298" s="13">
        <v>20</v>
      </c>
      <c r="R298" s="16">
        <f t="shared" si="35"/>
        <v>89.9</v>
      </c>
      <c r="S298" s="14">
        <f t="shared" si="36"/>
        <v>0</v>
      </c>
      <c r="T298" s="13">
        <f t="shared" si="37"/>
        <v>83.3</v>
      </c>
      <c r="U298" s="14">
        <f t="shared" si="38"/>
        <v>51.7</v>
      </c>
      <c r="V298" s="14">
        <f t="shared" si="39"/>
        <v>46</v>
      </c>
      <c r="W298" s="1">
        <f t="shared" si="40"/>
        <v>70.399999999999991</v>
      </c>
      <c r="X298" s="1" t="str">
        <f>IF(Table1[[#This Row],[World Rank]]&lt;=250,"Q1-Elite",IF(Table1[[#This Row],[World Rank]]&lt;=500,"Q2-Strong",IF(Table1[[#This Row],[World Rank]]&lt;=750,"Q3-Developing","Q4-Emerging")))</f>
        <v>Q2-Strong</v>
      </c>
    </row>
    <row r="299" spans="1:24" x14ac:dyDescent="0.2">
      <c r="A299" s="1">
        <v>298</v>
      </c>
      <c r="B299" s="1" t="s">
        <v>346</v>
      </c>
      <c r="C299" s="1" t="s">
        <v>107</v>
      </c>
      <c r="D299" s="1" t="s">
        <v>1123</v>
      </c>
      <c r="E299" s="1">
        <v>2</v>
      </c>
      <c r="F299" s="1">
        <v>316</v>
      </c>
      <c r="G299" s="1">
        <v>401</v>
      </c>
      <c r="H299" s="1">
        <v>304</v>
      </c>
      <c r="I299" s="1">
        <v>192</v>
      </c>
      <c r="J299" s="1">
        <v>316</v>
      </c>
      <c r="K299" s="1">
        <v>328</v>
      </c>
      <c r="L299" s="1">
        <v>304</v>
      </c>
      <c r="M299" s="1">
        <v>76.400000000000006</v>
      </c>
      <c r="N299" s="1">
        <v>-10.3333333</v>
      </c>
      <c r="O299" s="1">
        <v>-53.2</v>
      </c>
      <c r="P299" s="14">
        <f t="shared" si="34"/>
        <v>68.5</v>
      </c>
      <c r="Q299" s="13">
        <f>((667 - F299) / 666) * 100</f>
        <v>52.702702702702695</v>
      </c>
      <c r="R299" s="16">
        <f t="shared" si="35"/>
        <v>60</v>
      </c>
      <c r="S299" s="14">
        <f t="shared" si="36"/>
        <v>0</v>
      </c>
      <c r="T299" s="13">
        <f t="shared" si="37"/>
        <v>80.900000000000006</v>
      </c>
      <c r="U299" s="14">
        <f t="shared" si="38"/>
        <v>67.300000000000011</v>
      </c>
      <c r="V299" s="14">
        <f t="shared" si="39"/>
        <v>69.699999999999989</v>
      </c>
      <c r="W299" s="1">
        <f t="shared" si="40"/>
        <v>70.3</v>
      </c>
      <c r="X299" s="1" t="str">
        <f>IF(Table1[[#This Row],[World Rank]]&lt;=250,"Q1-Elite",IF(Table1[[#This Row],[World Rank]]&lt;=500,"Q2-Strong",IF(Table1[[#This Row],[World Rank]]&lt;=750,"Q3-Developing","Q4-Emerging")))</f>
        <v>Q2-Strong</v>
      </c>
    </row>
    <row r="300" spans="1:24" x14ac:dyDescent="0.2">
      <c r="A300" s="1">
        <v>299</v>
      </c>
      <c r="B300" s="1" t="s">
        <v>347</v>
      </c>
      <c r="C300" s="1" t="s">
        <v>15</v>
      </c>
      <c r="D300" s="1" t="s">
        <v>1120</v>
      </c>
      <c r="E300" s="1">
        <v>103</v>
      </c>
      <c r="F300" s="1">
        <v>667</v>
      </c>
      <c r="G300" s="1">
        <v>114</v>
      </c>
      <c r="H300" s="1">
        <v>304</v>
      </c>
      <c r="I300" s="1">
        <v>358</v>
      </c>
      <c r="J300" s="1">
        <v>311</v>
      </c>
      <c r="K300" s="1">
        <v>290</v>
      </c>
      <c r="L300" s="1">
        <v>275</v>
      </c>
      <c r="M300" s="1">
        <v>76.400000000000006</v>
      </c>
      <c r="N300" s="1">
        <v>39.783730400000003</v>
      </c>
      <c r="O300" s="1">
        <v>-100.445882</v>
      </c>
      <c r="P300" s="14">
        <f t="shared" si="34"/>
        <v>69</v>
      </c>
      <c r="Q300" s="13">
        <v>20</v>
      </c>
      <c r="R300" s="16">
        <f t="shared" si="35"/>
        <v>88.7</v>
      </c>
      <c r="S300" s="14">
        <f t="shared" si="36"/>
        <v>0</v>
      </c>
      <c r="T300" s="13">
        <f t="shared" si="37"/>
        <v>64.3</v>
      </c>
      <c r="U300" s="14">
        <f t="shared" si="38"/>
        <v>71.099999999999994</v>
      </c>
      <c r="V300" s="14">
        <f t="shared" si="39"/>
        <v>72.599999999999994</v>
      </c>
      <c r="W300" s="1">
        <f t="shared" si="40"/>
        <v>70.199999999999989</v>
      </c>
      <c r="X300" s="1" t="str">
        <f>IF(Table1[[#This Row],[World Rank]]&lt;=250,"Q1-Elite",IF(Table1[[#This Row],[World Rank]]&lt;=500,"Q2-Strong",IF(Table1[[#This Row],[World Rank]]&lt;=750,"Q3-Developing","Q4-Emerging")))</f>
        <v>Q2-Strong</v>
      </c>
    </row>
    <row r="301" spans="1:24" x14ac:dyDescent="0.2">
      <c r="A301" s="1">
        <v>300</v>
      </c>
      <c r="B301" s="1" t="s">
        <v>348</v>
      </c>
      <c r="C301" s="1" t="s">
        <v>124</v>
      </c>
      <c r="D301" s="1" t="s">
        <v>1125</v>
      </c>
      <c r="E301" s="1">
        <v>14</v>
      </c>
      <c r="F301" s="1">
        <v>667</v>
      </c>
      <c r="G301" s="1">
        <v>470</v>
      </c>
      <c r="H301" s="1">
        <v>304</v>
      </c>
      <c r="I301" s="1">
        <v>104</v>
      </c>
      <c r="J301" s="1">
        <v>163</v>
      </c>
      <c r="K301" s="1">
        <v>794</v>
      </c>
      <c r="L301" s="1">
        <v>405</v>
      </c>
      <c r="M301" s="1">
        <v>76.400000000000006</v>
      </c>
      <c r="N301" s="1">
        <v>30.047992000000001</v>
      </c>
      <c r="O301" s="1">
        <v>-94.335743300000004</v>
      </c>
      <c r="P301" s="14">
        <f t="shared" si="34"/>
        <v>83.8</v>
      </c>
      <c r="Q301" s="13">
        <v>20</v>
      </c>
      <c r="R301" s="16">
        <f t="shared" si="35"/>
        <v>53.1</v>
      </c>
      <c r="S301" s="14">
        <f t="shared" si="36"/>
        <v>0</v>
      </c>
      <c r="T301" s="13">
        <f t="shared" si="37"/>
        <v>89.7</v>
      </c>
      <c r="U301" s="14">
        <f t="shared" si="38"/>
        <v>20.7</v>
      </c>
      <c r="V301" s="14">
        <f t="shared" si="39"/>
        <v>59.599999999999994</v>
      </c>
      <c r="W301" s="1">
        <f t="shared" si="40"/>
        <v>70.099999999999994</v>
      </c>
      <c r="X301" s="1" t="str">
        <f>IF(Table1[[#This Row],[World Rank]]&lt;=250,"Q1-Elite",IF(Table1[[#This Row],[World Rank]]&lt;=500,"Q2-Strong",IF(Table1[[#This Row],[World Rank]]&lt;=750,"Q3-Developing","Q4-Emerging")))</f>
        <v>Q2-Strong</v>
      </c>
    </row>
    <row r="302" spans="1:24" x14ac:dyDescent="0.2">
      <c r="A302" s="1">
        <v>301</v>
      </c>
      <c r="B302" s="1" t="s">
        <v>349</v>
      </c>
      <c r="C302" s="1" t="s">
        <v>212</v>
      </c>
      <c r="D302" s="1" t="s">
        <v>1124</v>
      </c>
      <c r="E302" s="1">
        <v>3</v>
      </c>
      <c r="F302" s="1">
        <v>414</v>
      </c>
      <c r="G302" s="1">
        <v>787</v>
      </c>
      <c r="H302" s="1">
        <v>136</v>
      </c>
      <c r="I302" s="1">
        <v>528</v>
      </c>
      <c r="J302" s="1">
        <v>450</v>
      </c>
      <c r="K302" s="1">
        <v>241</v>
      </c>
      <c r="L302" s="1">
        <v>327</v>
      </c>
      <c r="M302" s="1">
        <v>76.400000000000006</v>
      </c>
      <c r="N302" s="1">
        <v>47.593969999999999</v>
      </c>
      <c r="O302" s="1">
        <v>14.124560000000001</v>
      </c>
      <c r="P302" s="14">
        <f t="shared" si="34"/>
        <v>55.1</v>
      </c>
      <c r="Q302" s="13">
        <f>((667 - F302) / 666) * 100</f>
        <v>37.987987987987985</v>
      </c>
      <c r="R302" s="16">
        <f t="shared" si="35"/>
        <v>21.4</v>
      </c>
      <c r="S302" s="14">
        <f t="shared" si="36"/>
        <v>55.445544554455452</v>
      </c>
      <c r="T302" s="13">
        <f t="shared" si="37"/>
        <v>47.3</v>
      </c>
      <c r="U302" s="14">
        <f t="shared" si="38"/>
        <v>76</v>
      </c>
      <c r="V302" s="14">
        <f t="shared" si="39"/>
        <v>67.400000000000006</v>
      </c>
      <c r="W302" s="1">
        <f t="shared" si="40"/>
        <v>70</v>
      </c>
      <c r="X302" s="1" t="str">
        <f>IF(Table1[[#This Row],[World Rank]]&lt;=250,"Q1-Elite",IF(Table1[[#This Row],[World Rank]]&lt;=500,"Q2-Strong",IF(Table1[[#This Row],[World Rank]]&lt;=750,"Q3-Developing","Q4-Emerging")))</f>
        <v>Q2-Strong</v>
      </c>
    </row>
    <row r="303" spans="1:24" x14ac:dyDescent="0.2">
      <c r="A303" s="1">
        <v>302</v>
      </c>
      <c r="B303" s="1" t="s">
        <v>350</v>
      </c>
      <c r="C303" s="1" t="s">
        <v>124</v>
      </c>
      <c r="D303" s="1" t="s">
        <v>1125</v>
      </c>
      <c r="E303" s="1">
        <v>15</v>
      </c>
      <c r="F303" s="1">
        <v>667</v>
      </c>
      <c r="G303" s="1">
        <v>1001</v>
      </c>
      <c r="H303" s="1">
        <v>304</v>
      </c>
      <c r="I303" s="1">
        <v>248</v>
      </c>
      <c r="J303" s="1">
        <v>310</v>
      </c>
      <c r="K303" s="1">
        <v>239</v>
      </c>
      <c r="L303" s="1">
        <v>363</v>
      </c>
      <c r="M303" s="1">
        <v>76.400000000000006</v>
      </c>
      <c r="N303" s="1">
        <v>30.047992000000001</v>
      </c>
      <c r="O303" s="1">
        <v>-94.335743300000004</v>
      </c>
      <c r="P303" s="14">
        <f t="shared" si="34"/>
        <v>69.099999999999994</v>
      </c>
      <c r="Q303" s="13">
        <v>20</v>
      </c>
      <c r="R303" s="16">
        <f t="shared" si="35"/>
        <v>0</v>
      </c>
      <c r="S303" s="14">
        <f t="shared" si="36"/>
        <v>0</v>
      </c>
      <c r="T303" s="13">
        <f t="shared" si="37"/>
        <v>75.3</v>
      </c>
      <c r="U303" s="14">
        <f t="shared" si="38"/>
        <v>76.2</v>
      </c>
      <c r="V303" s="14">
        <f t="shared" si="39"/>
        <v>63.800000000000004</v>
      </c>
      <c r="W303" s="1">
        <f t="shared" si="40"/>
        <v>69.899999999999991</v>
      </c>
      <c r="X303" s="1" t="str">
        <f>IF(Table1[[#This Row],[World Rank]]&lt;=250,"Q1-Elite",IF(Table1[[#This Row],[World Rank]]&lt;=500,"Q2-Strong",IF(Table1[[#This Row],[World Rank]]&lt;=750,"Q3-Developing","Q4-Emerging")))</f>
        <v>Q2-Strong</v>
      </c>
    </row>
    <row r="304" spans="1:24" x14ac:dyDescent="0.2">
      <c r="A304" s="1">
        <v>303</v>
      </c>
      <c r="B304" s="1" t="s">
        <v>351</v>
      </c>
      <c r="C304" s="1" t="s">
        <v>28</v>
      </c>
      <c r="D304" s="1" t="s">
        <v>1125</v>
      </c>
      <c r="E304" s="1">
        <v>12</v>
      </c>
      <c r="F304" s="1">
        <v>562</v>
      </c>
      <c r="G304" s="1">
        <v>23</v>
      </c>
      <c r="H304" s="1">
        <v>304</v>
      </c>
      <c r="I304" s="1">
        <v>470</v>
      </c>
      <c r="J304" s="1">
        <v>471</v>
      </c>
      <c r="K304" s="1">
        <v>445</v>
      </c>
      <c r="L304" s="1">
        <v>541</v>
      </c>
      <c r="M304" s="1">
        <v>76.400000000000006</v>
      </c>
      <c r="N304" s="1">
        <v>36.5748441</v>
      </c>
      <c r="O304" s="1">
        <v>139.23941790000001</v>
      </c>
      <c r="P304" s="14">
        <f t="shared" si="34"/>
        <v>53</v>
      </c>
      <c r="Q304" s="13">
        <v>20</v>
      </c>
      <c r="R304" s="16">
        <f t="shared" si="35"/>
        <v>97.8</v>
      </c>
      <c r="S304" s="14">
        <f t="shared" si="36"/>
        <v>0</v>
      </c>
      <c r="T304" s="13">
        <f t="shared" si="37"/>
        <v>53.1</v>
      </c>
      <c r="U304" s="14">
        <f t="shared" si="38"/>
        <v>55.600000000000009</v>
      </c>
      <c r="V304" s="14">
        <f t="shared" si="39"/>
        <v>46</v>
      </c>
      <c r="W304" s="1">
        <f t="shared" si="40"/>
        <v>69.8</v>
      </c>
      <c r="X304" s="1" t="str">
        <f>IF(Table1[[#This Row],[World Rank]]&lt;=250,"Q1-Elite",IF(Table1[[#This Row],[World Rank]]&lt;=500,"Q2-Strong",IF(Table1[[#This Row],[World Rank]]&lt;=750,"Q3-Developing","Q4-Emerging")))</f>
        <v>Q2-Strong</v>
      </c>
    </row>
    <row r="305" spans="1:24" x14ac:dyDescent="0.2">
      <c r="A305" s="1">
        <v>304</v>
      </c>
      <c r="B305" s="1" t="s">
        <v>352</v>
      </c>
      <c r="C305" s="1" t="s">
        <v>15</v>
      </c>
      <c r="D305" s="1" t="s">
        <v>1120</v>
      </c>
      <c r="E305" s="1">
        <v>104</v>
      </c>
      <c r="F305" s="1">
        <v>412</v>
      </c>
      <c r="G305" s="1">
        <v>493</v>
      </c>
      <c r="H305" s="1">
        <v>185</v>
      </c>
      <c r="I305" s="1">
        <v>521</v>
      </c>
      <c r="J305" s="1">
        <v>401</v>
      </c>
      <c r="K305" s="1">
        <v>383</v>
      </c>
      <c r="L305" s="1">
        <v>222</v>
      </c>
      <c r="M305" s="1">
        <v>76.3</v>
      </c>
      <c r="N305" s="1">
        <v>39.783730400000003</v>
      </c>
      <c r="O305" s="1">
        <v>-100.445882</v>
      </c>
      <c r="P305" s="14">
        <f t="shared" si="34"/>
        <v>60</v>
      </c>
      <c r="Q305" s="13">
        <f>((667 - F305) / 666) * 100</f>
        <v>38.288288288288285</v>
      </c>
      <c r="R305" s="16">
        <f t="shared" si="35"/>
        <v>50.8</v>
      </c>
      <c r="S305" s="14">
        <f t="shared" si="36"/>
        <v>39.273927392739274</v>
      </c>
      <c r="T305" s="13">
        <f t="shared" si="37"/>
        <v>48</v>
      </c>
      <c r="U305" s="14">
        <f t="shared" si="38"/>
        <v>61.8</v>
      </c>
      <c r="V305" s="14">
        <f t="shared" si="39"/>
        <v>77.900000000000006</v>
      </c>
      <c r="W305" s="1">
        <f t="shared" si="40"/>
        <v>69.699999999999989</v>
      </c>
      <c r="X305" s="1" t="str">
        <f>IF(Table1[[#This Row],[World Rank]]&lt;=250,"Q1-Elite",IF(Table1[[#This Row],[World Rank]]&lt;=500,"Q2-Strong",IF(Table1[[#This Row],[World Rank]]&lt;=750,"Q3-Developing","Q4-Emerging")))</f>
        <v>Q2-Strong</v>
      </c>
    </row>
    <row r="306" spans="1:24" x14ac:dyDescent="0.2">
      <c r="A306" s="1">
        <v>305</v>
      </c>
      <c r="B306" s="1" t="s">
        <v>353</v>
      </c>
      <c r="C306" s="1" t="s">
        <v>354</v>
      </c>
      <c r="D306" s="1" t="s">
        <v>1124</v>
      </c>
      <c r="E306" s="1">
        <v>1</v>
      </c>
      <c r="F306" s="1">
        <v>667</v>
      </c>
      <c r="G306" s="1">
        <v>634</v>
      </c>
      <c r="H306" s="1">
        <v>304</v>
      </c>
      <c r="I306" s="1">
        <v>201</v>
      </c>
      <c r="J306" s="1">
        <v>268</v>
      </c>
      <c r="K306" s="1">
        <v>416</v>
      </c>
      <c r="L306" s="1">
        <v>275</v>
      </c>
      <c r="M306" s="1">
        <v>76.3</v>
      </c>
      <c r="N306" s="1">
        <v>43.209783799999997</v>
      </c>
      <c r="O306" s="1">
        <v>-77.693060200000005</v>
      </c>
      <c r="P306" s="14">
        <f t="shared" si="34"/>
        <v>73.3</v>
      </c>
      <c r="Q306" s="13">
        <v>20</v>
      </c>
      <c r="R306" s="16">
        <f t="shared" si="35"/>
        <v>36.700000000000003</v>
      </c>
      <c r="S306" s="14">
        <f t="shared" si="36"/>
        <v>0</v>
      </c>
      <c r="T306" s="13">
        <f t="shared" si="37"/>
        <v>80</v>
      </c>
      <c r="U306" s="14">
        <f t="shared" si="38"/>
        <v>58.5</v>
      </c>
      <c r="V306" s="14">
        <f t="shared" si="39"/>
        <v>72.599999999999994</v>
      </c>
      <c r="W306" s="1">
        <f t="shared" si="40"/>
        <v>69.599999999999994</v>
      </c>
      <c r="X306" s="1" t="str">
        <f>IF(Table1[[#This Row],[World Rank]]&lt;=250,"Q1-Elite",IF(Table1[[#This Row],[World Rank]]&lt;=500,"Q2-Strong",IF(Table1[[#This Row],[World Rank]]&lt;=750,"Q3-Developing","Q4-Emerging")))</f>
        <v>Q2-Strong</v>
      </c>
    </row>
    <row r="307" spans="1:24" x14ac:dyDescent="0.2">
      <c r="A307" s="1">
        <v>306</v>
      </c>
      <c r="B307" s="1" t="s">
        <v>355</v>
      </c>
      <c r="C307" s="1" t="s">
        <v>15</v>
      </c>
      <c r="D307" s="1" t="s">
        <v>1120</v>
      </c>
      <c r="E307" s="1">
        <v>105</v>
      </c>
      <c r="F307" s="1">
        <v>667</v>
      </c>
      <c r="G307" s="1">
        <v>1001</v>
      </c>
      <c r="H307" s="1">
        <v>100</v>
      </c>
      <c r="I307" s="1">
        <v>574</v>
      </c>
      <c r="J307" s="1">
        <v>447</v>
      </c>
      <c r="K307" s="1">
        <v>245</v>
      </c>
      <c r="L307" s="1">
        <v>541</v>
      </c>
      <c r="M307" s="1">
        <v>76.3</v>
      </c>
      <c r="N307" s="1">
        <v>39.783730400000003</v>
      </c>
      <c r="O307" s="1">
        <v>-100.445882</v>
      </c>
      <c r="P307" s="14">
        <f t="shared" si="34"/>
        <v>55.400000000000006</v>
      </c>
      <c r="Q307" s="13">
        <v>20</v>
      </c>
      <c r="R307" s="16">
        <f t="shared" si="35"/>
        <v>0</v>
      </c>
      <c r="S307" s="14">
        <f t="shared" si="36"/>
        <v>67.32673267326733</v>
      </c>
      <c r="T307" s="13">
        <f t="shared" si="37"/>
        <v>42.699999999999996</v>
      </c>
      <c r="U307" s="14">
        <f t="shared" si="38"/>
        <v>75.599999999999994</v>
      </c>
      <c r="V307" s="14">
        <f t="shared" si="39"/>
        <v>46</v>
      </c>
      <c r="W307" s="1">
        <f t="shared" si="40"/>
        <v>69.5</v>
      </c>
      <c r="X307" s="1" t="str">
        <f>IF(Table1[[#This Row],[World Rank]]&lt;=250,"Q1-Elite",IF(Table1[[#This Row],[World Rank]]&lt;=500,"Q2-Strong",IF(Table1[[#This Row],[World Rank]]&lt;=750,"Q3-Developing","Q4-Emerging")))</f>
        <v>Q2-Strong</v>
      </c>
    </row>
    <row r="308" spans="1:24" x14ac:dyDescent="0.2">
      <c r="A308" s="1">
        <v>307</v>
      </c>
      <c r="B308" s="1" t="s">
        <v>356</v>
      </c>
      <c r="C308" s="1" t="s">
        <v>48</v>
      </c>
      <c r="D308" s="1" t="s">
        <v>1124</v>
      </c>
      <c r="E308" s="1">
        <v>14</v>
      </c>
      <c r="F308" s="1">
        <v>470</v>
      </c>
      <c r="G308" s="1">
        <v>376</v>
      </c>
      <c r="H308" s="1">
        <v>271</v>
      </c>
      <c r="I308" s="1">
        <v>311</v>
      </c>
      <c r="J308" s="1">
        <v>328</v>
      </c>
      <c r="K308" s="1">
        <v>314</v>
      </c>
      <c r="L308" s="1">
        <v>363</v>
      </c>
      <c r="M308" s="1">
        <v>76.3</v>
      </c>
      <c r="N308" s="1">
        <v>46.603354000000003</v>
      </c>
      <c r="O308" s="1">
        <v>1.8883335000000001</v>
      </c>
      <c r="P308" s="14">
        <f t="shared" si="34"/>
        <v>67.300000000000011</v>
      </c>
      <c r="Q308" s="13">
        <f>((667 - F308) / 666) * 100</f>
        <v>29.57957957957958</v>
      </c>
      <c r="R308" s="16">
        <f t="shared" si="35"/>
        <v>62.5</v>
      </c>
      <c r="S308" s="14">
        <f t="shared" si="36"/>
        <v>10.891089108910892</v>
      </c>
      <c r="T308" s="13">
        <f t="shared" si="37"/>
        <v>69</v>
      </c>
      <c r="U308" s="14">
        <f t="shared" si="38"/>
        <v>68.7</v>
      </c>
      <c r="V308" s="14">
        <f t="shared" si="39"/>
        <v>63.800000000000004</v>
      </c>
      <c r="W308" s="1">
        <f t="shared" si="40"/>
        <v>69.399999999999991</v>
      </c>
      <c r="X308" s="1" t="str">
        <f>IF(Table1[[#This Row],[World Rank]]&lt;=250,"Q1-Elite",IF(Table1[[#This Row],[World Rank]]&lt;=500,"Q2-Strong",IF(Table1[[#This Row],[World Rank]]&lt;=750,"Q3-Developing","Q4-Emerging")))</f>
        <v>Q2-Strong</v>
      </c>
    </row>
    <row r="309" spans="1:24" x14ac:dyDescent="0.2">
      <c r="A309" s="1">
        <v>308</v>
      </c>
      <c r="B309" s="1" t="s">
        <v>357</v>
      </c>
      <c r="C309" s="1" t="s">
        <v>15</v>
      </c>
      <c r="D309" s="1" t="s">
        <v>1120</v>
      </c>
      <c r="E309" s="1">
        <v>106</v>
      </c>
      <c r="F309" s="1">
        <v>413</v>
      </c>
      <c r="G309" s="1">
        <v>169</v>
      </c>
      <c r="H309" s="1">
        <v>304</v>
      </c>
      <c r="I309" s="1">
        <v>352</v>
      </c>
      <c r="J309" s="1">
        <v>295</v>
      </c>
      <c r="K309" s="1">
        <v>234</v>
      </c>
      <c r="L309" s="1">
        <v>405</v>
      </c>
      <c r="M309" s="1">
        <v>76.3</v>
      </c>
      <c r="N309" s="1">
        <v>39.783730400000003</v>
      </c>
      <c r="O309" s="1">
        <v>-100.445882</v>
      </c>
      <c r="P309" s="14">
        <f t="shared" si="34"/>
        <v>70.599999999999994</v>
      </c>
      <c r="Q309" s="13">
        <f>((667 - F309) / 666) * 100</f>
        <v>38.138138138138139</v>
      </c>
      <c r="R309" s="16">
        <f t="shared" si="35"/>
        <v>83.2</v>
      </c>
      <c r="S309" s="14">
        <f t="shared" si="36"/>
        <v>0</v>
      </c>
      <c r="T309" s="13">
        <f t="shared" si="37"/>
        <v>64.900000000000006</v>
      </c>
      <c r="U309" s="14">
        <f t="shared" si="38"/>
        <v>76.7</v>
      </c>
      <c r="V309" s="14">
        <f t="shared" si="39"/>
        <v>59.599999999999994</v>
      </c>
      <c r="W309" s="1">
        <f t="shared" si="40"/>
        <v>69.3</v>
      </c>
      <c r="X309" s="1" t="str">
        <f>IF(Table1[[#This Row],[World Rank]]&lt;=250,"Q1-Elite",IF(Table1[[#This Row],[World Rank]]&lt;=500,"Q2-Strong",IF(Table1[[#This Row],[World Rank]]&lt;=750,"Q3-Developing","Q4-Emerging")))</f>
        <v>Q2-Strong</v>
      </c>
    </row>
    <row r="310" spans="1:24" x14ac:dyDescent="0.2">
      <c r="A310" s="1">
        <v>309</v>
      </c>
      <c r="B310" s="1" t="s">
        <v>358</v>
      </c>
      <c r="C310" s="1" t="s">
        <v>281</v>
      </c>
      <c r="D310" s="1" t="s">
        <v>1121</v>
      </c>
      <c r="E310" s="1">
        <v>2</v>
      </c>
      <c r="F310" s="1">
        <v>667</v>
      </c>
      <c r="G310" s="1">
        <v>864</v>
      </c>
      <c r="H310" s="1">
        <v>304</v>
      </c>
      <c r="I310" s="1">
        <v>323</v>
      </c>
      <c r="J310" s="1">
        <v>308</v>
      </c>
      <c r="K310" s="1">
        <v>282</v>
      </c>
      <c r="L310" s="1">
        <v>254</v>
      </c>
      <c r="M310" s="1">
        <v>76.3</v>
      </c>
      <c r="N310" s="1">
        <v>-41.500083099999998</v>
      </c>
      <c r="O310" s="1">
        <v>172.83440770000001</v>
      </c>
      <c r="P310" s="14">
        <f t="shared" si="34"/>
        <v>69.3</v>
      </c>
      <c r="Q310" s="13">
        <v>20</v>
      </c>
      <c r="R310" s="16">
        <f t="shared" si="35"/>
        <v>13.700000000000001</v>
      </c>
      <c r="S310" s="14">
        <f t="shared" si="36"/>
        <v>0</v>
      </c>
      <c r="T310" s="13">
        <f t="shared" si="37"/>
        <v>67.800000000000011</v>
      </c>
      <c r="U310" s="14">
        <f t="shared" si="38"/>
        <v>71.899999999999991</v>
      </c>
      <c r="V310" s="14">
        <f t="shared" si="39"/>
        <v>74.7</v>
      </c>
      <c r="W310" s="1">
        <f t="shared" si="40"/>
        <v>69.199999999999989</v>
      </c>
      <c r="X310" s="1" t="str">
        <f>IF(Table1[[#This Row],[World Rank]]&lt;=250,"Q1-Elite",IF(Table1[[#This Row],[World Rank]]&lt;=500,"Q2-Strong",IF(Table1[[#This Row],[World Rank]]&lt;=750,"Q3-Developing","Q4-Emerging")))</f>
        <v>Q2-Strong</v>
      </c>
    </row>
    <row r="311" spans="1:24" x14ac:dyDescent="0.2">
      <c r="A311" s="1">
        <v>310</v>
      </c>
      <c r="B311" s="1" t="s">
        <v>359</v>
      </c>
      <c r="C311" s="1" t="s">
        <v>48</v>
      </c>
      <c r="D311" s="1" t="s">
        <v>1124</v>
      </c>
      <c r="E311" s="1">
        <v>15</v>
      </c>
      <c r="F311" s="1">
        <v>667</v>
      </c>
      <c r="G311" s="1">
        <v>1001</v>
      </c>
      <c r="H311" s="1">
        <v>304</v>
      </c>
      <c r="I311" s="1">
        <v>442</v>
      </c>
      <c r="J311" s="1">
        <v>344</v>
      </c>
      <c r="K311" s="1">
        <v>191</v>
      </c>
      <c r="L311" s="1">
        <v>240</v>
      </c>
      <c r="M311" s="1">
        <v>76.2</v>
      </c>
      <c r="N311" s="1">
        <v>46.603354000000003</v>
      </c>
      <c r="O311" s="1">
        <v>1.8883335000000001</v>
      </c>
      <c r="P311" s="14">
        <f t="shared" si="34"/>
        <v>65.7</v>
      </c>
      <c r="Q311" s="13">
        <v>20</v>
      </c>
      <c r="R311" s="16">
        <f t="shared" si="35"/>
        <v>0</v>
      </c>
      <c r="S311" s="14">
        <f t="shared" si="36"/>
        <v>0</v>
      </c>
      <c r="T311" s="13">
        <f t="shared" si="37"/>
        <v>55.900000000000006</v>
      </c>
      <c r="U311" s="14">
        <f t="shared" si="38"/>
        <v>81</v>
      </c>
      <c r="V311" s="14">
        <f t="shared" si="39"/>
        <v>76.099999999999994</v>
      </c>
      <c r="W311" s="1">
        <f t="shared" si="40"/>
        <v>69.099999999999994</v>
      </c>
      <c r="X311" s="1" t="str">
        <f>IF(Table1[[#This Row],[World Rank]]&lt;=250,"Q1-Elite",IF(Table1[[#This Row],[World Rank]]&lt;=500,"Q2-Strong",IF(Table1[[#This Row],[World Rank]]&lt;=750,"Q3-Developing","Q4-Emerging")))</f>
        <v>Q2-Strong</v>
      </c>
    </row>
    <row r="312" spans="1:24" x14ac:dyDescent="0.2">
      <c r="A312" s="1">
        <v>311</v>
      </c>
      <c r="B312" s="1" t="s">
        <v>360</v>
      </c>
      <c r="C312" s="1" t="s">
        <v>34</v>
      </c>
      <c r="D312" s="1" t="s">
        <v>1120</v>
      </c>
      <c r="E312" s="1">
        <v>15</v>
      </c>
      <c r="F312" s="1">
        <v>667</v>
      </c>
      <c r="G312" s="1">
        <v>1001</v>
      </c>
      <c r="H312" s="1">
        <v>304</v>
      </c>
      <c r="I312" s="1">
        <v>370</v>
      </c>
      <c r="J312" s="1">
        <v>302</v>
      </c>
      <c r="K312" s="1">
        <v>262</v>
      </c>
      <c r="L312" s="1">
        <v>254</v>
      </c>
      <c r="M312" s="1">
        <v>76.2</v>
      </c>
      <c r="N312" s="1">
        <v>61.066692199999999</v>
      </c>
      <c r="O312" s="1">
        <v>-107.99170700000001</v>
      </c>
      <c r="P312" s="14">
        <f t="shared" si="34"/>
        <v>69.899999999999991</v>
      </c>
      <c r="Q312" s="13">
        <v>20</v>
      </c>
      <c r="R312" s="16">
        <f t="shared" si="35"/>
        <v>0</v>
      </c>
      <c r="S312" s="14">
        <f t="shared" si="36"/>
        <v>0</v>
      </c>
      <c r="T312" s="13">
        <f t="shared" si="37"/>
        <v>63.1</v>
      </c>
      <c r="U312" s="14">
        <f t="shared" si="38"/>
        <v>73.900000000000006</v>
      </c>
      <c r="V312" s="14">
        <f t="shared" si="39"/>
        <v>74.7</v>
      </c>
      <c r="W312" s="1">
        <f t="shared" si="40"/>
        <v>69</v>
      </c>
      <c r="X312" s="1" t="str">
        <f>IF(Table1[[#This Row],[World Rank]]&lt;=250,"Q1-Elite",IF(Table1[[#This Row],[World Rank]]&lt;=500,"Q2-Strong",IF(Table1[[#This Row],[World Rank]]&lt;=750,"Q3-Developing","Q4-Emerging")))</f>
        <v>Q2-Strong</v>
      </c>
    </row>
    <row r="313" spans="1:24" x14ac:dyDescent="0.2">
      <c r="A313" s="1">
        <v>312</v>
      </c>
      <c r="B313" s="1" t="s">
        <v>361</v>
      </c>
      <c r="C313" s="1" t="s">
        <v>124</v>
      </c>
      <c r="D313" s="1" t="s">
        <v>1125</v>
      </c>
      <c r="E313" s="1">
        <v>16</v>
      </c>
      <c r="F313" s="1">
        <v>335</v>
      </c>
      <c r="G313" s="1">
        <v>248</v>
      </c>
      <c r="H313" s="1">
        <v>304</v>
      </c>
      <c r="I313" s="1">
        <v>156</v>
      </c>
      <c r="J313" s="1">
        <v>250</v>
      </c>
      <c r="K313" s="1">
        <v>396</v>
      </c>
      <c r="L313" s="1">
        <v>541</v>
      </c>
      <c r="M313" s="1">
        <v>76.2</v>
      </c>
      <c r="N313" s="1">
        <v>30.047992000000001</v>
      </c>
      <c r="O313" s="1">
        <v>-94.335743300000004</v>
      </c>
      <c r="P313" s="14">
        <f t="shared" si="34"/>
        <v>75.099999999999994</v>
      </c>
      <c r="Q313" s="13">
        <f>((667 - F313) / 666) * 100</f>
        <v>49.849849849849846</v>
      </c>
      <c r="R313" s="16">
        <f t="shared" si="35"/>
        <v>75.3</v>
      </c>
      <c r="S313" s="14">
        <f t="shared" si="36"/>
        <v>0</v>
      </c>
      <c r="T313" s="13">
        <f t="shared" si="37"/>
        <v>84.5</v>
      </c>
      <c r="U313" s="14">
        <f t="shared" si="38"/>
        <v>60.5</v>
      </c>
      <c r="V313" s="14">
        <f t="shared" si="39"/>
        <v>46</v>
      </c>
      <c r="W313" s="1">
        <f t="shared" si="40"/>
        <v>68.899999999999991</v>
      </c>
      <c r="X313" s="1" t="str">
        <f>IF(Table1[[#This Row],[World Rank]]&lt;=250,"Q1-Elite",IF(Table1[[#This Row],[World Rank]]&lt;=500,"Q2-Strong",IF(Table1[[#This Row],[World Rank]]&lt;=750,"Q3-Developing","Q4-Emerging")))</f>
        <v>Q2-Strong</v>
      </c>
    </row>
    <row r="314" spans="1:24" x14ac:dyDescent="0.2">
      <c r="A314" s="1">
        <v>313</v>
      </c>
      <c r="B314" s="1" t="s">
        <v>362</v>
      </c>
      <c r="C314" s="1" t="s">
        <v>15</v>
      </c>
      <c r="D314" s="1" t="s">
        <v>1120</v>
      </c>
      <c r="E314" s="1">
        <v>107</v>
      </c>
      <c r="F314" s="1">
        <v>360</v>
      </c>
      <c r="G314" s="1">
        <v>386</v>
      </c>
      <c r="H314" s="1">
        <v>304</v>
      </c>
      <c r="I314" s="1">
        <v>325</v>
      </c>
      <c r="J314" s="1">
        <v>298</v>
      </c>
      <c r="K314" s="1">
        <v>309</v>
      </c>
      <c r="L314" s="1">
        <v>275</v>
      </c>
      <c r="M314" s="1">
        <v>76.2</v>
      </c>
      <c r="N314" s="1">
        <v>39.783730400000003</v>
      </c>
      <c r="O314" s="1">
        <v>-100.445882</v>
      </c>
      <c r="P314" s="14">
        <f t="shared" si="34"/>
        <v>70.3</v>
      </c>
      <c r="Q314" s="13">
        <f>((667 - F314) / 666) * 100</f>
        <v>46.096096096096097</v>
      </c>
      <c r="R314" s="16">
        <f t="shared" si="35"/>
        <v>61.5</v>
      </c>
      <c r="S314" s="14">
        <f t="shared" si="36"/>
        <v>0</v>
      </c>
      <c r="T314" s="13">
        <f t="shared" si="37"/>
        <v>67.600000000000009</v>
      </c>
      <c r="U314" s="14">
        <f t="shared" si="38"/>
        <v>69.199999999999989</v>
      </c>
      <c r="V314" s="14">
        <f t="shared" si="39"/>
        <v>72.599999999999994</v>
      </c>
      <c r="W314" s="1">
        <f t="shared" si="40"/>
        <v>68.8</v>
      </c>
      <c r="X314" s="1" t="str">
        <f>IF(Table1[[#This Row],[World Rank]]&lt;=250,"Q1-Elite",IF(Table1[[#This Row],[World Rank]]&lt;=500,"Q2-Strong",IF(Table1[[#This Row],[World Rank]]&lt;=750,"Q3-Developing","Q4-Emerging")))</f>
        <v>Q2-Strong</v>
      </c>
    </row>
    <row r="315" spans="1:24" x14ac:dyDescent="0.2">
      <c r="A315" s="1">
        <v>314</v>
      </c>
      <c r="B315" s="1" t="s">
        <v>363</v>
      </c>
      <c r="C315" s="1" t="s">
        <v>93</v>
      </c>
      <c r="D315" s="1" t="s">
        <v>1124</v>
      </c>
      <c r="E315" s="1">
        <v>10</v>
      </c>
      <c r="F315" s="1">
        <v>667</v>
      </c>
      <c r="G315" s="1">
        <v>1001</v>
      </c>
      <c r="H315" s="1">
        <v>164</v>
      </c>
      <c r="I315" s="1">
        <v>426</v>
      </c>
      <c r="J315" s="1">
        <v>412</v>
      </c>
      <c r="K315" s="1">
        <v>307</v>
      </c>
      <c r="L315" s="1">
        <v>460</v>
      </c>
      <c r="M315" s="1">
        <v>76.2</v>
      </c>
      <c r="N315" s="1">
        <v>42.638426099999997</v>
      </c>
      <c r="O315" s="1">
        <v>12.674296999999999</v>
      </c>
      <c r="P315" s="14">
        <f t="shared" si="34"/>
        <v>58.9</v>
      </c>
      <c r="Q315" s="13">
        <v>20</v>
      </c>
      <c r="R315" s="16">
        <f t="shared" si="35"/>
        <v>0</v>
      </c>
      <c r="S315" s="14">
        <f t="shared" si="36"/>
        <v>46.204620462046201</v>
      </c>
      <c r="T315" s="13">
        <f t="shared" si="37"/>
        <v>57.499999999999993</v>
      </c>
      <c r="U315" s="14">
        <f t="shared" si="38"/>
        <v>69.399999999999991</v>
      </c>
      <c r="V315" s="14">
        <f t="shared" si="39"/>
        <v>54.1</v>
      </c>
      <c r="W315" s="1">
        <f t="shared" si="40"/>
        <v>68.7</v>
      </c>
      <c r="X315" s="1" t="str">
        <f>IF(Table1[[#This Row],[World Rank]]&lt;=250,"Q1-Elite",IF(Table1[[#This Row],[World Rank]]&lt;=500,"Q2-Strong",IF(Table1[[#This Row],[World Rank]]&lt;=750,"Q3-Developing","Q4-Emerging")))</f>
        <v>Q2-Strong</v>
      </c>
    </row>
    <row r="316" spans="1:24" x14ac:dyDescent="0.2">
      <c r="A316" s="1">
        <v>315</v>
      </c>
      <c r="B316" s="1" t="s">
        <v>364</v>
      </c>
      <c r="C316" s="1" t="s">
        <v>19</v>
      </c>
      <c r="D316" s="1" t="s">
        <v>1124</v>
      </c>
      <c r="E316" s="1">
        <v>29</v>
      </c>
      <c r="F316" s="1">
        <v>371</v>
      </c>
      <c r="G316" s="1">
        <v>752</v>
      </c>
      <c r="H316" s="1">
        <v>304</v>
      </c>
      <c r="I316" s="1">
        <v>356</v>
      </c>
      <c r="J316" s="1">
        <v>309</v>
      </c>
      <c r="K316" s="1">
        <v>294</v>
      </c>
      <c r="L316" s="1">
        <v>254</v>
      </c>
      <c r="M316" s="1">
        <v>76.2</v>
      </c>
      <c r="N316" s="1">
        <v>54.702354499999998</v>
      </c>
      <c r="O316" s="1">
        <v>-3.2765753000000002</v>
      </c>
      <c r="P316" s="14">
        <f t="shared" si="34"/>
        <v>69.199999999999989</v>
      </c>
      <c r="Q316" s="13">
        <f>((667 - F316) / 666) * 100</f>
        <v>44.444444444444443</v>
      </c>
      <c r="R316" s="16">
        <f t="shared" si="35"/>
        <v>24.9</v>
      </c>
      <c r="S316" s="14">
        <f t="shared" si="36"/>
        <v>0</v>
      </c>
      <c r="T316" s="13">
        <f t="shared" si="37"/>
        <v>64.5</v>
      </c>
      <c r="U316" s="14">
        <f t="shared" si="38"/>
        <v>70.7</v>
      </c>
      <c r="V316" s="14">
        <f t="shared" si="39"/>
        <v>74.7</v>
      </c>
      <c r="W316" s="1">
        <f t="shared" si="40"/>
        <v>68.600000000000009</v>
      </c>
      <c r="X316" s="1" t="str">
        <f>IF(Table1[[#This Row],[World Rank]]&lt;=250,"Q1-Elite",IF(Table1[[#This Row],[World Rank]]&lt;=500,"Q2-Strong",IF(Table1[[#This Row],[World Rank]]&lt;=750,"Q3-Developing","Q4-Emerging")))</f>
        <v>Q2-Strong</v>
      </c>
    </row>
    <row r="317" spans="1:24" x14ac:dyDescent="0.2">
      <c r="A317" s="1">
        <v>316</v>
      </c>
      <c r="B317" s="1" t="s">
        <v>365</v>
      </c>
      <c r="C317" s="1" t="s">
        <v>15</v>
      </c>
      <c r="D317" s="1" t="s">
        <v>1120</v>
      </c>
      <c r="E317" s="1">
        <v>108</v>
      </c>
      <c r="F317" s="1">
        <v>667</v>
      </c>
      <c r="G317" s="1">
        <v>1001</v>
      </c>
      <c r="H317" s="1">
        <v>304</v>
      </c>
      <c r="I317" s="1">
        <v>489</v>
      </c>
      <c r="J317" s="1">
        <v>358</v>
      </c>
      <c r="K317" s="1">
        <v>240</v>
      </c>
      <c r="L317" s="1">
        <v>167</v>
      </c>
      <c r="M317" s="1">
        <v>76.099999999999994</v>
      </c>
      <c r="N317" s="1">
        <v>39.783730400000003</v>
      </c>
      <c r="O317" s="1">
        <v>-100.445882</v>
      </c>
      <c r="P317" s="14">
        <f t="shared" si="34"/>
        <v>64.3</v>
      </c>
      <c r="Q317" s="13">
        <v>20</v>
      </c>
      <c r="R317" s="16">
        <f t="shared" si="35"/>
        <v>0</v>
      </c>
      <c r="S317" s="14">
        <f t="shared" si="36"/>
        <v>0</v>
      </c>
      <c r="T317" s="13">
        <f t="shared" si="37"/>
        <v>51.2</v>
      </c>
      <c r="U317" s="14">
        <f t="shared" si="38"/>
        <v>76.099999999999994</v>
      </c>
      <c r="V317" s="14">
        <f t="shared" si="39"/>
        <v>83.399999999999991</v>
      </c>
      <c r="W317" s="1">
        <f t="shared" si="40"/>
        <v>68.5</v>
      </c>
      <c r="X317" s="1" t="str">
        <f>IF(Table1[[#This Row],[World Rank]]&lt;=250,"Q1-Elite",IF(Table1[[#This Row],[World Rank]]&lt;=500,"Q2-Strong",IF(Table1[[#This Row],[World Rank]]&lt;=750,"Q3-Developing","Q4-Emerging")))</f>
        <v>Q2-Strong</v>
      </c>
    </row>
    <row r="318" spans="1:24" x14ac:dyDescent="0.2">
      <c r="A318" s="1">
        <v>317</v>
      </c>
      <c r="B318" s="1" t="s">
        <v>366</v>
      </c>
      <c r="C318" s="1" t="s">
        <v>68</v>
      </c>
      <c r="D318" s="1" t="s">
        <v>1124</v>
      </c>
      <c r="E318" s="1">
        <v>26</v>
      </c>
      <c r="F318" s="1">
        <v>667</v>
      </c>
      <c r="G318" s="1">
        <v>1001</v>
      </c>
      <c r="H318" s="1">
        <v>299</v>
      </c>
      <c r="I318" s="1">
        <v>278</v>
      </c>
      <c r="J318" s="1">
        <v>266</v>
      </c>
      <c r="K318" s="1">
        <v>264</v>
      </c>
      <c r="L318" s="1">
        <v>460</v>
      </c>
      <c r="M318" s="1">
        <v>76.099999999999994</v>
      </c>
      <c r="N318" s="1">
        <v>40.420347900000003</v>
      </c>
      <c r="O318" s="1">
        <v>-79.116698299999996</v>
      </c>
      <c r="P318" s="14">
        <f t="shared" si="34"/>
        <v>73.5</v>
      </c>
      <c r="Q318" s="13">
        <v>20</v>
      </c>
      <c r="R318" s="16">
        <f t="shared" si="35"/>
        <v>0</v>
      </c>
      <c r="S318" s="14">
        <f t="shared" si="36"/>
        <v>1.6501650165016499</v>
      </c>
      <c r="T318" s="13">
        <f t="shared" si="37"/>
        <v>72.3</v>
      </c>
      <c r="U318" s="14">
        <f t="shared" si="38"/>
        <v>73.7</v>
      </c>
      <c r="V318" s="14">
        <f t="shared" si="39"/>
        <v>54.1</v>
      </c>
      <c r="W318" s="1">
        <f t="shared" si="40"/>
        <v>68.400000000000006</v>
      </c>
      <c r="X318" s="1" t="str">
        <f>IF(Table1[[#This Row],[World Rank]]&lt;=250,"Q1-Elite",IF(Table1[[#This Row],[World Rank]]&lt;=500,"Q2-Strong",IF(Table1[[#This Row],[World Rank]]&lt;=750,"Q3-Developing","Q4-Emerging")))</f>
        <v>Q2-Strong</v>
      </c>
    </row>
    <row r="319" spans="1:24" x14ac:dyDescent="0.2">
      <c r="A319" s="1">
        <v>318</v>
      </c>
      <c r="B319" s="1" t="s">
        <v>367</v>
      </c>
      <c r="C319" s="1" t="s">
        <v>118</v>
      </c>
      <c r="D319" s="1" t="s">
        <v>1124</v>
      </c>
      <c r="E319" s="1">
        <v>6</v>
      </c>
      <c r="F319" s="1">
        <v>667</v>
      </c>
      <c r="G319" s="1">
        <v>1001</v>
      </c>
      <c r="H319" s="1">
        <v>304</v>
      </c>
      <c r="I319" s="1">
        <v>251</v>
      </c>
      <c r="J319" s="1">
        <v>294</v>
      </c>
      <c r="K319" s="1">
        <v>497</v>
      </c>
      <c r="L319" s="1">
        <v>200</v>
      </c>
      <c r="M319" s="1">
        <v>76.099999999999994</v>
      </c>
      <c r="N319" s="1">
        <v>39.326068499999998</v>
      </c>
      <c r="O319" s="1">
        <v>-4.8379791000000001</v>
      </c>
      <c r="P319" s="14">
        <f t="shared" si="34"/>
        <v>70.7</v>
      </c>
      <c r="Q319" s="13">
        <v>20</v>
      </c>
      <c r="R319" s="16">
        <f t="shared" si="35"/>
        <v>0</v>
      </c>
      <c r="S319" s="14">
        <f t="shared" si="36"/>
        <v>0</v>
      </c>
      <c r="T319" s="13">
        <f t="shared" si="37"/>
        <v>75</v>
      </c>
      <c r="U319" s="14">
        <f t="shared" si="38"/>
        <v>50.4</v>
      </c>
      <c r="V319" s="14">
        <f t="shared" si="39"/>
        <v>80.100000000000009</v>
      </c>
      <c r="W319" s="1">
        <f t="shared" si="40"/>
        <v>68.300000000000011</v>
      </c>
      <c r="X319" s="1" t="str">
        <f>IF(Table1[[#This Row],[World Rank]]&lt;=250,"Q1-Elite",IF(Table1[[#This Row],[World Rank]]&lt;=500,"Q2-Strong",IF(Table1[[#This Row],[World Rank]]&lt;=750,"Q3-Developing","Q4-Emerging")))</f>
        <v>Q2-Strong</v>
      </c>
    </row>
    <row r="320" spans="1:24" x14ac:dyDescent="0.2">
      <c r="A320" s="1">
        <v>319</v>
      </c>
      <c r="B320" s="1" t="s">
        <v>368</v>
      </c>
      <c r="C320" s="1" t="s">
        <v>124</v>
      </c>
      <c r="D320" s="1" t="s">
        <v>1125</v>
      </c>
      <c r="E320" s="1">
        <v>17</v>
      </c>
      <c r="F320" s="1">
        <v>667</v>
      </c>
      <c r="G320" s="1">
        <v>228</v>
      </c>
      <c r="H320" s="1">
        <v>304</v>
      </c>
      <c r="I320" s="1">
        <v>200</v>
      </c>
      <c r="J320" s="1">
        <v>242</v>
      </c>
      <c r="K320" s="1">
        <v>661</v>
      </c>
      <c r="L320" s="1">
        <v>304</v>
      </c>
      <c r="M320" s="1">
        <v>76.099999999999994</v>
      </c>
      <c r="N320" s="1">
        <v>30.047992000000001</v>
      </c>
      <c r="O320" s="1">
        <v>-94.335743300000004</v>
      </c>
      <c r="P320" s="14">
        <f t="shared" si="34"/>
        <v>75.900000000000006</v>
      </c>
      <c r="Q320" s="13">
        <v>20</v>
      </c>
      <c r="R320" s="16">
        <f t="shared" si="35"/>
        <v>77.3</v>
      </c>
      <c r="S320" s="14">
        <f t="shared" si="36"/>
        <v>0</v>
      </c>
      <c r="T320" s="13">
        <f t="shared" si="37"/>
        <v>80.100000000000009</v>
      </c>
      <c r="U320" s="14">
        <f t="shared" si="38"/>
        <v>34</v>
      </c>
      <c r="V320" s="14">
        <f t="shared" si="39"/>
        <v>69.699999999999989</v>
      </c>
      <c r="W320" s="1">
        <f t="shared" si="40"/>
        <v>68.2</v>
      </c>
      <c r="X320" s="1" t="str">
        <f>IF(Table1[[#This Row],[World Rank]]&lt;=250,"Q1-Elite",IF(Table1[[#This Row],[World Rank]]&lt;=500,"Q2-Strong",IF(Table1[[#This Row],[World Rank]]&lt;=750,"Q3-Developing","Q4-Emerging")))</f>
        <v>Q2-Strong</v>
      </c>
    </row>
    <row r="321" spans="1:24" x14ac:dyDescent="0.2">
      <c r="A321" s="1">
        <v>320</v>
      </c>
      <c r="B321" s="1" t="s">
        <v>369</v>
      </c>
      <c r="C321" s="1" t="s">
        <v>19</v>
      </c>
      <c r="D321" s="1" t="s">
        <v>1124</v>
      </c>
      <c r="E321" s="1">
        <v>30</v>
      </c>
      <c r="F321" s="1">
        <v>318</v>
      </c>
      <c r="G321" s="1">
        <v>1001</v>
      </c>
      <c r="H321" s="1">
        <v>304</v>
      </c>
      <c r="I321" s="1">
        <v>536</v>
      </c>
      <c r="J321" s="1">
        <v>391</v>
      </c>
      <c r="K321" s="1">
        <v>192</v>
      </c>
      <c r="L321" s="1">
        <v>174</v>
      </c>
      <c r="M321" s="1">
        <v>76.099999999999994</v>
      </c>
      <c r="N321" s="1">
        <v>54.702354499999998</v>
      </c>
      <c r="O321" s="1">
        <v>-3.2765753000000002</v>
      </c>
      <c r="P321" s="14">
        <f t="shared" si="34"/>
        <v>61</v>
      </c>
      <c r="Q321" s="13">
        <f>((667 - F321) / 666) * 100</f>
        <v>52.402402402402402</v>
      </c>
      <c r="R321" s="16">
        <f t="shared" si="35"/>
        <v>0</v>
      </c>
      <c r="S321" s="14">
        <f t="shared" si="36"/>
        <v>0</v>
      </c>
      <c r="T321" s="13">
        <f t="shared" si="37"/>
        <v>46.5</v>
      </c>
      <c r="U321" s="14">
        <f t="shared" si="38"/>
        <v>80.900000000000006</v>
      </c>
      <c r="V321" s="14">
        <f t="shared" si="39"/>
        <v>82.699999999999989</v>
      </c>
      <c r="W321" s="1">
        <f t="shared" si="40"/>
        <v>68.100000000000009</v>
      </c>
      <c r="X321" s="1" t="str">
        <f>IF(Table1[[#This Row],[World Rank]]&lt;=250,"Q1-Elite",IF(Table1[[#This Row],[World Rank]]&lt;=500,"Q2-Strong",IF(Table1[[#This Row],[World Rank]]&lt;=750,"Q3-Developing","Q4-Emerging")))</f>
        <v>Q2-Strong</v>
      </c>
    </row>
    <row r="322" spans="1:24" x14ac:dyDescent="0.2">
      <c r="A322" s="1">
        <v>321</v>
      </c>
      <c r="B322" s="1" t="s">
        <v>370</v>
      </c>
      <c r="C322" s="1" t="s">
        <v>139</v>
      </c>
      <c r="D322" s="1" t="s">
        <v>1124</v>
      </c>
      <c r="E322" s="1">
        <v>7</v>
      </c>
      <c r="F322" s="1">
        <v>213</v>
      </c>
      <c r="G322" s="1">
        <v>1001</v>
      </c>
      <c r="H322" s="1">
        <v>304</v>
      </c>
      <c r="I322" s="1">
        <v>350</v>
      </c>
      <c r="J322" s="1">
        <v>320</v>
      </c>
      <c r="K322" s="1">
        <v>271</v>
      </c>
      <c r="L322" s="1">
        <v>304</v>
      </c>
      <c r="M322" s="1">
        <v>76.099999999999994</v>
      </c>
      <c r="N322" s="1">
        <v>50.6402809</v>
      </c>
      <c r="O322" s="1">
        <v>4.6667145000000003</v>
      </c>
      <c r="P322" s="14">
        <f t="shared" ref="P322:P385" si="41">((1001 - J322) / 1000) * 100</f>
        <v>68.100000000000009</v>
      </c>
      <c r="Q322" s="13">
        <f>((667 - F322) / 666) * 100</f>
        <v>68.168168168168165</v>
      </c>
      <c r="R322" s="16">
        <f t="shared" ref="R322:R385" si="42">(1001 - G322) / 1000 * 100</f>
        <v>0</v>
      </c>
      <c r="S322" s="14">
        <f t="shared" ref="S322:S385" si="43">(304 - H322) / 303 * 100</f>
        <v>0</v>
      </c>
      <c r="T322" s="13">
        <f t="shared" ref="T322:T385" si="44">(1001 - I322) / 1000 * 100</f>
        <v>65.100000000000009</v>
      </c>
      <c r="U322" s="14">
        <f t="shared" ref="U322:U385" si="45">(1001 - K322) / 1000 * 100</f>
        <v>73</v>
      </c>
      <c r="V322" s="14">
        <f t="shared" ref="V322:V385" si="46">(1001 - L322) / 1000 * 100</f>
        <v>69.699999999999989</v>
      </c>
      <c r="W322" s="1">
        <f t="shared" ref="W322:W385" si="47">(1001 - A322) / 1000 * 100</f>
        <v>68</v>
      </c>
      <c r="X322" s="1" t="str">
        <f>IF(Table1[[#This Row],[World Rank]]&lt;=250,"Q1-Elite",IF(Table1[[#This Row],[World Rank]]&lt;=500,"Q2-Strong",IF(Table1[[#This Row],[World Rank]]&lt;=750,"Q3-Developing","Q4-Emerging")))</f>
        <v>Q2-Strong</v>
      </c>
    </row>
    <row r="323" spans="1:24" x14ac:dyDescent="0.2">
      <c r="A323" s="1">
        <v>322</v>
      </c>
      <c r="B323" s="1" t="s">
        <v>371</v>
      </c>
      <c r="C323" s="1" t="s">
        <v>15</v>
      </c>
      <c r="D323" s="1" t="s">
        <v>1120</v>
      </c>
      <c r="E323" s="1">
        <v>109</v>
      </c>
      <c r="F323" s="1">
        <v>667</v>
      </c>
      <c r="G323" s="1">
        <v>1001</v>
      </c>
      <c r="H323" s="1">
        <v>85</v>
      </c>
      <c r="I323" s="1">
        <v>560</v>
      </c>
      <c r="J323" s="1">
        <v>487</v>
      </c>
      <c r="K323" s="1">
        <v>357</v>
      </c>
      <c r="L323" s="1">
        <v>460</v>
      </c>
      <c r="M323" s="1">
        <v>76</v>
      </c>
      <c r="N323" s="1">
        <v>39.783730400000003</v>
      </c>
      <c r="O323" s="1">
        <v>-100.445882</v>
      </c>
      <c r="P323" s="14">
        <f t="shared" si="41"/>
        <v>51.4</v>
      </c>
      <c r="Q323" s="13">
        <v>20</v>
      </c>
      <c r="R323" s="16">
        <f t="shared" si="42"/>
        <v>0</v>
      </c>
      <c r="S323" s="14">
        <f t="shared" si="43"/>
        <v>72.277227722772281</v>
      </c>
      <c r="T323" s="13">
        <f t="shared" si="44"/>
        <v>44.1</v>
      </c>
      <c r="U323" s="14">
        <f t="shared" si="45"/>
        <v>64.400000000000006</v>
      </c>
      <c r="V323" s="14">
        <f t="shared" si="46"/>
        <v>54.1</v>
      </c>
      <c r="W323" s="1">
        <f t="shared" si="47"/>
        <v>67.900000000000006</v>
      </c>
      <c r="X323" s="1" t="str">
        <f>IF(Table1[[#This Row],[World Rank]]&lt;=250,"Q1-Elite",IF(Table1[[#This Row],[World Rank]]&lt;=500,"Q2-Strong",IF(Table1[[#This Row],[World Rank]]&lt;=750,"Q3-Developing","Q4-Emerging")))</f>
        <v>Q2-Strong</v>
      </c>
    </row>
    <row r="324" spans="1:24" x14ac:dyDescent="0.2">
      <c r="A324" s="1">
        <v>323</v>
      </c>
      <c r="B324" s="1" t="s">
        <v>372</v>
      </c>
      <c r="C324" s="1" t="s">
        <v>373</v>
      </c>
      <c r="D324" s="1" t="s">
        <v>1125</v>
      </c>
      <c r="E324" s="1">
        <v>1</v>
      </c>
      <c r="F324" s="1">
        <v>667</v>
      </c>
      <c r="G324" s="1">
        <v>1001</v>
      </c>
      <c r="H324" s="1">
        <v>304</v>
      </c>
      <c r="I324" s="1">
        <v>255</v>
      </c>
      <c r="J324" s="1">
        <v>357</v>
      </c>
      <c r="K324" s="1">
        <v>274</v>
      </c>
      <c r="L324" s="1">
        <v>363</v>
      </c>
      <c r="M324" s="1">
        <v>76</v>
      </c>
      <c r="N324" s="1">
        <v>25.624261799999999</v>
      </c>
      <c r="O324" s="1">
        <v>42.352832800000002</v>
      </c>
      <c r="P324" s="14">
        <f t="shared" si="41"/>
        <v>64.400000000000006</v>
      </c>
      <c r="Q324" s="13">
        <v>20</v>
      </c>
      <c r="R324" s="16">
        <f t="shared" si="42"/>
        <v>0</v>
      </c>
      <c r="S324" s="14">
        <f t="shared" si="43"/>
        <v>0</v>
      </c>
      <c r="T324" s="13">
        <f t="shared" si="44"/>
        <v>74.599999999999994</v>
      </c>
      <c r="U324" s="14">
        <f t="shared" si="45"/>
        <v>72.7</v>
      </c>
      <c r="V324" s="14">
        <f t="shared" si="46"/>
        <v>63.800000000000004</v>
      </c>
      <c r="W324" s="1">
        <f t="shared" si="47"/>
        <v>67.800000000000011</v>
      </c>
      <c r="X324" s="1" t="str">
        <f>IF(Table1[[#This Row],[World Rank]]&lt;=250,"Q1-Elite",IF(Table1[[#This Row],[World Rank]]&lt;=500,"Q2-Strong",IF(Table1[[#This Row],[World Rank]]&lt;=750,"Q3-Developing","Q4-Emerging")))</f>
        <v>Q2-Strong</v>
      </c>
    </row>
    <row r="325" spans="1:24" x14ac:dyDescent="0.2">
      <c r="A325" s="1">
        <v>324</v>
      </c>
      <c r="B325" s="1" t="s">
        <v>374</v>
      </c>
      <c r="C325" s="1" t="s">
        <v>81</v>
      </c>
      <c r="D325" s="1" t="s">
        <v>1121</v>
      </c>
      <c r="E325" s="1">
        <v>10</v>
      </c>
      <c r="F325" s="1">
        <v>667</v>
      </c>
      <c r="G325" s="1">
        <v>667</v>
      </c>
      <c r="H325" s="1">
        <v>277</v>
      </c>
      <c r="I325" s="1">
        <v>393</v>
      </c>
      <c r="J325" s="1">
        <v>339</v>
      </c>
      <c r="K325" s="1">
        <v>299</v>
      </c>
      <c r="L325" s="1">
        <v>327</v>
      </c>
      <c r="M325" s="1">
        <v>76</v>
      </c>
      <c r="N325" s="1">
        <v>-24.776108600000001</v>
      </c>
      <c r="O325" s="1">
        <v>134.755</v>
      </c>
      <c r="P325" s="14">
        <f t="shared" si="41"/>
        <v>66.2</v>
      </c>
      <c r="Q325" s="13">
        <v>20</v>
      </c>
      <c r="R325" s="16">
        <f t="shared" si="42"/>
        <v>33.4</v>
      </c>
      <c r="S325" s="14">
        <f t="shared" si="43"/>
        <v>8.9108910891089099</v>
      </c>
      <c r="T325" s="13">
        <f t="shared" si="44"/>
        <v>60.8</v>
      </c>
      <c r="U325" s="14">
        <f t="shared" si="45"/>
        <v>70.199999999999989</v>
      </c>
      <c r="V325" s="14">
        <f t="shared" si="46"/>
        <v>67.400000000000006</v>
      </c>
      <c r="W325" s="1">
        <f t="shared" si="47"/>
        <v>67.7</v>
      </c>
      <c r="X325" s="1" t="str">
        <f>IF(Table1[[#This Row],[World Rank]]&lt;=250,"Q1-Elite",IF(Table1[[#This Row],[World Rank]]&lt;=500,"Q2-Strong",IF(Table1[[#This Row],[World Rank]]&lt;=750,"Q3-Developing","Q4-Emerging")))</f>
        <v>Q2-Strong</v>
      </c>
    </row>
    <row r="326" spans="1:24" x14ac:dyDescent="0.2">
      <c r="A326" s="1">
        <v>325</v>
      </c>
      <c r="B326" s="1" t="s">
        <v>375</v>
      </c>
      <c r="C326" s="1" t="s">
        <v>376</v>
      </c>
      <c r="D326" s="1" t="s">
        <v>1123</v>
      </c>
      <c r="E326" s="1">
        <v>1</v>
      </c>
      <c r="F326" s="1">
        <v>252</v>
      </c>
      <c r="G326" s="1">
        <v>221</v>
      </c>
      <c r="H326" s="1">
        <v>235</v>
      </c>
      <c r="I326" s="1">
        <v>385</v>
      </c>
      <c r="J326" s="1">
        <v>428</v>
      </c>
      <c r="K326" s="1">
        <v>330</v>
      </c>
      <c r="L326" s="1">
        <v>405</v>
      </c>
      <c r="M326" s="1">
        <v>76</v>
      </c>
      <c r="N326" s="1">
        <v>-31.761336499999999</v>
      </c>
      <c r="O326" s="1">
        <v>-71.318769700000004</v>
      </c>
      <c r="P326" s="14">
        <f t="shared" si="41"/>
        <v>57.3</v>
      </c>
      <c r="Q326" s="13">
        <f>((667 - F326) / 666) * 100</f>
        <v>62.312312312312315</v>
      </c>
      <c r="R326" s="16">
        <f t="shared" si="42"/>
        <v>78</v>
      </c>
      <c r="S326" s="14">
        <f t="shared" si="43"/>
        <v>22.772277227722775</v>
      </c>
      <c r="T326" s="13">
        <f t="shared" si="44"/>
        <v>61.6</v>
      </c>
      <c r="U326" s="14">
        <f t="shared" si="45"/>
        <v>67.100000000000009</v>
      </c>
      <c r="V326" s="14">
        <f t="shared" si="46"/>
        <v>59.599999999999994</v>
      </c>
      <c r="W326" s="1">
        <f t="shared" si="47"/>
        <v>67.600000000000009</v>
      </c>
      <c r="X326" s="1" t="str">
        <f>IF(Table1[[#This Row],[World Rank]]&lt;=250,"Q1-Elite",IF(Table1[[#This Row],[World Rank]]&lt;=500,"Q2-Strong",IF(Table1[[#This Row],[World Rank]]&lt;=750,"Q3-Developing","Q4-Emerging")))</f>
        <v>Q2-Strong</v>
      </c>
    </row>
    <row r="327" spans="1:24" x14ac:dyDescent="0.2">
      <c r="A327" s="1">
        <v>326</v>
      </c>
      <c r="B327" s="1" t="s">
        <v>377</v>
      </c>
      <c r="C327" s="1" t="s">
        <v>34</v>
      </c>
      <c r="D327" s="1" t="s">
        <v>1120</v>
      </c>
      <c r="E327" s="1">
        <v>16</v>
      </c>
      <c r="F327" s="1">
        <v>667</v>
      </c>
      <c r="G327" s="1">
        <v>1001</v>
      </c>
      <c r="H327" s="1">
        <v>304</v>
      </c>
      <c r="I327" s="1">
        <v>360</v>
      </c>
      <c r="J327" s="1">
        <v>352</v>
      </c>
      <c r="K327" s="1">
        <v>325</v>
      </c>
      <c r="L327" s="1">
        <v>200</v>
      </c>
      <c r="M327" s="1">
        <v>76</v>
      </c>
      <c r="N327" s="1">
        <v>61.066692199999999</v>
      </c>
      <c r="O327" s="1">
        <v>-107.99170700000001</v>
      </c>
      <c r="P327" s="14">
        <f t="shared" si="41"/>
        <v>64.900000000000006</v>
      </c>
      <c r="Q327" s="13">
        <v>20</v>
      </c>
      <c r="R327" s="16">
        <f t="shared" si="42"/>
        <v>0</v>
      </c>
      <c r="S327" s="14">
        <f t="shared" si="43"/>
        <v>0</v>
      </c>
      <c r="T327" s="13">
        <f t="shared" si="44"/>
        <v>64.099999999999994</v>
      </c>
      <c r="U327" s="14">
        <f t="shared" si="45"/>
        <v>67.600000000000009</v>
      </c>
      <c r="V327" s="14">
        <f t="shared" si="46"/>
        <v>80.100000000000009</v>
      </c>
      <c r="W327" s="1">
        <f t="shared" si="47"/>
        <v>67.5</v>
      </c>
      <c r="X327" s="1" t="str">
        <f>IF(Table1[[#This Row],[World Rank]]&lt;=250,"Q1-Elite",IF(Table1[[#This Row],[World Rank]]&lt;=500,"Q2-Strong",IF(Table1[[#This Row],[World Rank]]&lt;=750,"Q3-Developing","Q4-Emerging")))</f>
        <v>Q2-Strong</v>
      </c>
    </row>
    <row r="328" spans="1:24" x14ac:dyDescent="0.2">
      <c r="A328" s="1">
        <v>327</v>
      </c>
      <c r="B328" s="1" t="s">
        <v>378</v>
      </c>
      <c r="C328" s="1" t="s">
        <v>68</v>
      </c>
      <c r="D328" s="1" t="s">
        <v>1124</v>
      </c>
      <c r="E328" s="1">
        <v>27</v>
      </c>
      <c r="F328" s="1">
        <v>667</v>
      </c>
      <c r="G328" s="1">
        <v>727</v>
      </c>
      <c r="H328" s="1">
        <v>304</v>
      </c>
      <c r="I328" s="1">
        <v>386</v>
      </c>
      <c r="J328" s="1">
        <v>341</v>
      </c>
      <c r="K328" s="1">
        <v>258</v>
      </c>
      <c r="L328" s="1">
        <v>275</v>
      </c>
      <c r="M328" s="1">
        <v>76</v>
      </c>
      <c r="N328" s="1">
        <v>40.420347900000003</v>
      </c>
      <c r="O328" s="1">
        <v>-79.116698299999996</v>
      </c>
      <c r="P328" s="14">
        <f t="shared" si="41"/>
        <v>66</v>
      </c>
      <c r="Q328" s="13">
        <v>20</v>
      </c>
      <c r="R328" s="16">
        <f t="shared" si="42"/>
        <v>27.400000000000002</v>
      </c>
      <c r="S328" s="14">
        <f t="shared" si="43"/>
        <v>0</v>
      </c>
      <c r="T328" s="13">
        <f t="shared" si="44"/>
        <v>61.5</v>
      </c>
      <c r="U328" s="14">
        <f t="shared" si="45"/>
        <v>74.3</v>
      </c>
      <c r="V328" s="14">
        <f t="shared" si="46"/>
        <v>72.599999999999994</v>
      </c>
      <c r="W328" s="1">
        <f t="shared" si="47"/>
        <v>67.400000000000006</v>
      </c>
      <c r="X328" s="1" t="str">
        <f>IF(Table1[[#This Row],[World Rank]]&lt;=250,"Q1-Elite",IF(Table1[[#This Row],[World Rank]]&lt;=500,"Q2-Strong",IF(Table1[[#This Row],[World Rank]]&lt;=750,"Q3-Developing","Q4-Emerging")))</f>
        <v>Q2-Strong</v>
      </c>
    </row>
    <row r="329" spans="1:24" x14ac:dyDescent="0.2">
      <c r="A329" s="1">
        <v>328</v>
      </c>
      <c r="B329" s="1" t="s">
        <v>379</v>
      </c>
      <c r="C329" s="1" t="s">
        <v>124</v>
      </c>
      <c r="D329" s="1" t="s">
        <v>1125</v>
      </c>
      <c r="E329" s="1">
        <v>18</v>
      </c>
      <c r="F329" s="1">
        <v>667</v>
      </c>
      <c r="G329" s="1">
        <v>262</v>
      </c>
      <c r="H329" s="1">
        <v>304</v>
      </c>
      <c r="I329" s="1">
        <v>129</v>
      </c>
      <c r="J329" s="1">
        <v>262</v>
      </c>
      <c r="K329" s="1">
        <v>617</v>
      </c>
      <c r="L329" s="1">
        <v>460</v>
      </c>
      <c r="M329" s="1">
        <v>76</v>
      </c>
      <c r="N329" s="1">
        <v>30.047992000000001</v>
      </c>
      <c r="O329" s="1">
        <v>-94.335743300000004</v>
      </c>
      <c r="P329" s="14">
        <f t="shared" si="41"/>
        <v>73.900000000000006</v>
      </c>
      <c r="Q329" s="13">
        <v>20</v>
      </c>
      <c r="R329" s="16">
        <f t="shared" si="42"/>
        <v>73.900000000000006</v>
      </c>
      <c r="S329" s="14">
        <f t="shared" si="43"/>
        <v>0</v>
      </c>
      <c r="T329" s="13">
        <f t="shared" si="44"/>
        <v>87.2</v>
      </c>
      <c r="U329" s="14">
        <f t="shared" si="45"/>
        <v>38.4</v>
      </c>
      <c r="V329" s="14">
        <f t="shared" si="46"/>
        <v>54.1</v>
      </c>
      <c r="W329" s="1">
        <f t="shared" si="47"/>
        <v>67.300000000000011</v>
      </c>
      <c r="X329" s="1" t="str">
        <f>IF(Table1[[#This Row],[World Rank]]&lt;=250,"Q1-Elite",IF(Table1[[#This Row],[World Rank]]&lt;=500,"Q2-Strong",IF(Table1[[#This Row],[World Rank]]&lt;=750,"Q3-Developing","Q4-Emerging")))</f>
        <v>Q2-Strong</v>
      </c>
    </row>
    <row r="330" spans="1:24" x14ac:dyDescent="0.2">
      <c r="A330" s="1">
        <v>329</v>
      </c>
      <c r="B330" s="1" t="s">
        <v>380</v>
      </c>
      <c r="C330" s="1" t="s">
        <v>48</v>
      </c>
      <c r="D330" s="1" t="s">
        <v>1124</v>
      </c>
      <c r="E330" s="1">
        <v>16</v>
      </c>
      <c r="F330" s="1">
        <v>200</v>
      </c>
      <c r="G330" s="1">
        <v>1001</v>
      </c>
      <c r="H330" s="1">
        <v>261</v>
      </c>
      <c r="I330" s="1">
        <v>388</v>
      </c>
      <c r="J330" s="1">
        <v>354</v>
      </c>
      <c r="K330" s="1">
        <v>572</v>
      </c>
      <c r="L330" s="1">
        <v>200</v>
      </c>
      <c r="M330" s="1">
        <v>75.900000000000006</v>
      </c>
      <c r="N330" s="1">
        <v>46.603354000000003</v>
      </c>
      <c r="O330" s="1">
        <v>1.8883335000000001</v>
      </c>
      <c r="P330" s="14">
        <f t="shared" si="41"/>
        <v>64.7</v>
      </c>
      <c r="Q330" s="13">
        <f>((667 - F330) / 666) * 100</f>
        <v>70.12012012012012</v>
      </c>
      <c r="R330" s="16">
        <f t="shared" si="42"/>
        <v>0</v>
      </c>
      <c r="S330" s="14">
        <f t="shared" si="43"/>
        <v>14.19141914191419</v>
      </c>
      <c r="T330" s="13">
        <f t="shared" si="44"/>
        <v>61.3</v>
      </c>
      <c r="U330" s="14">
        <f t="shared" si="45"/>
        <v>42.9</v>
      </c>
      <c r="V330" s="14">
        <f t="shared" si="46"/>
        <v>80.100000000000009</v>
      </c>
      <c r="W330" s="1">
        <f t="shared" si="47"/>
        <v>67.2</v>
      </c>
      <c r="X330" s="1" t="str">
        <f>IF(Table1[[#This Row],[World Rank]]&lt;=250,"Q1-Elite",IF(Table1[[#This Row],[World Rank]]&lt;=500,"Q2-Strong",IF(Table1[[#This Row],[World Rank]]&lt;=750,"Q3-Developing","Q4-Emerging")))</f>
        <v>Q2-Strong</v>
      </c>
    </row>
    <row r="331" spans="1:24" x14ac:dyDescent="0.2">
      <c r="A331" s="1">
        <v>330</v>
      </c>
      <c r="B331" s="1" t="s">
        <v>381</v>
      </c>
      <c r="C331" s="1" t="s">
        <v>15</v>
      </c>
      <c r="D331" s="1" t="s">
        <v>1120</v>
      </c>
      <c r="E331" s="1">
        <v>110</v>
      </c>
      <c r="F331" s="1">
        <v>274</v>
      </c>
      <c r="G331" s="1">
        <v>1001</v>
      </c>
      <c r="H331" s="1">
        <v>304</v>
      </c>
      <c r="I331" s="1">
        <v>461</v>
      </c>
      <c r="J331" s="1">
        <v>368</v>
      </c>
      <c r="K331" s="1">
        <v>331</v>
      </c>
      <c r="L331" s="1">
        <v>151</v>
      </c>
      <c r="M331" s="1">
        <v>75.900000000000006</v>
      </c>
      <c r="N331" s="1">
        <v>39.783730400000003</v>
      </c>
      <c r="O331" s="1">
        <v>-100.445882</v>
      </c>
      <c r="P331" s="14">
        <f t="shared" si="41"/>
        <v>63.3</v>
      </c>
      <c r="Q331" s="13">
        <f>((667 - F331) / 666) * 100</f>
        <v>59.009009009009006</v>
      </c>
      <c r="R331" s="16">
        <f t="shared" si="42"/>
        <v>0</v>
      </c>
      <c r="S331" s="14">
        <f t="shared" si="43"/>
        <v>0</v>
      </c>
      <c r="T331" s="13">
        <f t="shared" si="44"/>
        <v>54</v>
      </c>
      <c r="U331" s="14">
        <f t="shared" si="45"/>
        <v>67</v>
      </c>
      <c r="V331" s="14">
        <f t="shared" si="46"/>
        <v>85</v>
      </c>
      <c r="W331" s="1">
        <f t="shared" si="47"/>
        <v>67.100000000000009</v>
      </c>
      <c r="X331" s="1" t="str">
        <f>IF(Table1[[#This Row],[World Rank]]&lt;=250,"Q1-Elite",IF(Table1[[#This Row],[World Rank]]&lt;=500,"Q2-Strong",IF(Table1[[#This Row],[World Rank]]&lt;=750,"Q3-Developing","Q4-Emerging")))</f>
        <v>Q2-Strong</v>
      </c>
    </row>
    <row r="332" spans="1:24" x14ac:dyDescent="0.2">
      <c r="A332" s="1">
        <v>331</v>
      </c>
      <c r="B332" s="1" t="s">
        <v>382</v>
      </c>
      <c r="C332" s="1" t="s">
        <v>48</v>
      </c>
      <c r="D332" s="1" t="s">
        <v>1124</v>
      </c>
      <c r="E332" s="1">
        <v>17</v>
      </c>
      <c r="F332" s="1">
        <v>315</v>
      </c>
      <c r="G332" s="1">
        <v>7</v>
      </c>
      <c r="H332" s="1">
        <v>214</v>
      </c>
      <c r="I332" s="1">
        <v>1001</v>
      </c>
      <c r="J332" s="1">
        <v>1001</v>
      </c>
      <c r="K332" s="1">
        <v>824</v>
      </c>
      <c r="L332" s="1">
        <v>1001</v>
      </c>
      <c r="M332" s="1">
        <v>75.900000000000006</v>
      </c>
      <c r="N332" s="1">
        <v>46.603354000000003</v>
      </c>
      <c r="O332" s="1">
        <v>1.8883335000000001</v>
      </c>
      <c r="P332" s="14">
        <f t="shared" si="41"/>
        <v>0</v>
      </c>
      <c r="Q332" s="13">
        <f>((667 - F332) / 666) * 100</f>
        <v>52.852852852852848</v>
      </c>
      <c r="R332" s="16">
        <f t="shared" si="42"/>
        <v>99.4</v>
      </c>
      <c r="S332" s="14">
        <f t="shared" si="43"/>
        <v>29.702970297029701</v>
      </c>
      <c r="T332" s="13">
        <f t="shared" si="44"/>
        <v>0</v>
      </c>
      <c r="U332" s="14">
        <f t="shared" si="45"/>
        <v>17.7</v>
      </c>
      <c r="V332" s="14">
        <f t="shared" si="46"/>
        <v>0</v>
      </c>
      <c r="W332" s="1">
        <f t="shared" si="47"/>
        <v>67</v>
      </c>
      <c r="X332" s="1" t="str">
        <f>IF(Table1[[#This Row],[World Rank]]&lt;=250,"Q1-Elite",IF(Table1[[#This Row],[World Rank]]&lt;=500,"Q2-Strong",IF(Table1[[#This Row],[World Rank]]&lt;=750,"Q3-Developing","Q4-Emerging")))</f>
        <v>Q2-Strong</v>
      </c>
    </row>
    <row r="333" spans="1:24" x14ac:dyDescent="0.2">
      <c r="A333" s="1">
        <v>332</v>
      </c>
      <c r="B333" s="1" t="s">
        <v>383</v>
      </c>
      <c r="C333" s="1" t="s">
        <v>19</v>
      </c>
      <c r="D333" s="1" t="s">
        <v>1124</v>
      </c>
      <c r="E333" s="1">
        <v>31</v>
      </c>
      <c r="F333" s="1">
        <v>279</v>
      </c>
      <c r="G333" s="1">
        <v>811</v>
      </c>
      <c r="H333" s="1">
        <v>304</v>
      </c>
      <c r="I333" s="1">
        <v>437</v>
      </c>
      <c r="J333" s="1">
        <v>318</v>
      </c>
      <c r="K333" s="1">
        <v>197</v>
      </c>
      <c r="L333" s="1">
        <v>405</v>
      </c>
      <c r="M333" s="1">
        <v>75.900000000000006</v>
      </c>
      <c r="N333" s="1">
        <v>54.702354499999998</v>
      </c>
      <c r="O333" s="1">
        <v>-3.2765753000000002</v>
      </c>
      <c r="P333" s="14">
        <f t="shared" si="41"/>
        <v>68.300000000000011</v>
      </c>
      <c r="Q333" s="13">
        <f>((667 - F333) / 666) * 100</f>
        <v>58.258258258258252</v>
      </c>
      <c r="R333" s="16">
        <f t="shared" si="42"/>
        <v>19</v>
      </c>
      <c r="S333" s="14">
        <f t="shared" si="43"/>
        <v>0</v>
      </c>
      <c r="T333" s="13">
        <f t="shared" si="44"/>
        <v>56.399999999999991</v>
      </c>
      <c r="U333" s="14">
        <f t="shared" si="45"/>
        <v>80.400000000000006</v>
      </c>
      <c r="V333" s="14">
        <f t="shared" si="46"/>
        <v>59.599999999999994</v>
      </c>
      <c r="W333" s="1">
        <f t="shared" si="47"/>
        <v>66.900000000000006</v>
      </c>
      <c r="X333" s="1" t="str">
        <f>IF(Table1[[#This Row],[World Rank]]&lt;=250,"Q1-Elite",IF(Table1[[#This Row],[World Rank]]&lt;=500,"Q2-Strong",IF(Table1[[#This Row],[World Rank]]&lt;=750,"Q3-Developing","Q4-Emerging")))</f>
        <v>Q2-Strong</v>
      </c>
    </row>
    <row r="334" spans="1:24" x14ac:dyDescent="0.2">
      <c r="A334" s="1">
        <v>333</v>
      </c>
      <c r="B334" s="1" t="s">
        <v>384</v>
      </c>
      <c r="C334" s="1" t="s">
        <v>15</v>
      </c>
      <c r="D334" s="1" t="s">
        <v>1120</v>
      </c>
      <c r="E334" s="1">
        <v>111</v>
      </c>
      <c r="F334" s="1">
        <v>667</v>
      </c>
      <c r="G334" s="1">
        <v>1001</v>
      </c>
      <c r="H334" s="1">
        <v>304</v>
      </c>
      <c r="I334" s="1">
        <v>421</v>
      </c>
      <c r="J334" s="1">
        <v>333</v>
      </c>
      <c r="K334" s="1">
        <v>320</v>
      </c>
      <c r="L334" s="1">
        <v>222</v>
      </c>
      <c r="M334" s="1">
        <v>75.900000000000006</v>
      </c>
      <c r="N334" s="1">
        <v>39.783730400000003</v>
      </c>
      <c r="O334" s="1">
        <v>-100.445882</v>
      </c>
      <c r="P334" s="14">
        <f t="shared" si="41"/>
        <v>66.8</v>
      </c>
      <c r="Q334" s="13">
        <v>20</v>
      </c>
      <c r="R334" s="16">
        <f t="shared" si="42"/>
        <v>0</v>
      </c>
      <c r="S334" s="14">
        <f t="shared" si="43"/>
        <v>0</v>
      </c>
      <c r="T334" s="13">
        <f t="shared" si="44"/>
        <v>57.999999999999993</v>
      </c>
      <c r="U334" s="14">
        <f t="shared" si="45"/>
        <v>68.100000000000009</v>
      </c>
      <c r="V334" s="14">
        <f t="shared" si="46"/>
        <v>77.900000000000006</v>
      </c>
      <c r="W334" s="1">
        <f t="shared" si="47"/>
        <v>66.8</v>
      </c>
      <c r="X334" s="1" t="str">
        <f>IF(Table1[[#This Row],[World Rank]]&lt;=250,"Q1-Elite",IF(Table1[[#This Row],[World Rank]]&lt;=500,"Q2-Strong",IF(Table1[[#This Row],[World Rank]]&lt;=750,"Q3-Developing","Q4-Emerging")))</f>
        <v>Q2-Strong</v>
      </c>
    </row>
    <row r="335" spans="1:24" x14ac:dyDescent="0.2">
      <c r="A335" s="1">
        <v>334</v>
      </c>
      <c r="B335" s="1" t="s">
        <v>385</v>
      </c>
      <c r="C335" s="1" t="s">
        <v>124</v>
      </c>
      <c r="D335" s="1" t="s">
        <v>1125</v>
      </c>
      <c r="E335" s="1">
        <v>19</v>
      </c>
      <c r="F335" s="1">
        <v>463</v>
      </c>
      <c r="G335" s="1">
        <v>551</v>
      </c>
      <c r="H335" s="1">
        <v>304</v>
      </c>
      <c r="I335" s="1">
        <v>100</v>
      </c>
      <c r="J335" s="1">
        <v>185</v>
      </c>
      <c r="K335" s="1">
        <v>462</v>
      </c>
      <c r="L335" s="1">
        <v>1001</v>
      </c>
      <c r="M335" s="1">
        <v>75.900000000000006</v>
      </c>
      <c r="N335" s="1">
        <v>30.047992000000001</v>
      </c>
      <c r="O335" s="1">
        <v>-94.335743300000004</v>
      </c>
      <c r="P335" s="14">
        <f t="shared" si="41"/>
        <v>81.599999999999994</v>
      </c>
      <c r="Q335" s="13">
        <f>((667 - F335) / 666) * 100</f>
        <v>30.630630630630627</v>
      </c>
      <c r="R335" s="16">
        <f t="shared" si="42"/>
        <v>45</v>
      </c>
      <c r="S335" s="14">
        <f t="shared" si="43"/>
        <v>0</v>
      </c>
      <c r="T335" s="13">
        <f t="shared" si="44"/>
        <v>90.100000000000009</v>
      </c>
      <c r="U335" s="14">
        <f t="shared" si="45"/>
        <v>53.900000000000006</v>
      </c>
      <c r="V335" s="14">
        <f t="shared" si="46"/>
        <v>0</v>
      </c>
      <c r="W335" s="1">
        <f t="shared" si="47"/>
        <v>66.7</v>
      </c>
      <c r="X335" s="1" t="str">
        <f>IF(Table1[[#This Row],[World Rank]]&lt;=250,"Q1-Elite",IF(Table1[[#This Row],[World Rank]]&lt;=500,"Q2-Strong",IF(Table1[[#This Row],[World Rank]]&lt;=750,"Q3-Developing","Q4-Emerging")))</f>
        <v>Q2-Strong</v>
      </c>
    </row>
    <row r="336" spans="1:24" x14ac:dyDescent="0.2">
      <c r="A336" s="1">
        <v>335</v>
      </c>
      <c r="B336" s="1" t="s">
        <v>386</v>
      </c>
      <c r="C336" s="1" t="s">
        <v>124</v>
      </c>
      <c r="D336" s="1" t="s">
        <v>1125</v>
      </c>
      <c r="E336" s="1">
        <v>20</v>
      </c>
      <c r="F336" s="1">
        <v>667</v>
      </c>
      <c r="G336" s="1">
        <v>383</v>
      </c>
      <c r="H336" s="1">
        <v>304</v>
      </c>
      <c r="I336" s="1">
        <v>143</v>
      </c>
      <c r="J336" s="1">
        <v>207</v>
      </c>
      <c r="K336" s="1">
        <v>458</v>
      </c>
      <c r="L336" s="1">
        <v>898</v>
      </c>
      <c r="M336" s="1">
        <v>75.8</v>
      </c>
      <c r="N336" s="1">
        <v>30.047992000000001</v>
      </c>
      <c r="O336" s="1">
        <v>-94.335743300000004</v>
      </c>
      <c r="P336" s="14">
        <f t="shared" si="41"/>
        <v>79.400000000000006</v>
      </c>
      <c r="Q336" s="13">
        <v>20</v>
      </c>
      <c r="R336" s="16">
        <f t="shared" si="42"/>
        <v>61.8</v>
      </c>
      <c r="S336" s="14">
        <f t="shared" si="43"/>
        <v>0</v>
      </c>
      <c r="T336" s="13">
        <f t="shared" si="44"/>
        <v>85.8</v>
      </c>
      <c r="U336" s="14">
        <f t="shared" si="45"/>
        <v>54.300000000000004</v>
      </c>
      <c r="V336" s="14">
        <f t="shared" si="46"/>
        <v>10.299999999999999</v>
      </c>
      <c r="W336" s="1">
        <f t="shared" si="47"/>
        <v>66.600000000000009</v>
      </c>
      <c r="X336" s="1" t="str">
        <f>IF(Table1[[#This Row],[World Rank]]&lt;=250,"Q1-Elite",IF(Table1[[#This Row],[World Rank]]&lt;=500,"Q2-Strong",IF(Table1[[#This Row],[World Rank]]&lt;=750,"Q3-Developing","Q4-Emerging")))</f>
        <v>Q2-Strong</v>
      </c>
    </row>
    <row r="337" spans="1:24" x14ac:dyDescent="0.2">
      <c r="A337" s="1">
        <v>336</v>
      </c>
      <c r="B337" s="1" t="s">
        <v>387</v>
      </c>
      <c r="C337" s="1" t="s">
        <v>85</v>
      </c>
      <c r="D337" s="1" t="s">
        <v>1125</v>
      </c>
      <c r="E337" s="1">
        <v>7</v>
      </c>
      <c r="F337" s="1">
        <v>667</v>
      </c>
      <c r="G337" s="1">
        <v>241</v>
      </c>
      <c r="H337" s="1">
        <v>304</v>
      </c>
      <c r="I337" s="1">
        <v>194</v>
      </c>
      <c r="J337" s="1">
        <v>276</v>
      </c>
      <c r="K337" s="1">
        <v>479</v>
      </c>
      <c r="L337" s="1">
        <v>460</v>
      </c>
      <c r="M337" s="1">
        <v>75.8</v>
      </c>
      <c r="N337" s="1">
        <v>36.638392000000003</v>
      </c>
      <c r="O337" s="1">
        <v>127.69611879999999</v>
      </c>
      <c r="P337" s="14">
        <f t="shared" si="41"/>
        <v>72.5</v>
      </c>
      <c r="Q337" s="13">
        <v>20</v>
      </c>
      <c r="R337" s="16">
        <f t="shared" si="42"/>
        <v>76</v>
      </c>
      <c r="S337" s="14">
        <f t="shared" si="43"/>
        <v>0</v>
      </c>
      <c r="T337" s="13">
        <f t="shared" si="44"/>
        <v>80.7</v>
      </c>
      <c r="U337" s="14">
        <f t="shared" si="45"/>
        <v>52.2</v>
      </c>
      <c r="V337" s="14">
        <f t="shared" si="46"/>
        <v>54.1</v>
      </c>
      <c r="W337" s="1">
        <f t="shared" si="47"/>
        <v>66.5</v>
      </c>
      <c r="X337" s="1" t="str">
        <f>IF(Table1[[#This Row],[World Rank]]&lt;=250,"Q1-Elite",IF(Table1[[#This Row],[World Rank]]&lt;=500,"Q2-Strong",IF(Table1[[#This Row],[World Rank]]&lt;=750,"Q3-Developing","Q4-Emerging")))</f>
        <v>Q2-Strong</v>
      </c>
    </row>
    <row r="338" spans="1:24" x14ac:dyDescent="0.2">
      <c r="A338" s="1">
        <v>337</v>
      </c>
      <c r="B338" s="1" t="s">
        <v>388</v>
      </c>
      <c r="C338" s="1" t="s">
        <v>124</v>
      </c>
      <c r="D338" s="1" t="s">
        <v>1125</v>
      </c>
      <c r="E338" s="1">
        <v>21</v>
      </c>
      <c r="F338" s="1">
        <v>628</v>
      </c>
      <c r="G338" s="1">
        <v>354</v>
      </c>
      <c r="H338" s="1">
        <v>304</v>
      </c>
      <c r="I338" s="1">
        <v>252</v>
      </c>
      <c r="J338" s="1">
        <v>254</v>
      </c>
      <c r="K338" s="1">
        <v>468</v>
      </c>
      <c r="L338" s="1">
        <v>405</v>
      </c>
      <c r="M338" s="1">
        <v>75.8</v>
      </c>
      <c r="N338" s="1">
        <v>30.047992000000001</v>
      </c>
      <c r="O338" s="1">
        <v>-94.335743300000004</v>
      </c>
      <c r="P338" s="14">
        <f t="shared" si="41"/>
        <v>74.7</v>
      </c>
      <c r="Q338" s="13">
        <v>20</v>
      </c>
      <c r="R338" s="16">
        <f t="shared" si="42"/>
        <v>64.7</v>
      </c>
      <c r="S338" s="14">
        <f t="shared" si="43"/>
        <v>0</v>
      </c>
      <c r="T338" s="13">
        <f t="shared" si="44"/>
        <v>74.900000000000006</v>
      </c>
      <c r="U338" s="14">
        <f t="shared" si="45"/>
        <v>53.300000000000004</v>
      </c>
      <c r="V338" s="14">
        <f t="shared" si="46"/>
        <v>59.599999999999994</v>
      </c>
      <c r="W338" s="1">
        <f t="shared" si="47"/>
        <v>66.400000000000006</v>
      </c>
      <c r="X338" s="1" t="str">
        <f>IF(Table1[[#This Row],[World Rank]]&lt;=250,"Q1-Elite",IF(Table1[[#This Row],[World Rank]]&lt;=500,"Q2-Strong",IF(Table1[[#This Row],[World Rank]]&lt;=750,"Q3-Developing","Q4-Emerging")))</f>
        <v>Q2-Strong</v>
      </c>
    </row>
    <row r="339" spans="1:24" x14ac:dyDescent="0.2">
      <c r="A339" s="1">
        <v>338</v>
      </c>
      <c r="B339" s="1" t="s">
        <v>389</v>
      </c>
      <c r="C339" s="1" t="s">
        <v>59</v>
      </c>
      <c r="D339" s="1" t="s">
        <v>1124</v>
      </c>
      <c r="E339" s="1">
        <v>4</v>
      </c>
      <c r="F339" s="1">
        <v>667</v>
      </c>
      <c r="G339" s="1">
        <v>1001</v>
      </c>
      <c r="H339" s="1">
        <v>304</v>
      </c>
      <c r="I339" s="1">
        <v>376</v>
      </c>
      <c r="J339" s="1">
        <v>329</v>
      </c>
      <c r="K339" s="1">
        <v>280</v>
      </c>
      <c r="L339" s="1">
        <v>327</v>
      </c>
      <c r="M339" s="1">
        <v>75.8</v>
      </c>
      <c r="N339" s="1">
        <v>55.670248999999998</v>
      </c>
      <c r="O339" s="1">
        <v>10.3333283</v>
      </c>
      <c r="P339" s="14">
        <f t="shared" si="41"/>
        <v>67.2</v>
      </c>
      <c r="Q339" s="13">
        <v>20</v>
      </c>
      <c r="R339" s="16">
        <f t="shared" si="42"/>
        <v>0</v>
      </c>
      <c r="S339" s="14">
        <f t="shared" si="43"/>
        <v>0</v>
      </c>
      <c r="T339" s="13">
        <f t="shared" si="44"/>
        <v>62.5</v>
      </c>
      <c r="U339" s="14">
        <f t="shared" si="45"/>
        <v>72.099999999999994</v>
      </c>
      <c r="V339" s="14">
        <f t="shared" si="46"/>
        <v>67.400000000000006</v>
      </c>
      <c r="W339" s="1">
        <f t="shared" si="47"/>
        <v>66.3</v>
      </c>
      <c r="X339" s="1" t="str">
        <f>IF(Table1[[#This Row],[World Rank]]&lt;=250,"Q1-Elite",IF(Table1[[#This Row],[World Rank]]&lt;=500,"Q2-Strong",IF(Table1[[#This Row],[World Rank]]&lt;=750,"Q3-Developing","Q4-Emerging")))</f>
        <v>Q2-Strong</v>
      </c>
    </row>
    <row r="340" spans="1:24" x14ac:dyDescent="0.2">
      <c r="A340" s="1">
        <v>339</v>
      </c>
      <c r="B340" s="1" t="s">
        <v>390</v>
      </c>
      <c r="C340" s="1" t="s">
        <v>126</v>
      </c>
      <c r="D340" s="1" t="s">
        <v>1124</v>
      </c>
      <c r="E340" s="1">
        <v>2</v>
      </c>
      <c r="F340" s="1">
        <v>667</v>
      </c>
      <c r="G340" s="1">
        <v>1001</v>
      </c>
      <c r="H340" s="1">
        <v>304</v>
      </c>
      <c r="I340" s="1">
        <v>355</v>
      </c>
      <c r="J340" s="1">
        <v>322</v>
      </c>
      <c r="K340" s="1">
        <v>277</v>
      </c>
      <c r="L340" s="1">
        <v>363</v>
      </c>
      <c r="M340" s="1">
        <v>75.8</v>
      </c>
      <c r="N340" s="1">
        <v>63.246777700000003</v>
      </c>
      <c r="O340" s="1">
        <v>25.920916399999999</v>
      </c>
      <c r="P340" s="14">
        <f t="shared" si="41"/>
        <v>67.900000000000006</v>
      </c>
      <c r="Q340" s="13">
        <v>20</v>
      </c>
      <c r="R340" s="16">
        <f t="shared" si="42"/>
        <v>0</v>
      </c>
      <c r="S340" s="14">
        <f t="shared" si="43"/>
        <v>0</v>
      </c>
      <c r="T340" s="13">
        <f t="shared" si="44"/>
        <v>64.600000000000009</v>
      </c>
      <c r="U340" s="14">
        <f t="shared" si="45"/>
        <v>72.399999999999991</v>
      </c>
      <c r="V340" s="14">
        <f t="shared" si="46"/>
        <v>63.800000000000004</v>
      </c>
      <c r="W340" s="1">
        <f t="shared" si="47"/>
        <v>66.2</v>
      </c>
      <c r="X340" s="1" t="str">
        <f>IF(Table1[[#This Row],[World Rank]]&lt;=250,"Q1-Elite",IF(Table1[[#This Row],[World Rank]]&lt;=500,"Q2-Strong",IF(Table1[[#This Row],[World Rank]]&lt;=750,"Q3-Developing","Q4-Emerging")))</f>
        <v>Q2-Strong</v>
      </c>
    </row>
    <row r="341" spans="1:24" x14ac:dyDescent="0.2">
      <c r="A341" s="1">
        <v>340</v>
      </c>
      <c r="B341" s="1" t="s">
        <v>391</v>
      </c>
      <c r="C341" s="1" t="s">
        <v>210</v>
      </c>
      <c r="D341" s="1" t="s">
        <v>1125</v>
      </c>
      <c r="E341" s="1">
        <v>3</v>
      </c>
      <c r="F341" s="1">
        <v>667</v>
      </c>
      <c r="G341" s="1">
        <v>496</v>
      </c>
      <c r="H341" s="1">
        <v>304</v>
      </c>
      <c r="I341" s="1">
        <v>354</v>
      </c>
      <c r="J341" s="1">
        <v>265</v>
      </c>
      <c r="K341" s="1">
        <v>465</v>
      </c>
      <c r="L341" s="1">
        <v>254</v>
      </c>
      <c r="M341" s="1">
        <v>75.8</v>
      </c>
      <c r="N341" s="1">
        <v>22.350626999999999</v>
      </c>
      <c r="O341" s="1">
        <v>114.1849161</v>
      </c>
      <c r="P341" s="14">
        <f t="shared" si="41"/>
        <v>73.599999999999994</v>
      </c>
      <c r="Q341" s="13">
        <v>20</v>
      </c>
      <c r="R341" s="16">
        <f t="shared" si="42"/>
        <v>50.5</v>
      </c>
      <c r="S341" s="14">
        <f t="shared" si="43"/>
        <v>0</v>
      </c>
      <c r="T341" s="13">
        <f t="shared" si="44"/>
        <v>64.7</v>
      </c>
      <c r="U341" s="14">
        <f t="shared" si="45"/>
        <v>53.6</v>
      </c>
      <c r="V341" s="14">
        <f t="shared" si="46"/>
        <v>74.7</v>
      </c>
      <c r="W341" s="1">
        <f t="shared" si="47"/>
        <v>66.100000000000009</v>
      </c>
      <c r="X341" s="1" t="str">
        <f>IF(Table1[[#This Row],[World Rank]]&lt;=250,"Q1-Elite",IF(Table1[[#This Row],[World Rank]]&lt;=500,"Q2-Strong",IF(Table1[[#This Row],[World Rank]]&lt;=750,"Q3-Developing","Q4-Emerging")))</f>
        <v>Q2-Strong</v>
      </c>
    </row>
    <row r="342" spans="1:24" x14ac:dyDescent="0.2">
      <c r="A342" s="1">
        <v>341</v>
      </c>
      <c r="B342" s="1" t="s">
        <v>392</v>
      </c>
      <c r="C342" s="1" t="s">
        <v>15</v>
      </c>
      <c r="D342" s="1" t="s">
        <v>1120</v>
      </c>
      <c r="E342" s="1">
        <v>112</v>
      </c>
      <c r="F342" s="1">
        <v>537</v>
      </c>
      <c r="G342" s="1">
        <v>754</v>
      </c>
      <c r="H342" s="1">
        <v>304</v>
      </c>
      <c r="I342" s="1">
        <v>382</v>
      </c>
      <c r="J342" s="1">
        <v>321</v>
      </c>
      <c r="K342" s="1">
        <v>296</v>
      </c>
      <c r="L342" s="1">
        <v>327</v>
      </c>
      <c r="M342" s="1">
        <v>75.8</v>
      </c>
      <c r="N342" s="1">
        <v>39.783730400000003</v>
      </c>
      <c r="O342" s="1">
        <v>-100.445882</v>
      </c>
      <c r="P342" s="14">
        <f t="shared" si="41"/>
        <v>68</v>
      </c>
      <c r="Q342" s="13">
        <v>20</v>
      </c>
      <c r="R342" s="16">
        <f t="shared" si="42"/>
        <v>24.7</v>
      </c>
      <c r="S342" s="14">
        <f t="shared" si="43"/>
        <v>0</v>
      </c>
      <c r="T342" s="13">
        <f t="shared" si="44"/>
        <v>61.9</v>
      </c>
      <c r="U342" s="14">
        <f t="shared" si="45"/>
        <v>70.5</v>
      </c>
      <c r="V342" s="14">
        <f t="shared" si="46"/>
        <v>67.400000000000006</v>
      </c>
      <c r="W342" s="1">
        <f t="shared" si="47"/>
        <v>66</v>
      </c>
      <c r="X342" s="1" t="str">
        <f>IF(Table1[[#This Row],[World Rank]]&lt;=250,"Q1-Elite",IF(Table1[[#This Row],[World Rank]]&lt;=500,"Q2-Strong",IF(Table1[[#This Row],[World Rank]]&lt;=750,"Q3-Developing","Q4-Emerging")))</f>
        <v>Q2-Strong</v>
      </c>
    </row>
    <row r="343" spans="1:24" x14ac:dyDescent="0.2">
      <c r="A343" s="1">
        <v>342</v>
      </c>
      <c r="B343" s="1" t="s">
        <v>393</v>
      </c>
      <c r="C343" s="1" t="s">
        <v>210</v>
      </c>
      <c r="D343" s="1" t="s">
        <v>1125</v>
      </c>
      <c r="E343" s="1">
        <v>4</v>
      </c>
      <c r="F343" s="1">
        <v>667</v>
      </c>
      <c r="G343" s="1">
        <v>301</v>
      </c>
      <c r="H343" s="1">
        <v>304</v>
      </c>
      <c r="I343" s="1">
        <v>238</v>
      </c>
      <c r="J343" s="1">
        <v>243</v>
      </c>
      <c r="K343" s="1">
        <v>877</v>
      </c>
      <c r="L343" s="1">
        <v>304</v>
      </c>
      <c r="M343" s="1">
        <v>75.7</v>
      </c>
      <c r="N343" s="1">
        <v>22.350626999999999</v>
      </c>
      <c r="O343" s="1">
        <v>114.1849161</v>
      </c>
      <c r="P343" s="14">
        <f t="shared" si="41"/>
        <v>75.8</v>
      </c>
      <c r="Q343" s="13">
        <v>20</v>
      </c>
      <c r="R343" s="16">
        <f t="shared" si="42"/>
        <v>70</v>
      </c>
      <c r="S343" s="14">
        <f t="shared" si="43"/>
        <v>0</v>
      </c>
      <c r="T343" s="13">
        <f t="shared" si="44"/>
        <v>76.3</v>
      </c>
      <c r="U343" s="14">
        <f t="shared" si="45"/>
        <v>12.4</v>
      </c>
      <c r="V343" s="14">
        <f t="shared" si="46"/>
        <v>69.699999999999989</v>
      </c>
      <c r="W343" s="1">
        <f t="shared" si="47"/>
        <v>65.900000000000006</v>
      </c>
      <c r="X343" s="1" t="str">
        <f>IF(Table1[[#This Row],[World Rank]]&lt;=250,"Q1-Elite",IF(Table1[[#This Row],[World Rank]]&lt;=500,"Q2-Strong",IF(Table1[[#This Row],[World Rank]]&lt;=750,"Q3-Developing","Q4-Emerging")))</f>
        <v>Q2-Strong</v>
      </c>
    </row>
    <row r="344" spans="1:24" x14ac:dyDescent="0.2">
      <c r="A344" s="1">
        <v>343</v>
      </c>
      <c r="B344" s="1" t="s">
        <v>394</v>
      </c>
      <c r="C344" s="1" t="s">
        <v>395</v>
      </c>
      <c r="D344" s="1" t="s">
        <v>1124</v>
      </c>
      <c r="E344" s="1">
        <v>1</v>
      </c>
      <c r="F344" s="1">
        <v>542</v>
      </c>
      <c r="G344" s="1">
        <v>1001</v>
      </c>
      <c r="H344" s="1">
        <v>304</v>
      </c>
      <c r="I344" s="1">
        <v>157</v>
      </c>
      <c r="J344" s="1">
        <v>370</v>
      </c>
      <c r="K344" s="1">
        <v>491</v>
      </c>
      <c r="L344" s="1">
        <v>327</v>
      </c>
      <c r="M344" s="1">
        <v>75.7</v>
      </c>
      <c r="N344" s="2" t="s">
        <v>396</v>
      </c>
      <c r="O344" s="2" t="s">
        <v>397</v>
      </c>
      <c r="P344" s="14">
        <f t="shared" si="41"/>
        <v>63.1</v>
      </c>
      <c r="Q344" s="13">
        <v>20</v>
      </c>
      <c r="R344" s="16">
        <f t="shared" si="42"/>
        <v>0</v>
      </c>
      <c r="S344" s="14">
        <f t="shared" si="43"/>
        <v>0</v>
      </c>
      <c r="T344" s="13">
        <f t="shared" si="44"/>
        <v>84.399999999999991</v>
      </c>
      <c r="U344" s="14">
        <f t="shared" si="45"/>
        <v>51</v>
      </c>
      <c r="V344" s="14">
        <f t="shared" si="46"/>
        <v>67.400000000000006</v>
      </c>
      <c r="W344" s="1">
        <f t="shared" si="47"/>
        <v>65.8</v>
      </c>
      <c r="X344" s="1" t="str">
        <f>IF(Table1[[#This Row],[World Rank]]&lt;=250,"Q1-Elite",IF(Table1[[#This Row],[World Rank]]&lt;=500,"Q2-Strong",IF(Table1[[#This Row],[World Rank]]&lt;=750,"Q3-Developing","Q4-Emerging")))</f>
        <v>Q2-Strong</v>
      </c>
    </row>
    <row r="345" spans="1:24" x14ac:dyDescent="0.2">
      <c r="A345" s="1">
        <v>344</v>
      </c>
      <c r="B345" s="1" t="s">
        <v>398</v>
      </c>
      <c r="C345" s="1" t="s">
        <v>15</v>
      </c>
      <c r="D345" s="1" t="s">
        <v>1120</v>
      </c>
      <c r="E345" s="1">
        <v>113</v>
      </c>
      <c r="F345" s="1">
        <v>581</v>
      </c>
      <c r="G345" s="1">
        <v>144</v>
      </c>
      <c r="H345" s="1">
        <v>304</v>
      </c>
      <c r="I345" s="1">
        <v>473</v>
      </c>
      <c r="J345" s="1">
        <v>360</v>
      </c>
      <c r="K345" s="1">
        <v>247</v>
      </c>
      <c r="L345" s="1">
        <v>363</v>
      </c>
      <c r="M345" s="1">
        <v>75.7</v>
      </c>
      <c r="N345" s="1">
        <v>39.783730400000003</v>
      </c>
      <c r="O345" s="1">
        <v>-100.445882</v>
      </c>
      <c r="P345" s="14">
        <f t="shared" si="41"/>
        <v>64.099999999999994</v>
      </c>
      <c r="Q345" s="13">
        <v>20</v>
      </c>
      <c r="R345" s="16">
        <f t="shared" si="42"/>
        <v>85.7</v>
      </c>
      <c r="S345" s="14">
        <f t="shared" si="43"/>
        <v>0</v>
      </c>
      <c r="T345" s="13">
        <f t="shared" si="44"/>
        <v>52.800000000000004</v>
      </c>
      <c r="U345" s="14">
        <f t="shared" si="45"/>
        <v>75.400000000000006</v>
      </c>
      <c r="V345" s="14">
        <f t="shared" si="46"/>
        <v>63.800000000000004</v>
      </c>
      <c r="W345" s="1">
        <f t="shared" si="47"/>
        <v>65.7</v>
      </c>
      <c r="X345" s="1" t="str">
        <f>IF(Table1[[#This Row],[World Rank]]&lt;=250,"Q1-Elite",IF(Table1[[#This Row],[World Rank]]&lt;=500,"Q2-Strong",IF(Table1[[#This Row],[World Rank]]&lt;=750,"Q3-Developing","Q4-Emerging")))</f>
        <v>Q2-Strong</v>
      </c>
    </row>
    <row r="346" spans="1:24" x14ac:dyDescent="0.2">
      <c r="A346" s="1">
        <v>345</v>
      </c>
      <c r="B346" s="1" t="s">
        <v>399</v>
      </c>
      <c r="C346" s="1" t="s">
        <v>68</v>
      </c>
      <c r="D346" s="1" t="s">
        <v>1124</v>
      </c>
      <c r="E346" s="1">
        <v>28</v>
      </c>
      <c r="F346" s="1">
        <v>185</v>
      </c>
      <c r="G346" s="1">
        <v>358</v>
      </c>
      <c r="H346" s="1">
        <v>238</v>
      </c>
      <c r="I346" s="1">
        <v>479</v>
      </c>
      <c r="J346" s="1">
        <v>441</v>
      </c>
      <c r="K346" s="1">
        <v>391</v>
      </c>
      <c r="L346" s="1">
        <v>304</v>
      </c>
      <c r="M346" s="1">
        <v>75.7</v>
      </c>
      <c r="N346" s="1">
        <v>40.420347900000003</v>
      </c>
      <c r="O346" s="1">
        <v>-79.116698299999996</v>
      </c>
      <c r="P346" s="14">
        <f t="shared" si="41"/>
        <v>56.000000000000007</v>
      </c>
      <c r="Q346" s="13">
        <f>((667 - F346) / 666) * 100</f>
        <v>72.372372372372368</v>
      </c>
      <c r="R346" s="16">
        <f t="shared" si="42"/>
        <v>64.3</v>
      </c>
      <c r="S346" s="14">
        <f t="shared" si="43"/>
        <v>21.782178217821784</v>
      </c>
      <c r="T346" s="13">
        <f t="shared" si="44"/>
        <v>52.2</v>
      </c>
      <c r="U346" s="14">
        <f t="shared" si="45"/>
        <v>61</v>
      </c>
      <c r="V346" s="14">
        <f t="shared" si="46"/>
        <v>69.699999999999989</v>
      </c>
      <c r="W346" s="1">
        <f t="shared" si="47"/>
        <v>65.600000000000009</v>
      </c>
      <c r="X346" s="1" t="str">
        <f>IF(Table1[[#This Row],[World Rank]]&lt;=250,"Q1-Elite",IF(Table1[[#This Row],[World Rank]]&lt;=500,"Q2-Strong",IF(Table1[[#This Row],[World Rank]]&lt;=750,"Q3-Developing","Q4-Emerging")))</f>
        <v>Q2-Strong</v>
      </c>
    </row>
    <row r="347" spans="1:24" x14ac:dyDescent="0.2">
      <c r="A347" s="1">
        <v>346</v>
      </c>
      <c r="B347" s="1" t="s">
        <v>400</v>
      </c>
      <c r="C347" s="1" t="s">
        <v>124</v>
      </c>
      <c r="D347" s="1" t="s">
        <v>1125</v>
      </c>
      <c r="E347" s="1">
        <v>22</v>
      </c>
      <c r="F347" s="1">
        <v>667</v>
      </c>
      <c r="G347" s="1">
        <v>257</v>
      </c>
      <c r="H347" s="1">
        <v>304</v>
      </c>
      <c r="I347" s="1">
        <v>176</v>
      </c>
      <c r="J347" s="1">
        <v>269</v>
      </c>
      <c r="K347" s="1">
        <v>745</v>
      </c>
      <c r="L347" s="1">
        <v>405</v>
      </c>
      <c r="M347" s="1">
        <v>75.7</v>
      </c>
      <c r="N347" s="1">
        <v>30.047992000000001</v>
      </c>
      <c r="O347" s="1">
        <v>-94.335743300000004</v>
      </c>
      <c r="P347" s="14">
        <f t="shared" si="41"/>
        <v>73.2</v>
      </c>
      <c r="Q347" s="13">
        <v>20</v>
      </c>
      <c r="R347" s="16">
        <f t="shared" si="42"/>
        <v>74.400000000000006</v>
      </c>
      <c r="S347" s="14">
        <f t="shared" si="43"/>
        <v>0</v>
      </c>
      <c r="T347" s="13">
        <f t="shared" si="44"/>
        <v>82.5</v>
      </c>
      <c r="U347" s="14">
        <f t="shared" si="45"/>
        <v>25.6</v>
      </c>
      <c r="V347" s="14">
        <f t="shared" si="46"/>
        <v>59.599999999999994</v>
      </c>
      <c r="W347" s="1">
        <f t="shared" si="47"/>
        <v>65.5</v>
      </c>
      <c r="X347" s="1" t="str">
        <f>IF(Table1[[#This Row],[World Rank]]&lt;=250,"Q1-Elite",IF(Table1[[#This Row],[World Rank]]&lt;=500,"Q2-Strong",IF(Table1[[#This Row],[World Rank]]&lt;=750,"Q3-Developing","Q4-Emerging")))</f>
        <v>Q2-Strong</v>
      </c>
    </row>
    <row r="348" spans="1:24" x14ac:dyDescent="0.2">
      <c r="A348" s="1">
        <v>347</v>
      </c>
      <c r="B348" s="1" t="s">
        <v>401</v>
      </c>
      <c r="C348" s="1" t="s">
        <v>124</v>
      </c>
      <c r="D348" s="1" t="s">
        <v>1125</v>
      </c>
      <c r="E348" s="1">
        <v>23</v>
      </c>
      <c r="F348" s="1">
        <v>667</v>
      </c>
      <c r="G348" s="1">
        <v>172</v>
      </c>
      <c r="H348" s="1">
        <v>304</v>
      </c>
      <c r="I348" s="1">
        <v>182</v>
      </c>
      <c r="J348" s="1">
        <v>249</v>
      </c>
      <c r="K348" s="1">
        <v>677</v>
      </c>
      <c r="L348" s="1">
        <v>541</v>
      </c>
      <c r="M348" s="1">
        <v>75.7</v>
      </c>
      <c r="N348" s="1">
        <v>30.047992000000001</v>
      </c>
      <c r="O348" s="1">
        <v>-94.335743300000004</v>
      </c>
      <c r="P348" s="14">
        <f t="shared" si="41"/>
        <v>75.2</v>
      </c>
      <c r="Q348" s="13">
        <v>20</v>
      </c>
      <c r="R348" s="16">
        <f t="shared" si="42"/>
        <v>82.899999999999991</v>
      </c>
      <c r="S348" s="14">
        <f t="shared" si="43"/>
        <v>0</v>
      </c>
      <c r="T348" s="13">
        <f t="shared" si="44"/>
        <v>81.899999999999991</v>
      </c>
      <c r="U348" s="14">
        <f t="shared" si="45"/>
        <v>32.4</v>
      </c>
      <c r="V348" s="14">
        <f t="shared" si="46"/>
        <v>46</v>
      </c>
      <c r="W348" s="1">
        <f t="shared" si="47"/>
        <v>65.400000000000006</v>
      </c>
      <c r="X348" s="1" t="str">
        <f>IF(Table1[[#This Row],[World Rank]]&lt;=250,"Q1-Elite",IF(Table1[[#This Row],[World Rank]]&lt;=500,"Q2-Strong",IF(Table1[[#This Row],[World Rank]]&lt;=750,"Q3-Developing","Q4-Emerging")))</f>
        <v>Q2-Strong</v>
      </c>
    </row>
    <row r="349" spans="1:24" x14ac:dyDescent="0.2">
      <c r="A349" s="1">
        <v>348</v>
      </c>
      <c r="B349" s="1" t="s">
        <v>402</v>
      </c>
      <c r="C349" s="1" t="s">
        <v>85</v>
      </c>
      <c r="D349" s="1" t="s">
        <v>1125</v>
      </c>
      <c r="E349" s="1">
        <v>8</v>
      </c>
      <c r="F349" s="1">
        <v>667</v>
      </c>
      <c r="G349" s="1">
        <v>1001</v>
      </c>
      <c r="H349" s="1">
        <v>304</v>
      </c>
      <c r="I349" s="1">
        <v>363</v>
      </c>
      <c r="J349" s="1">
        <v>315</v>
      </c>
      <c r="K349" s="1">
        <v>352</v>
      </c>
      <c r="L349" s="1">
        <v>304</v>
      </c>
      <c r="M349" s="1">
        <v>75.7</v>
      </c>
      <c r="N349" s="1">
        <v>36.638392000000003</v>
      </c>
      <c r="O349" s="1">
        <v>127.69611879999999</v>
      </c>
      <c r="P349" s="14">
        <f t="shared" si="41"/>
        <v>68.600000000000009</v>
      </c>
      <c r="Q349" s="13">
        <v>20</v>
      </c>
      <c r="R349" s="16">
        <f t="shared" si="42"/>
        <v>0</v>
      </c>
      <c r="S349" s="14">
        <f t="shared" si="43"/>
        <v>0</v>
      </c>
      <c r="T349" s="13">
        <f t="shared" si="44"/>
        <v>63.800000000000004</v>
      </c>
      <c r="U349" s="14">
        <f t="shared" si="45"/>
        <v>64.900000000000006</v>
      </c>
      <c r="V349" s="14">
        <f t="shared" si="46"/>
        <v>69.699999999999989</v>
      </c>
      <c r="W349" s="1">
        <f t="shared" si="47"/>
        <v>65.3</v>
      </c>
      <c r="X349" s="1" t="str">
        <f>IF(Table1[[#This Row],[World Rank]]&lt;=250,"Q1-Elite",IF(Table1[[#This Row],[World Rank]]&lt;=500,"Q2-Strong",IF(Table1[[#This Row],[World Rank]]&lt;=750,"Q3-Developing","Q4-Emerging")))</f>
        <v>Q2-Strong</v>
      </c>
    </row>
    <row r="350" spans="1:24" x14ac:dyDescent="0.2">
      <c r="A350" s="1">
        <v>349</v>
      </c>
      <c r="B350" s="1" t="s">
        <v>403</v>
      </c>
      <c r="C350" s="1" t="s">
        <v>93</v>
      </c>
      <c r="D350" s="1" t="s">
        <v>1124</v>
      </c>
      <c r="E350" s="1">
        <v>11</v>
      </c>
      <c r="F350" s="1">
        <v>667</v>
      </c>
      <c r="G350" s="1">
        <v>1001</v>
      </c>
      <c r="H350" s="1">
        <v>304</v>
      </c>
      <c r="I350" s="1">
        <v>306</v>
      </c>
      <c r="J350" s="1">
        <v>327</v>
      </c>
      <c r="K350" s="1">
        <v>385</v>
      </c>
      <c r="L350" s="1">
        <v>304</v>
      </c>
      <c r="M350" s="1">
        <v>75.599999999999994</v>
      </c>
      <c r="N350" s="1">
        <v>42.638426099999997</v>
      </c>
      <c r="O350" s="1">
        <v>12.674296999999999</v>
      </c>
      <c r="P350" s="14">
        <f t="shared" si="41"/>
        <v>67.400000000000006</v>
      </c>
      <c r="Q350" s="13">
        <v>20</v>
      </c>
      <c r="R350" s="16">
        <f t="shared" si="42"/>
        <v>0</v>
      </c>
      <c r="S350" s="14">
        <f t="shared" si="43"/>
        <v>0</v>
      </c>
      <c r="T350" s="13">
        <f t="shared" si="44"/>
        <v>69.5</v>
      </c>
      <c r="U350" s="14">
        <f t="shared" si="45"/>
        <v>61.6</v>
      </c>
      <c r="V350" s="14">
        <f t="shared" si="46"/>
        <v>69.699999999999989</v>
      </c>
      <c r="W350" s="1">
        <f t="shared" si="47"/>
        <v>65.2</v>
      </c>
      <c r="X350" s="1" t="str">
        <f>IF(Table1[[#This Row],[World Rank]]&lt;=250,"Q1-Elite",IF(Table1[[#This Row],[World Rank]]&lt;=500,"Q2-Strong",IF(Table1[[#This Row],[World Rank]]&lt;=750,"Q3-Developing","Q4-Emerging")))</f>
        <v>Q2-Strong</v>
      </c>
    </row>
    <row r="351" spans="1:24" x14ac:dyDescent="0.2">
      <c r="A351" s="1">
        <v>350</v>
      </c>
      <c r="B351" s="1" t="s">
        <v>404</v>
      </c>
      <c r="C351" s="1" t="s">
        <v>68</v>
      </c>
      <c r="D351" s="1" t="s">
        <v>1124</v>
      </c>
      <c r="E351" s="1">
        <v>29</v>
      </c>
      <c r="F351" s="1">
        <v>667</v>
      </c>
      <c r="G351" s="1">
        <v>1001</v>
      </c>
      <c r="H351" s="1">
        <v>304</v>
      </c>
      <c r="I351" s="1">
        <v>373</v>
      </c>
      <c r="J351" s="1">
        <v>332</v>
      </c>
      <c r="K351" s="1">
        <v>226</v>
      </c>
      <c r="L351" s="1">
        <v>460</v>
      </c>
      <c r="M351" s="1">
        <v>75.599999999999994</v>
      </c>
      <c r="N351" s="1">
        <v>40.420347900000003</v>
      </c>
      <c r="O351" s="1">
        <v>-79.116698299999996</v>
      </c>
      <c r="P351" s="14">
        <f t="shared" si="41"/>
        <v>66.900000000000006</v>
      </c>
      <c r="Q351" s="13">
        <v>20</v>
      </c>
      <c r="R351" s="16">
        <f t="shared" si="42"/>
        <v>0</v>
      </c>
      <c r="S351" s="14">
        <f t="shared" si="43"/>
        <v>0</v>
      </c>
      <c r="T351" s="13">
        <f t="shared" si="44"/>
        <v>62.8</v>
      </c>
      <c r="U351" s="14">
        <f t="shared" si="45"/>
        <v>77.5</v>
      </c>
      <c r="V351" s="14">
        <f t="shared" si="46"/>
        <v>54.1</v>
      </c>
      <c r="W351" s="1">
        <f t="shared" si="47"/>
        <v>65.100000000000009</v>
      </c>
      <c r="X351" s="1" t="str">
        <f>IF(Table1[[#This Row],[World Rank]]&lt;=250,"Q1-Elite",IF(Table1[[#This Row],[World Rank]]&lt;=500,"Q2-Strong",IF(Table1[[#This Row],[World Rank]]&lt;=750,"Q3-Developing","Q4-Emerging")))</f>
        <v>Q2-Strong</v>
      </c>
    </row>
    <row r="352" spans="1:24" x14ac:dyDescent="0.2">
      <c r="A352" s="1">
        <v>351</v>
      </c>
      <c r="B352" s="1" t="s">
        <v>405</v>
      </c>
      <c r="C352" s="1" t="s">
        <v>81</v>
      </c>
      <c r="D352" s="1" t="s">
        <v>1121</v>
      </c>
      <c r="E352" s="1">
        <v>11</v>
      </c>
      <c r="F352" s="1">
        <v>667</v>
      </c>
      <c r="G352" s="1">
        <v>1001</v>
      </c>
      <c r="H352" s="1">
        <v>304</v>
      </c>
      <c r="I352" s="1">
        <v>361</v>
      </c>
      <c r="J352" s="1">
        <v>375</v>
      </c>
      <c r="K352" s="1">
        <v>351</v>
      </c>
      <c r="L352" s="1">
        <v>240</v>
      </c>
      <c r="M352" s="1">
        <v>75.599999999999994</v>
      </c>
      <c r="N352" s="1">
        <v>-24.776108600000001</v>
      </c>
      <c r="O352" s="1">
        <v>134.755</v>
      </c>
      <c r="P352" s="14">
        <f t="shared" si="41"/>
        <v>62.6</v>
      </c>
      <c r="Q352" s="13">
        <v>20</v>
      </c>
      <c r="R352" s="16">
        <f t="shared" si="42"/>
        <v>0</v>
      </c>
      <c r="S352" s="14">
        <f t="shared" si="43"/>
        <v>0</v>
      </c>
      <c r="T352" s="13">
        <f t="shared" si="44"/>
        <v>64</v>
      </c>
      <c r="U352" s="14">
        <f t="shared" si="45"/>
        <v>65</v>
      </c>
      <c r="V352" s="14">
        <f t="shared" si="46"/>
        <v>76.099999999999994</v>
      </c>
      <c r="W352" s="1">
        <f t="shared" si="47"/>
        <v>65</v>
      </c>
      <c r="X352" s="1" t="str">
        <f>IF(Table1[[#This Row],[World Rank]]&lt;=250,"Q1-Elite",IF(Table1[[#This Row],[World Rank]]&lt;=500,"Q2-Strong",IF(Table1[[#This Row],[World Rank]]&lt;=750,"Q3-Developing","Q4-Emerging")))</f>
        <v>Q2-Strong</v>
      </c>
    </row>
    <row r="353" spans="1:24" x14ac:dyDescent="0.2">
      <c r="A353" s="1">
        <v>352</v>
      </c>
      <c r="B353" s="1" t="s">
        <v>406</v>
      </c>
      <c r="C353" s="1" t="s">
        <v>15</v>
      </c>
      <c r="D353" s="1" t="s">
        <v>1120</v>
      </c>
      <c r="E353" s="1">
        <v>114</v>
      </c>
      <c r="F353" s="1">
        <v>130</v>
      </c>
      <c r="G353" s="1">
        <v>920</v>
      </c>
      <c r="H353" s="1">
        <v>204</v>
      </c>
      <c r="I353" s="1">
        <v>600</v>
      </c>
      <c r="J353" s="1">
        <v>473</v>
      </c>
      <c r="K353" s="1">
        <v>411</v>
      </c>
      <c r="L353" s="1">
        <v>254</v>
      </c>
      <c r="M353" s="1">
        <v>75.599999999999994</v>
      </c>
      <c r="N353" s="1">
        <v>39.783730400000003</v>
      </c>
      <c r="O353" s="1">
        <v>-100.445882</v>
      </c>
      <c r="P353" s="14">
        <f t="shared" si="41"/>
        <v>52.800000000000004</v>
      </c>
      <c r="Q353" s="13">
        <f>((667 - F353) / 666) * 100</f>
        <v>80.630630630630634</v>
      </c>
      <c r="R353" s="16">
        <f t="shared" si="42"/>
        <v>8.1</v>
      </c>
      <c r="S353" s="14">
        <f t="shared" si="43"/>
        <v>33.003300330032999</v>
      </c>
      <c r="T353" s="13">
        <f t="shared" si="44"/>
        <v>40.1</v>
      </c>
      <c r="U353" s="14">
        <f t="shared" si="45"/>
        <v>59</v>
      </c>
      <c r="V353" s="14">
        <f t="shared" si="46"/>
        <v>74.7</v>
      </c>
      <c r="W353" s="1">
        <f t="shared" si="47"/>
        <v>64.900000000000006</v>
      </c>
      <c r="X353" s="1" t="str">
        <f>IF(Table1[[#This Row],[World Rank]]&lt;=250,"Q1-Elite",IF(Table1[[#This Row],[World Rank]]&lt;=500,"Q2-Strong",IF(Table1[[#This Row],[World Rank]]&lt;=750,"Q3-Developing","Q4-Emerging")))</f>
        <v>Q2-Strong</v>
      </c>
    </row>
    <row r="354" spans="1:24" x14ac:dyDescent="0.2">
      <c r="A354" s="1">
        <v>353</v>
      </c>
      <c r="B354" s="1" t="s">
        <v>407</v>
      </c>
      <c r="C354" s="1" t="s">
        <v>68</v>
      </c>
      <c r="D354" s="1" t="s">
        <v>1124</v>
      </c>
      <c r="E354" s="1">
        <v>30</v>
      </c>
      <c r="F354" s="1">
        <v>667</v>
      </c>
      <c r="G354" s="1">
        <v>1001</v>
      </c>
      <c r="H354" s="1">
        <v>304</v>
      </c>
      <c r="I354" s="1">
        <v>387</v>
      </c>
      <c r="J354" s="1">
        <v>356</v>
      </c>
      <c r="K354" s="1">
        <v>390</v>
      </c>
      <c r="L354" s="1">
        <v>222</v>
      </c>
      <c r="M354" s="1">
        <v>75.599999999999994</v>
      </c>
      <c r="N354" s="1">
        <v>40.420347900000003</v>
      </c>
      <c r="O354" s="1">
        <v>-79.116698299999996</v>
      </c>
      <c r="P354" s="14">
        <f t="shared" si="41"/>
        <v>64.5</v>
      </c>
      <c r="Q354" s="13">
        <v>20</v>
      </c>
      <c r="R354" s="16">
        <f t="shared" si="42"/>
        <v>0</v>
      </c>
      <c r="S354" s="14">
        <f t="shared" si="43"/>
        <v>0</v>
      </c>
      <c r="T354" s="13">
        <f t="shared" si="44"/>
        <v>61.4</v>
      </c>
      <c r="U354" s="14">
        <f t="shared" si="45"/>
        <v>61.1</v>
      </c>
      <c r="V354" s="14">
        <f t="shared" si="46"/>
        <v>77.900000000000006</v>
      </c>
      <c r="W354" s="1">
        <f t="shared" si="47"/>
        <v>64.8</v>
      </c>
      <c r="X354" s="1" t="str">
        <f>IF(Table1[[#This Row],[World Rank]]&lt;=250,"Q1-Elite",IF(Table1[[#This Row],[World Rank]]&lt;=500,"Q2-Strong",IF(Table1[[#This Row],[World Rank]]&lt;=750,"Q3-Developing","Q4-Emerging")))</f>
        <v>Q2-Strong</v>
      </c>
    </row>
    <row r="355" spans="1:24" x14ac:dyDescent="0.2">
      <c r="A355" s="1">
        <v>354</v>
      </c>
      <c r="B355" s="1" t="s">
        <v>408</v>
      </c>
      <c r="C355" s="1" t="s">
        <v>15</v>
      </c>
      <c r="D355" s="1" t="s">
        <v>1120</v>
      </c>
      <c r="E355" s="1">
        <v>115</v>
      </c>
      <c r="F355" s="1">
        <v>667</v>
      </c>
      <c r="G355" s="1">
        <v>292</v>
      </c>
      <c r="H355" s="1">
        <v>304</v>
      </c>
      <c r="I355" s="1">
        <v>444</v>
      </c>
      <c r="J355" s="1">
        <v>378</v>
      </c>
      <c r="K355" s="1">
        <v>386</v>
      </c>
      <c r="L355" s="1">
        <v>187</v>
      </c>
      <c r="M355" s="1">
        <v>75.599999999999994</v>
      </c>
      <c r="N355" s="1">
        <v>39.783730400000003</v>
      </c>
      <c r="O355" s="1">
        <v>-100.445882</v>
      </c>
      <c r="P355" s="14">
        <f t="shared" si="41"/>
        <v>62.3</v>
      </c>
      <c r="Q355" s="13">
        <v>20</v>
      </c>
      <c r="R355" s="16">
        <f t="shared" si="42"/>
        <v>70.899999999999991</v>
      </c>
      <c r="S355" s="14">
        <f t="shared" si="43"/>
        <v>0</v>
      </c>
      <c r="T355" s="13">
        <f t="shared" si="44"/>
        <v>55.7</v>
      </c>
      <c r="U355" s="14">
        <f t="shared" si="45"/>
        <v>61.5</v>
      </c>
      <c r="V355" s="14">
        <f t="shared" si="46"/>
        <v>81.399999999999991</v>
      </c>
      <c r="W355" s="1">
        <f t="shared" si="47"/>
        <v>64.7</v>
      </c>
      <c r="X355" s="1" t="str">
        <f>IF(Table1[[#This Row],[World Rank]]&lt;=250,"Q1-Elite",IF(Table1[[#This Row],[World Rank]]&lt;=500,"Q2-Strong",IF(Table1[[#This Row],[World Rank]]&lt;=750,"Q3-Developing","Q4-Emerging")))</f>
        <v>Q2-Strong</v>
      </c>
    </row>
    <row r="356" spans="1:24" x14ac:dyDescent="0.2">
      <c r="A356" s="1">
        <v>355</v>
      </c>
      <c r="B356" s="1" t="s">
        <v>409</v>
      </c>
      <c r="C356" s="1" t="s">
        <v>126</v>
      </c>
      <c r="D356" s="1" t="s">
        <v>1124</v>
      </c>
      <c r="E356" s="1">
        <v>3</v>
      </c>
      <c r="F356" s="1">
        <v>667</v>
      </c>
      <c r="G356" s="1">
        <v>238</v>
      </c>
      <c r="H356" s="1">
        <v>304</v>
      </c>
      <c r="I356" s="1">
        <v>340</v>
      </c>
      <c r="J356" s="1">
        <v>319</v>
      </c>
      <c r="K356" s="1">
        <v>398</v>
      </c>
      <c r="L356" s="1">
        <v>363</v>
      </c>
      <c r="M356" s="1">
        <v>75.599999999999994</v>
      </c>
      <c r="N356" s="1">
        <v>63.246777700000003</v>
      </c>
      <c r="O356" s="1">
        <v>25.920916399999999</v>
      </c>
      <c r="P356" s="14">
        <f t="shared" si="41"/>
        <v>68.2</v>
      </c>
      <c r="Q356" s="13">
        <v>20</v>
      </c>
      <c r="R356" s="16">
        <f t="shared" si="42"/>
        <v>76.3</v>
      </c>
      <c r="S356" s="14">
        <f t="shared" si="43"/>
        <v>0</v>
      </c>
      <c r="T356" s="13">
        <f t="shared" si="44"/>
        <v>66.100000000000009</v>
      </c>
      <c r="U356" s="14">
        <f t="shared" si="45"/>
        <v>60.3</v>
      </c>
      <c r="V356" s="14">
        <f t="shared" si="46"/>
        <v>63.800000000000004</v>
      </c>
      <c r="W356" s="1">
        <f t="shared" si="47"/>
        <v>64.600000000000009</v>
      </c>
      <c r="X356" s="1" t="str">
        <f>IF(Table1[[#This Row],[World Rank]]&lt;=250,"Q1-Elite",IF(Table1[[#This Row],[World Rank]]&lt;=500,"Q2-Strong",IF(Table1[[#This Row],[World Rank]]&lt;=750,"Q3-Developing","Q4-Emerging")))</f>
        <v>Q2-Strong</v>
      </c>
    </row>
    <row r="357" spans="1:24" x14ac:dyDescent="0.2">
      <c r="A357" s="1">
        <v>356</v>
      </c>
      <c r="B357" s="1" t="s">
        <v>410</v>
      </c>
      <c r="C357" s="1" t="s">
        <v>118</v>
      </c>
      <c r="D357" s="1" t="s">
        <v>1124</v>
      </c>
      <c r="E357" s="1">
        <v>7</v>
      </c>
      <c r="F357" s="1">
        <v>667</v>
      </c>
      <c r="G357" s="1">
        <v>1001</v>
      </c>
      <c r="H357" s="1">
        <v>304</v>
      </c>
      <c r="I357" s="1">
        <v>559</v>
      </c>
      <c r="J357" s="1">
        <v>402</v>
      </c>
      <c r="K357" s="1">
        <v>155</v>
      </c>
      <c r="L357" s="1">
        <v>405</v>
      </c>
      <c r="M357" s="1">
        <v>75.5</v>
      </c>
      <c r="N357" s="1">
        <v>39.326068499999998</v>
      </c>
      <c r="O357" s="1">
        <v>-4.8379791000000001</v>
      </c>
      <c r="P357" s="14">
        <f t="shared" si="41"/>
        <v>59.9</v>
      </c>
      <c r="Q357" s="13">
        <v>20</v>
      </c>
      <c r="R357" s="16">
        <f t="shared" si="42"/>
        <v>0</v>
      </c>
      <c r="S357" s="14">
        <f t="shared" si="43"/>
        <v>0</v>
      </c>
      <c r="T357" s="13">
        <f t="shared" si="44"/>
        <v>44.2</v>
      </c>
      <c r="U357" s="14">
        <f t="shared" si="45"/>
        <v>84.6</v>
      </c>
      <c r="V357" s="14">
        <f t="shared" si="46"/>
        <v>59.599999999999994</v>
      </c>
      <c r="W357" s="1">
        <f t="shared" si="47"/>
        <v>64.5</v>
      </c>
      <c r="X357" s="1" t="str">
        <f>IF(Table1[[#This Row],[World Rank]]&lt;=250,"Q1-Elite",IF(Table1[[#This Row],[World Rank]]&lt;=500,"Q2-Strong",IF(Table1[[#This Row],[World Rank]]&lt;=750,"Q3-Developing","Q4-Emerging")))</f>
        <v>Q2-Strong</v>
      </c>
    </row>
    <row r="358" spans="1:24" x14ac:dyDescent="0.2">
      <c r="A358" s="1">
        <v>357</v>
      </c>
      <c r="B358" s="1" t="s">
        <v>411</v>
      </c>
      <c r="C358" s="1" t="s">
        <v>72</v>
      </c>
      <c r="D358" s="1" t="s">
        <v>1124</v>
      </c>
      <c r="E358" s="1">
        <v>8</v>
      </c>
      <c r="F358" s="1">
        <v>667</v>
      </c>
      <c r="G358" s="1">
        <v>549</v>
      </c>
      <c r="H358" s="1">
        <v>304</v>
      </c>
      <c r="I358" s="1">
        <v>343</v>
      </c>
      <c r="J358" s="1">
        <v>330</v>
      </c>
      <c r="K358" s="1">
        <v>388</v>
      </c>
      <c r="L358" s="1">
        <v>327</v>
      </c>
      <c r="M358" s="1">
        <v>75.5</v>
      </c>
      <c r="N358" s="1">
        <v>44.133434999999999</v>
      </c>
      <c r="O358" s="1">
        <v>-70.822677999999996</v>
      </c>
      <c r="P358" s="14">
        <f t="shared" si="41"/>
        <v>67.100000000000009</v>
      </c>
      <c r="Q358" s="13">
        <v>20</v>
      </c>
      <c r="R358" s="16">
        <f t="shared" si="42"/>
        <v>45.2</v>
      </c>
      <c r="S358" s="14">
        <f t="shared" si="43"/>
        <v>0</v>
      </c>
      <c r="T358" s="13">
        <f t="shared" si="44"/>
        <v>65.8</v>
      </c>
      <c r="U358" s="14">
        <f t="shared" si="45"/>
        <v>61.3</v>
      </c>
      <c r="V358" s="14">
        <f t="shared" si="46"/>
        <v>67.400000000000006</v>
      </c>
      <c r="W358" s="1">
        <f t="shared" si="47"/>
        <v>64.400000000000006</v>
      </c>
      <c r="X358" s="1" t="str">
        <f>IF(Table1[[#This Row],[World Rank]]&lt;=250,"Q1-Elite",IF(Table1[[#This Row],[World Rank]]&lt;=500,"Q2-Strong",IF(Table1[[#This Row],[World Rank]]&lt;=750,"Q3-Developing","Q4-Emerging")))</f>
        <v>Q2-Strong</v>
      </c>
    </row>
    <row r="359" spans="1:24" x14ac:dyDescent="0.2">
      <c r="A359" s="1">
        <v>358</v>
      </c>
      <c r="B359" s="1" t="s">
        <v>412</v>
      </c>
      <c r="C359" s="1" t="s">
        <v>210</v>
      </c>
      <c r="D359" s="1" t="s">
        <v>1125</v>
      </c>
      <c r="E359" s="1">
        <v>5</v>
      </c>
      <c r="F359" s="1">
        <v>667</v>
      </c>
      <c r="G359" s="1">
        <v>1001</v>
      </c>
      <c r="H359" s="1">
        <v>304</v>
      </c>
      <c r="I359" s="1">
        <v>262</v>
      </c>
      <c r="J359" s="1">
        <v>239</v>
      </c>
      <c r="K359" s="1">
        <v>798</v>
      </c>
      <c r="L359" s="1">
        <v>327</v>
      </c>
      <c r="M359" s="1">
        <v>75.5</v>
      </c>
      <c r="N359" s="1">
        <v>22.350626999999999</v>
      </c>
      <c r="O359" s="1">
        <v>114.1849161</v>
      </c>
      <c r="P359" s="14">
        <f t="shared" si="41"/>
        <v>76.2</v>
      </c>
      <c r="Q359" s="13">
        <v>20</v>
      </c>
      <c r="R359" s="16">
        <f t="shared" si="42"/>
        <v>0</v>
      </c>
      <c r="S359" s="14">
        <f t="shared" si="43"/>
        <v>0</v>
      </c>
      <c r="T359" s="13">
        <f t="shared" si="44"/>
        <v>73.900000000000006</v>
      </c>
      <c r="U359" s="14">
        <f t="shared" si="45"/>
        <v>20.3</v>
      </c>
      <c r="V359" s="14">
        <f t="shared" si="46"/>
        <v>67.400000000000006</v>
      </c>
      <c r="W359" s="1">
        <f t="shared" si="47"/>
        <v>64.3</v>
      </c>
      <c r="X359" s="1" t="str">
        <f>IF(Table1[[#This Row],[World Rank]]&lt;=250,"Q1-Elite",IF(Table1[[#This Row],[World Rank]]&lt;=500,"Q2-Strong",IF(Table1[[#This Row],[World Rank]]&lt;=750,"Q3-Developing","Q4-Emerging")))</f>
        <v>Q2-Strong</v>
      </c>
    </row>
    <row r="360" spans="1:24" x14ac:dyDescent="0.2">
      <c r="A360" s="1">
        <v>359</v>
      </c>
      <c r="B360" s="1" t="s">
        <v>413</v>
      </c>
      <c r="C360" s="1" t="s">
        <v>118</v>
      </c>
      <c r="D360" s="1" t="s">
        <v>1124</v>
      </c>
      <c r="E360" s="1">
        <v>8</v>
      </c>
      <c r="F360" s="1">
        <v>667</v>
      </c>
      <c r="G360" s="1">
        <v>1001</v>
      </c>
      <c r="H360" s="1">
        <v>304</v>
      </c>
      <c r="I360" s="1">
        <v>288</v>
      </c>
      <c r="J360" s="1">
        <v>296</v>
      </c>
      <c r="K360" s="1">
        <v>343</v>
      </c>
      <c r="L360" s="1">
        <v>541</v>
      </c>
      <c r="M360" s="1">
        <v>75.5</v>
      </c>
      <c r="N360" s="1">
        <v>39.326068499999998</v>
      </c>
      <c r="O360" s="1">
        <v>-4.8379791000000001</v>
      </c>
      <c r="P360" s="14">
        <f t="shared" si="41"/>
        <v>70.5</v>
      </c>
      <c r="Q360" s="13">
        <v>20</v>
      </c>
      <c r="R360" s="16">
        <f t="shared" si="42"/>
        <v>0</v>
      </c>
      <c r="S360" s="14">
        <f t="shared" si="43"/>
        <v>0</v>
      </c>
      <c r="T360" s="13">
        <f t="shared" si="44"/>
        <v>71.3</v>
      </c>
      <c r="U360" s="14">
        <f t="shared" si="45"/>
        <v>65.8</v>
      </c>
      <c r="V360" s="14">
        <f t="shared" si="46"/>
        <v>46</v>
      </c>
      <c r="W360" s="1">
        <f t="shared" si="47"/>
        <v>64.2</v>
      </c>
      <c r="X360" s="1" t="str">
        <f>IF(Table1[[#This Row],[World Rank]]&lt;=250,"Q1-Elite",IF(Table1[[#This Row],[World Rank]]&lt;=500,"Q2-Strong",IF(Table1[[#This Row],[World Rank]]&lt;=750,"Q3-Developing","Q4-Emerging")))</f>
        <v>Q2-Strong</v>
      </c>
    </row>
    <row r="361" spans="1:24" x14ac:dyDescent="0.2">
      <c r="A361" s="1">
        <v>360</v>
      </c>
      <c r="B361" s="1" t="s">
        <v>414</v>
      </c>
      <c r="C361" s="1" t="s">
        <v>107</v>
      </c>
      <c r="D361" s="1" t="s">
        <v>1123</v>
      </c>
      <c r="E361" s="1">
        <v>3</v>
      </c>
      <c r="F361" s="1">
        <v>667</v>
      </c>
      <c r="G361" s="1">
        <v>1001</v>
      </c>
      <c r="H361" s="1">
        <v>304</v>
      </c>
      <c r="I361" s="1">
        <v>163</v>
      </c>
      <c r="J361" s="1">
        <v>307</v>
      </c>
      <c r="K361" s="1">
        <v>528</v>
      </c>
      <c r="L361" s="1">
        <v>541</v>
      </c>
      <c r="M361" s="1">
        <v>75.5</v>
      </c>
      <c r="N361" s="1">
        <v>-10.3333333</v>
      </c>
      <c r="O361" s="1">
        <v>-53.2</v>
      </c>
      <c r="P361" s="14">
        <f t="shared" si="41"/>
        <v>69.399999999999991</v>
      </c>
      <c r="Q361" s="13">
        <v>20</v>
      </c>
      <c r="R361" s="16">
        <f t="shared" si="42"/>
        <v>0</v>
      </c>
      <c r="S361" s="14">
        <f t="shared" si="43"/>
        <v>0</v>
      </c>
      <c r="T361" s="13">
        <f t="shared" si="44"/>
        <v>83.8</v>
      </c>
      <c r="U361" s="14">
        <f t="shared" si="45"/>
        <v>47.3</v>
      </c>
      <c r="V361" s="14">
        <f t="shared" si="46"/>
        <v>46</v>
      </c>
      <c r="W361" s="1">
        <f t="shared" si="47"/>
        <v>64.099999999999994</v>
      </c>
      <c r="X361" s="1" t="str">
        <f>IF(Table1[[#This Row],[World Rank]]&lt;=250,"Q1-Elite",IF(Table1[[#This Row],[World Rank]]&lt;=500,"Q2-Strong",IF(Table1[[#This Row],[World Rank]]&lt;=750,"Q3-Developing","Q4-Emerging")))</f>
        <v>Q2-Strong</v>
      </c>
    </row>
    <row r="362" spans="1:24" x14ac:dyDescent="0.2">
      <c r="A362" s="1">
        <v>361</v>
      </c>
      <c r="B362" s="1" t="s">
        <v>415</v>
      </c>
      <c r="C362" s="1" t="s">
        <v>124</v>
      </c>
      <c r="D362" s="1" t="s">
        <v>1125</v>
      </c>
      <c r="E362" s="1">
        <v>24</v>
      </c>
      <c r="F362" s="1">
        <v>667</v>
      </c>
      <c r="G362" s="1">
        <v>1001</v>
      </c>
      <c r="H362" s="1">
        <v>304</v>
      </c>
      <c r="I362" s="1">
        <v>226</v>
      </c>
      <c r="J362" s="1">
        <v>271</v>
      </c>
      <c r="K362" s="1">
        <v>704</v>
      </c>
      <c r="L362" s="1">
        <v>405</v>
      </c>
      <c r="M362" s="1">
        <v>75.5</v>
      </c>
      <c r="N362" s="1">
        <v>30.047992000000001</v>
      </c>
      <c r="O362" s="1">
        <v>-94.335743300000004</v>
      </c>
      <c r="P362" s="14">
        <f t="shared" si="41"/>
        <v>73</v>
      </c>
      <c r="Q362" s="13">
        <v>20</v>
      </c>
      <c r="R362" s="16">
        <f t="shared" si="42"/>
        <v>0</v>
      </c>
      <c r="S362" s="14">
        <f t="shared" si="43"/>
        <v>0</v>
      </c>
      <c r="T362" s="13">
        <f t="shared" si="44"/>
        <v>77.5</v>
      </c>
      <c r="U362" s="14">
        <f t="shared" si="45"/>
        <v>29.7</v>
      </c>
      <c r="V362" s="14">
        <f t="shared" si="46"/>
        <v>59.599999999999994</v>
      </c>
      <c r="W362" s="1">
        <f t="shared" si="47"/>
        <v>64</v>
      </c>
      <c r="X362" s="1" t="str">
        <f>IF(Table1[[#This Row],[World Rank]]&lt;=250,"Q1-Elite",IF(Table1[[#This Row],[World Rank]]&lt;=500,"Q2-Strong",IF(Table1[[#This Row],[World Rank]]&lt;=750,"Q3-Developing","Q4-Emerging")))</f>
        <v>Q2-Strong</v>
      </c>
    </row>
    <row r="363" spans="1:24" x14ac:dyDescent="0.2">
      <c r="A363" s="1">
        <v>362</v>
      </c>
      <c r="B363" s="1" t="s">
        <v>416</v>
      </c>
      <c r="C363" s="1" t="s">
        <v>15</v>
      </c>
      <c r="D363" s="1" t="s">
        <v>1120</v>
      </c>
      <c r="E363" s="1">
        <v>116</v>
      </c>
      <c r="F363" s="1">
        <v>288</v>
      </c>
      <c r="G363" s="1">
        <v>451</v>
      </c>
      <c r="H363" s="1">
        <v>304</v>
      </c>
      <c r="I363" s="1">
        <v>448</v>
      </c>
      <c r="J363" s="1">
        <v>409</v>
      </c>
      <c r="K363" s="1">
        <v>336</v>
      </c>
      <c r="L363" s="1">
        <v>254</v>
      </c>
      <c r="M363" s="1">
        <v>75.5</v>
      </c>
      <c r="N363" s="1">
        <v>39.783730400000003</v>
      </c>
      <c r="O363" s="1">
        <v>-100.445882</v>
      </c>
      <c r="P363" s="14">
        <f t="shared" si="41"/>
        <v>59.199999999999996</v>
      </c>
      <c r="Q363" s="13">
        <f>((667 - F363) / 666) * 100</f>
        <v>56.906906906906904</v>
      </c>
      <c r="R363" s="16">
        <f t="shared" si="42"/>
        <v>55.000000000000007</v>
      </c>
      <c r="S363" s="14">
        <f t="shared" si="43"/>
        <v>0</v>
      </c>
      <c r="T363" s="13">
        <f t="shared" si="44"/>
        <v>55.300000000000004</v>
      </c>
      <c r="U363" s="14">
        <f t="shared" si="45"/>
        <v>66.5</v>
      </c>
      <c r="V363" s="14">
        <f t="shared" si="46"/>
        <v>74.7</v>
      </c>
      <c r="W363" s="1">
        <f t="shared" si="47"/>
        <v>63.9</v>
      </c>
      <c r="X363" s="1" t="str">
        <f>IF(Table1[[#This Row],[World Rank]]&lt;=250,"Q1-Elite",IF(Table1[[#This Row],[World Rank]]&lt;=500,"Q2-Strong",IF(Table1[[#This Row],[World Rank]]&lt;=750,"Q3-Developing","Q4-Emerging")))</f>
        <v>Q2-Strong</v>
      </c>
    </row>
    <row r="364" spans="1:24" x14ac:dyDescent="0.2">
      <c r="A364" s="1">
        <v>363</v>
      </c>
      <c r="B364" s="1" t="s">
        <v>417</v>
      </c>
      <c r="C364" s="1" t="s">
        <v>34</v>
      </c>
      <c r="D364" s="1" t="s">
        <v>1120</v>
      </c>
      <c r="E364" s="1">
        <v>17</v>
      </c>
      <c r="F364" s="1">
        <v>667</v>
      </c>
      <c r="G364" s="1">
        <v>1001</v>
      </c>
      <c r="H364" s="1">
        <v>304</v>
      </c>
      <c r="I364" s="1">
        <v>428</v>
      </c>
      <c r="J364" s="1">
        <v>351</v>
      </c>
      <c r="K364" s="1">
        <v>365</v>
      </c>
      <c r="L364" s="1">
        <v>275</v>
      </c>
      <c r="M364" s="1">
        <v>75.400000000000006</v>
      </c>
      <c r="N364" s="1">
        <v>61.066692199999999</v>
      </c>
      <c r="O364" s="1">
        <v>-107.99170700000001</v>
      </c>
      <c r="P364" s="14">
        <f t="shared" si="41"/>
        <v>65</v>
      </c>
      <c r="Q364" s="13">
        <v>20</v>
      </c>
      <c r="R364" s="16">
        <f t="shared" si="42"/>
        <v>0</v>
      </c>
      <c r="S364" s="14">
        <f t="shared" si="43"/>
        <v>0</v>
      </c>
      <c r="T364" s="13">
        <f t="shared" si="44"/>
        <v>57.3</v>
      </c>
      <c r="U364" s="14">
        <f t="shared" si="45"/>
        <v>63.6</v>
      </c>
      <c r="V364" s="14">
        <f t="shared" si="46"/>
        <v>72.599999999999994</v>
      </c>
      <c r="W364" s="1">
        <f t="shared" si="47"/>
        <v>63.800000000000004</v>
      </c>
      <c r="X364" s="1" t="str">
        <f>IF(Table1[[#This Row],[World Rank]]&lt;=250,"Q1-Elite",IF(Table1[[#This Row],[World Rank]]&lt;=500,"Q2-Strong",IF(Table1[[#This Row],[World Rank]]&lt;=750,"Q3-Developing","Q4-Emerging")))</f>
        <v>Q2-Strong</v>
      </c>
    </row>
    <row r="365" spans="1:24" x14ac:dyDescent="0.2">
      <c r="A365" s="1">
        <v>364</v>
      </c>
      <c r="B365" s="1" t="s">
        <v>418</v>
      </c>
      <c r="C365" s="1" t="s">
        <v>93</v>
      </c>
      <c r="D365" s="1" t="s">
        <v>1124</v>
      </c>
      <c r="E365" s="1">
        <v>12</v>
      </c>
      <c r="F365" s="1">
        <v>263</v>
      </c>
      <c r="G365" s="1">
        <v>458</v>
      </c>
      <c r="H365" s="1">
        <v>272</v>
      </c>
      <c r="I365" s="1">
        <v>344</v>
      </c>
      <c r="J365" s="1">
        <v>345</v>
      </c>
      <c r="K365" s="1">
        <v>628</v>
      </c>
      <c r="L365" s="1">
        <v>363</v>
      </c>
      <c r="M365" s="1">
        <v>75.400000000000006</v>
      </c>
      <c r="N365" s="1">
        <v>42.638426099999997</v>
      </c>
      <c r="O365" s="1">
        <v>12.674296999999999</v>
      </c>
      <c r="P365" s="14">
        <f t="shared" si="41"/>
        <v>65.600000000000009</v>
      </c>
      <c r="Q365" s="13">
        <f>((667 - F365) / 666) * 100</f>
        <v>60.66066066066066</v>
      </c>
      <c r="R365" s="16">
        <f t="shared" si="42"/>
        <v>54.300000000000004</v>
      </c>
      <c r="S365" s="14">
        <f t="shared" si="43"/>
        <v>10.561056105610561</v>
      </c>
      <c r="T365" s="13">
        <f t="shared" si="44"/>
        <v>65.7</v>
      </c>
      <c r="U365" s="14">
        <f t="shared" si="45"/>
        <v>37.299999999999997</v>
      </c>
      <c r="V365" s="14">
        <f t="shared" si="46"/>
        <v>63.800000000000004</v>
      </c>
      <c r="W365" s="1">
        <f t="shared" si="47"/>
        <v>63.7</v>
      </c>
      <c r="X365" s="1" t="str">
        <f>IF(Table1[[#This Row],[World Rank]]&lt;=250,"Q1-Elite",IF(Table1[[#This Row],[World Rank]]&lt;=500,"Q2-Strong",IF(Table1[[#This Row],[World Rank]]&lt;=750,"Q3-Developing","Q4-Emerging")))</f>
        <v>Q2-Strong</v>
      </c>
    </row>
    <row r="366" spans="1:24" x14ac:dyDescent="0.2">
      <c r="A366" s="1">
        <v>365</v>
      </c>
      <c r="B366" s="1" t="s">
        <v>419</v>
      </c>
      <c r="C366" s="1" t="s">
        <v>126</v>
      </c>
      <c r="D366" s="1" t="s">
        <v>1124</v>
      </c>
      <c r="E366" s="1">
        <v>4</v>
      </c>
      <c r="F366" s="1">
        <v>503</v>
      </c>
      <c r="G366" s="1">
        <v>665</v>
      </c>
      <c r="H366" s="1">
        <v>304</v>
      </c>
      <c r="I366" s="1">
        <v>446</v>
      </c>
      <c r="J366" s="1">
        <v>407</v>
      </c>
      <c r="K366" s="1">
        <v>310</v>
      </c>
      <c r="L366" s="1">
        <v>275</v>
      </c>
      <c r="M366" s="1">
        <v>75.400000000000006</v>
      </c>
      <c r="N366" s="1">
        <v>63.246777700000003</v>
      </c>
      <c r="O366" s="1">
        <v>25.920916399999999</v>
      </c>
      <c r="P366" s="14">
        <f t="shared" si="41"/>
        <v>59.4</v>
      </c>
      <c r="Q366" s="13">
        <f>((667 - F366) / 666) * 100</f>
        <v>24.624624624624623</v>
      </c>
      <c r="R366" s="16">
        <f t="shared" si="42"/>
        <v>33.6</v>
      </c>
      <c r="S366" s="14">
        <f t="shared" si="43"/>
        <v>0</v>
      </c>
      <c r="T366" s="13">
        <f t="shared" si="44"/>
        <v>55.500000000000007</v>
      </c>
      <c r="U366" s="14">
        <f t="shared" si="45"/>
        <v>69.099999999999994</v>
      </c>
      <c r="V366" s="14">
        <f t="shared" si="46"/>
        <v>72.599999999999994</v>
      </c>
      <c r="W366" s="1">
        <f t="shared" si="47"/>
        <v>63.6</v>
      </c>
      <c r="X366" s="1" t="str">
        <f>IF(Table1[[#This Row],[World Rank]]&lt;=250,"Q1-Elite",IF(Table1[[#This Row],[World Rank]]&lt;=500,"Q2-Strong",IF(Table1[[#This Row],[World Rank]]&lt;=750,"Q3-Developing","Q4-Emerging")))</f>
        <v>Q2-Strong</v>
      </c>
    </row>
    <row r="367" spans="1:24" x14ac:dyDescent="0.2">
      <c r="A367" s="1">
        <v>366</v>
      </c>
      <c r="B367" s="1" t="s">
        <v>420</v>
      </c>
      <c r="C367" s="1" t="s">
        <v>93</v>
      </c>
      <c r="D367" s="1" t="s">
        <v>1124</v>
      </c>
      <c r="E367" s="1">
        <v>13</v>
      </c>
      <c r="F367" s="1">
        <v>560</v>
      </c>
      <c r="G367" s="1">
        <v>675</v>
      </c>
      <c r="H367" s="1">
        <v>300</v>
      </c>
      <c r="I367" s="1">
        <v>375</v>
      </c>
      <c r="J367" s="1">
        <v>361</v>
      </c>
      <c r="K367" s="1">
        <v>434</v>
      </c>
      <c r="L367" s="1">
        <v>275</v>
      </c>
      <c r="M367" s="1">
        <v>75.400000000000006</v>
      </c>
      <c r="N367" s="1">
        <v>42.638426099999997</v>
      </c>
      <c r="O367" s="1">
        <v>12.674296999999999</v>
      </c>
      <c r="P367" s="14">
        <f t="shared" si="41"/>
        <v>64</v>
      </c>
      <c r="Q367" s="13">
        <v>20</v>
      </c>
      <c r="R367" s="16">
        <f t="shared" si="42"/>
        <v>32.6</v>
      </c>
      <c r="S367" s="14">
        <f t="shared" si="43"/>
        <v>1.3201320132013201</v>
      </c>
      <c r="T367" s="13">
        <f t="shared" si="44"/>
        <v>62.6</v>
      </c>
      <c r="U367" s="14">
        <f t="shared" si="45"/>
        <v>56.699999999999996</v>
      </c>
      <c r="V367" s="14">
        <f t="shared" si="46"/>
        <v>72.599999999999994</v>
      </c>
      <c r="W367" s="1">
        <f t="shared" si="47"/>
        <v>63.5</v>
      </c>
      <c r="X367" s="1" t="str">
        <f>IF(Table1[[#This Row],[World Rank]]&lt;=250,"Q1-Elite",IF(Table1[[#This Row],[World Rank]]&lt;=500,"Q2-Strong",IF(Table1[[#This Row],[World Rank]]&lt;=750,"Q3-Developing","Q4-Emerging")))</f>
        <v>Q2-Strong</v>
      </c>
    </row>
    <row r="368" spans="1:24" x14ac:dyDescent="0.2">
      <c r="A368" s="1">
        <v>367</v>
      </c>
      <c r="B368" s="1" t="s">
        <v>421</v>
      </c>
      <c r="C368" s="1" t="s">
        <v>124</v>
      </c>
      <c r="D368" s="1" t="s">
        <v>1125</v>
      </c>
      <c r="E368" s="1">
        <v>25</v>
      </c>
      <c r="F368" s="1">
        <v>385</v>
      </c>
      <c r="G368" s="1">
        <v>1001</v>
      </c>
      <c r="H368" s="1">
        <v>304</v>
      </c>
      <c r="I368" s="1">
        <v>175</v>
      </c>
      <c r="J368" s="1">
        <v>286</v>
      </c>
      <c r="K368" s="1">
        <v>654</v>
      </c>
      <c r="L368" s="1">
        <v>541</v>
      </c>
      <c r="M368" s="1">
        <v>75.400000000000006</v>
      </c>
      <c r="N368" s="1">
        <v>30.047992000000001</v>
      </c>
      <c r="O368" s="1">
        <v>-94.335743300000004</v>
      </c>
      <c r="P368" s="14">
        <f t="shared" si="41"/>
        <v>71.5</v>
      </c>
      <c r="Q368" s="13">
        <f>((667 - F368) / 666) * 100</f>
        <v>42.342342342342342</v>
      </c>
      <c r="R368" s="16">
        <f t="shared" si="42"/>
        <v>0</v>
      </c>
      <c r="S368" s="14">
        <f t="shared" si="43"/>
        <v>0</v>
      </c>
      <c r="T368" s="13">
        <f t="shared" si="44"/>
        <v>82.6</v>
      </c>
      <c r="U368" s="14">
        <f t="shared" si="45"/>
        <v>34.699999999999996</v>
      </c>
      <c r="V368" s="14">
        <f t="shared" si="46"/>
        <v>46</v>
      </c>
      <c r="W368" s="1">
        <f t="shared" si="47"/>
        <v>63.4</v>
      </c>
      <c r="X368" s="1" t="str">
        <f>IF(Table1[[#This Row],[World Rank]]&lt;=250,"Q1-Elite",IF(Table1[[#This Row],[World Rank]]&lt;=500,"Q2-Strong",IF(Table1[[#This Row],[World Rank]]&lt;=750,"Q3-Developing","Q4-Emerging")))</f>
        <v>Q2-Strong</v>
      </c>
    </row>
    <row r="369" spans="1:24" x14ac:dyDescent="0.2">
      <c r="A369" s="1">
        <v>368</v>
      </c>
      <c r="B369" s="1" t="s">
        <v>422</v>
      </c>
      <c r="C369" s="1" t="s">
        <v>72</v>
      </c>
      <c r="D369" s="1" t="s">
        <v>1124</v>
      </c>
      <c r="E369" s="1">
        <v>9</v>
      </c>
      <c r="F369" s="1">
        <v>196</v>
      </c>
      <c r="G369" s="1">
        <v>1001</v>
      </c>
      <c r="H369" s="1">
        <v>304</v>
      </c>
      <c r="I369" s="1">
        <v>430</v>
      </c>
      <c r="J369" s="1">
        <v>379</v>
      </c>
      <c r="K369" s="1">
        <v>297</v>
      </c>
      <c r="L369" s="1">
        <v>363</v>
      </c>
      <c r="M369" s="1">
        <v>75.400000000000006</v>
      </c>
      <c r="N369" s="1">
        <v>44.133434999999999</v>
      </c>
      <c r="O369" s="1">
        <v>-70.822677999999996</v>
      </c>
      <c r="P369" s="14">
        <f t="shared" si="41"/>
        <v>62.2</v>
      </c>
      <c r="Q369" s="13">
        <f>((667 - F369) / 666) * 100</f>
        <v>70.72072072072072</v>
      </c>
      <c r="R369" s="16">
        <f t="shared" si="42"/>
        <v>0</v>
      </c>
      <c r="S369" s="14">
        <f t="shared" si="43"/>
        <v>0</v>
      </c>
      <c r="T369" s="13">
        <f t="shared" si="44"/>
        <v>57.099999999999994</v>
      </c>
      <c r="U369" s="14">
        <f t="shared" si="45"/>
        <v>70.399999999999991</v>
      </c>
      <c r="V369" s="14">
        <f t="shared" si="46"/>
        <v>63.800000000000004</v>
      </c>
      <c r="W369" s="1">
        <f t="shared" si="47"/>
        <v>63.3</v>
      </c>
      <c r="X369" s="1" t="str">
        <f>IF(Table1[[#This Row],[World Rank]]&lt;=250,"Q1-Elite",IF(Table1[[#This Row],[World Rank]]&lt;=500,"Q2-Strong",IF(Table1[[#This Row],[World Rank]]&lt;=750,"Q3-Developing","Q4-Emerging")))</f>
        <v>Q2-Strong</v>
      </c>
    </row>
    <row r="370" spans="1:24" x14ac:dyDescent="0.2">
      <c r="A370" s="1">
        <v>369</v>
      </c>
      <c r="B370" s="1" t="s">
        <v>423</v>
      </c>
      <c r="C370" s="1" t="s">
        <v>124</v>
      </c>
      <c r="D370" s="1" t="s">
        <v>1125</v>
      </c>
      <c r="E370" s="1">
        <v>26</v>
      </c>
      <c r="F370" s="1">
        <v>667</v>
      </c>
      <c r="G370" s="1">
        <v>177</v>
      </c>
      <c r="H370" s="1">
        <v>304</v>
      </c>
      <c r="I370" s="1">
        <v>246</v>
      </c>
      <c r="J370" s="1">
        <v>260</v>
      </c>
      <c r="K370" s="1">
        <v>471</v>
      </c>
      <c r="L370" s="1">
        <v>898</v>
      </c>
      <c r="M370" s="1">
        <v>75.400000000000006</v>
      </c>
      <c r="N370" s="1">
        <v>30.047992000000001</v>
      </c>
      <c r="O370" s="1">
        <v>-94.335743300000004</v>
      </c>
      <c r="P370" s="14">
        <f t="shared" si="41"/>
        <v>74.099999999999994</v>
      </c>
      <c r="Q370" s="13">
        <v>20</v>
      </c>
      <c r="R370" s="16">
        <f t="shared" si="42"/>
        <v>82.399999999999991</v>
      </c>
      <c r="S370" s="14">
        <f t="shared" si="43"/>
        <v>0</v>
      </c>
      <c r="T370" s="13">
        <f t="shared" si="44"/>
        <v>75.5</v>
      </c>
      <c r="U370" s="14">
        <f t="shared" si="45"/>
        <v>53</v>
      </c>
      <c r="V370" s="14">
        <f t="shared" si="46"/>
        <v>10.299999999999999</v>
      </c>
      <c r="W370" s="1">
        <f t="shared" si="47"/>
        <v>63.2</v>
      </c>
      <c r="X370" s="1" t="str">
        <f>IF(Table1[[#This Row],[World Rank]]&lt;=250,"Q1-Elite",IF(Table1[[#This Row],[World Rank]]&lt;=500,"Q2-Strong",IF(Table1[[#This Row],[World Rank]]&lt;=750,"Q3-Developing","Q4-Emerging")))</f>
        <v>Q2-Strong</v>
      </c>
    </row>
    <row r="371" spans="1:24" x14ac:dyDescent="0.2">
      <c r="A371" s="1">
        <v>370</v>
      </c>
      <c r="B371" s="1" t="s">
        <v>424</v>
      </c>
      <c r="C371" s="1" t="s">
        <v>425</v>
      </c>
      <c r="D371" s="1" t="s">
        <v>1124</v>
      </c>
      <c r="E371" s="1">
        <v>1</v>
      </c>
      <c r="F371" s="1">
        <v>667</v>
      </c>
      <c r="G371" s="1">
        <v>1001</v>
      </c>
      <c r="H371" s="1">
        <v>304</v>
      </c>
      <c r="I371" s="1">
        <v>260</v>
      </c>
      <c r="J371" s="1">
        <v>374</v>
      </c>
      <c r="K371" s="1">
        <v>415</v>
      </c>
      <c r="L371" s="1">
        <v>405</v>
      </c>
      <c r="M371" s="1">
        <v>75.3</v>
      </c>
      <c r="N371" s="1">
        <v>46.119944400000001</v>
      </c>
      <c r="O371" s="1">
        <v>14.815333300000001</v>
      </c>
      <c r="P371" s="14">
        <f t="shared" si="41"/>
        <v>62.7</v>
      </c>
      <c r="Q371" s="13">
        <v>20</v>
      </c>
      <c r="R371" s="16">
        <f t="shared" si="42"/>
        <v>0</v>
      </c>
      <c r="S371" s="14">
        <f t="shared" si="43"/>
        <v>0</v>
      </c>
      <c r="T371" s="13">
        <f t="shared" si="44"/>
        <v>74.099999999999994</v>
      </c>
      <c r="U371" s="14">
        <f t="shared" si="45"/>
        <v>58.599999999999994</v>
      </c>
      <c r="V371" s="14">
        <f t="shared" si="46"/>
        <v>59.599999999999994</v>
      </c>
      <c r="W371" s="1">
        <f t="shared" si="47"/>
        <v>63.1</v>
      </c>
      <c r="X371" s="1" t="str">
        <f>IF(Table1[[#This Row],[World Rank]]&lt;=250,"Q1-Elite",IF(Table1[[#This Row],[World Rank]]&lt;=500,"Q2-Strong",IF(Table1[[#This Row],[World Rank]]&lt;=750,"Q3-Developing","Q4-Emerging")))</f>
        <v>Q2-Strong</v>
      </c>
    </row>
    <row r="372" spans="1:24" x14ac:dyDescent="0.2">
      <c r="A372" s="1">
        <v>371</v>
      </c>
      <c r="B372" s="1" t="s">
        <v>426</v>
      </c>
      <c r="C372" s="1" t="s">
        <v>427</v>
      </c>
      <c r="D372" s="1" t="s">
        <v>1125</v>
      </c>
      <c r="E372" s="1">
        <v>1</v>
      </c>
      <c r="F372" s="1">
        <v>667</v>
      </c>
      <c r="G372" s="1">
        <v>1001</v>
      </c>
      <c r="H372" s="1">
        <v>304</v>
      </c>
      <c r="I372" s="1">
        <v>66</v>
      </c>
      <c r="J372" s="1">
        <v>406</v>
      </c>
      <c r="K372" s="1">
        <v>1001</v>
      </c>
      <c r="L372" s="1">
        <v>460</v>
      </c>
      <c r="M372" s="1">
        <v>75.3</v>
      </c>
      <c r="N372" s="1">
        <v>2.9368696000000001</v>
      </c>
      <c r="O372" s="1">
        <v>115.4443356</v>
      </c>
      <c r="P372" s="14">
        <f t="shared" si="41"/>
        <v>59.5</v>
      </c>
      <c r="Q372" s="13">
        <v>20</v>
      </c>
      <c r="R372" s="16">
        <f t="shared" si="42"/>
        <v>0</v>
      </c>
      <c r="S372" s="14">
        <f t="shared" si="43"/>
        <v>0</v>
      </c>
      <c r="T372" s="13">
        <f t="shared" si="44"/>
        <v>93.5</v>
      </c>
      <c r="U372" s="14">
        <f t="shared" si="45"/>
        <v>0</v>
      </c>
      <c r="V372" s="14">
        <f t="shared" si="46"/>
        <v>54.1</v>
      </c>
      <c r="W372" s="1">
        <f t="shared" si="47"/>
        <v>63</v>
      </c>
      <c r="X372" s="1" t="str">
        <f>IF(Table1[[#This Row],[World Rank]]&lt;=250,"Q1-Elite",IF(Table1[[#This Row],[World Rank]]&lt;=500,"Q2-Strong",IF(Table1[[#This Row],[World Rank]]&lt;=750,"Q3-Developing","Q4-Emerging")))</f>
        <v>Q2-Strong</v>
      </c>
    </row>
    <row r="373" spans="1:24" x14ac:dyDescent="0.2">
      <c r="A373" s="1">
        <v>372</v>
      </c>
      <c r="B373" s="1" t="s">
        <v>428</v>
      </c>
      <c r="C373" s="1" t="s">
        <v>107</v>
      </c>
      <c r="D373" s="1" t="s">
        <v>1123</v>
      </c>
      <c r="E373" s="1">
        <v>4</v>
      </c>
      <c r="F373" s="1">
        <v>667</v>
      </c>
      <c r="G373" s="1">
        <v>1001</v>
      </c>
      <c r="H373" s="1">
        <v>304</v>
      </c>
      <c r="I373" s="1">
        <v>128</v>
      </c>
      <c r="J373" s="1">
        <v>347</v>
      </c>
      <c r="K373" s="1">
        <v>639</v>
      </c>
      <c r="L373" s="1">
        <v>541</v>
      </c>
      <c r="M373" s="1">
        <v>75.3</v>
      </c>
      <c r="N373" s="1">
        <v>-10.3333333</v>
      </c>
      <c r="O373" s="1">
        <v>-53.2</v>
      </c>
      <c r="P373" s="14">
        <f t="shared" si="41"/>
        <v>65.400000000000006</v>
      </c>
      <c r="Q373" s="13">
        <v>20</v>
      </c>
      <c r="R373" s="16">
        <f t="shared" si="42"/>
        <v>0</v>
      </c>
      <c r="S373" s="14">
        <f t="shared" si="43"/>
        <v>0</v>
      </c>
      <c r="T373" s="13">
        <f t="shared" si="44"/>
        <v>87.3</v>
      </c>
      <c r="U373" s="14">
        <f t="shared" si="45"/>
        <v>36.199999999999996</v>
      </c>
      <c r="V373" s="14">
        <f t="shared" si="46"/>
        <v>46</v>
      </c>
      <c r="W373" s="1">
        <f t="shared" si="47"/>
        <v>62.9</v>
      </c>
      <c r="X373" s="1" t="str">
        <f>IF(Table1[[#This Row],[World Rank]]&lt;=250,"Q1-Elite",IF(Table1[[#This Row],[World Rank]]&lt;=500,"Q2-Strong",IF(Table1[[#This Row],[World Rank]]&lt;=750,"Q3-Developing","Q4-Emerging")))</f>
        <v>Q2-Strong</v>
      </c>
    </row>
    <row r="374" spans="1:24" x14ac:dyDescent="0.2">
      <c r="A374" s="1">
        <v>373</v>
      </c>
      <c r="B374" s="1" t="s">
        <v>429</v>
      </c>
      <c r="C374" s="1" t="s">
        <v>15</v>
      </c>
      <c r="D374" s="1" t="s">
        <v>1120</v>
      </c>
      <c r="E374" s="1">
        <v>117</v>
      </c>
      <c r="F374" s="1">
        <v>667</v>
      </c>
      <c r="G374" s="1">
        <v>508</v>
      </c>
      <c r="H374" s="1">
        <v>120</v>
      </c>
      <c r="I374" s="1">
        <v>762</v>
      </c>
      <c r="J374" s="1">
        <v>612</v>
      </c>
      <c r="K374" s="1">
        <v>340</v>
      </c>
      <c r="L374" s="1">
        <v>405</v>
      </c>
      <c r="M374" s="1">
        <v>75.3</v>
      </c>
      <c r="N374" s="1">
        <v>39.783730400000003</v>
      </c>
      <c r="O374" s="1">
        <v>-100.445882</v>
      </c>
      <c r="P374" s="14">
        <f t="shared" si="41"/>
        <v>38.9</v>
      </c>
      <c r="Q374" s="13">
        <v>20</v>
      </c>
      <c r="R374" s="16">
        <f t="shared" si="42"/>
        <v>49.3</v>
      </c>
      <c r="S374" s="14">
        <f t="shared" si="43"/>
        <v>60.726072607260726</v>
      </c>
      <c r="T374" s="13">
        <f t="shared" si="44"/>
        <v>23.9</v>
      </c>
      <c r="U374" s="14">
        <f t="shared" si="45"/>
        <v>66.100000000000009</v>
      </c>
      <c r="V374" s="14">
        <f t="shared" si="46"/>
        <v>59.599999999999994</v>
      </c>
      <c r="W374" s="1">
        <f t="shared" si="47"/>
        <v>62.8</v>
      </c>
      <c r="X374" s="1" t="str">
        <f>IF(Table1[[#This Row],[World Rank]]&lt;=250,"Q1-Elite",IF(Table1[[#This Row],[World Rank]]&lt;=500,"Q2-Strong",IF(Table1[[#This Row],[World Rank]]&lt;=750,"Q3-Developing","Q4-Emerging")))</f>
        <v>Q2-Strong</v>
      </c>
    </row>
    <row r="375" spans="1:24" x14ac:dyDescent="0.2">
      <c r="A375" s="1">
        <v>374</v>
      </c>
      <c r="B375" s="1" t="s">
        <v>430</v>
      </c>
      <c r="C375" s="1" t="s">
        <v>15</v>
      </c>
      <c r="D375" s="1" t="s">
        <v>1120</v>
      </c>
      <c r="E375" s="1">
        <v>118</v>
      </c>
      <c r="F375" s="1">
        <v>667</v>
      </c>
      <c r="G375" s="1">
        <v>1001</v>
      </c>
      <c r="H375" s="1">
        <v>304</v>
      </c>
      <c r="I375" s="1">
        <v>499</v>
      </c>
      <c r="J375" s="1">
        <v>387</v>
      </c>
      <c r="K375" s="1">
        <v>268</v>
      </c>
      <c r="L375" s="1">
        <v>327</v>
      </c>
      <c r="M375" s="1">
        <v>75.3</v>
      </c>
      <c r="N375" s="1">
        <v>39.783730400000003</v>
      </c>
      <c r="O375" s="1">
        <v>-100.445882</v>
      </c>
      <c r="P375" s="14">
        <f t="shared" si="41"/>
        <v>61.4</v>
      </c>
      <c r="Q375" s="13">
        <v>20</v>
      </c>
      <c r="R375" s="16">
        <f t="shared" si="42"/>
        <v>0</v>
      </c>
      <c r="S375" s="14">
        <f t="shared" si="43"/>
        <v>0</v>
      </c>
      <c r="T375" s="13">
        <f t="shared" si="44"/>
        <v>50.2</v>
      </c>
      <c r="U375" s="14">
        <f t="shared" si="45"/>
        <v>73.3</v>
      </c>
      <c r="V375" s="14">
        <f t="shared" si="46"/>
        <v>67.400000000000006</v>
      </c>
      <c r="W375" s="1">
        <f t="shared" si="47"/>
        <v>62.7</v>
      </c>
      <c r="X375" s="1" t="str">
        <f>IF(Table1[[#This Row],[World Rank]]&lt;=250,"Q1-Elite",IF(Table1[[#This Row],[World Rank]]&lt;=500,"Q2-Strong",IF(Table1[[#This Row],[World Rank]]&lt;=750,"Q3-Developing","Q4-Emerging")))</f>
        <v>Q2-Strong</v>
      </c>
    </row>
    <row r="376" spans="1:24" x14ac:dyDescent="0.2">
      <c r="A376" s="1">
        <v>375</v>
      </c>
      <c r="B376" s="1" t="s">
        <v>431</v>
      </c>
      <c r="C376" s="1" t="s">
        <v>354</v>
      </c>
      <c r="D376" s="1" t="s">
        <v>1124</v>
      </c>
      <c r="E376" s="1">
        <v>2</v>
      </c>
      <c r="F376" s="1">
        <v>667</v>
      </c>
      <c r="G376" s="1">
        <v>1001</v>
      </c>
      <c r="H376" s="1">
        <v>304</v>
      </c>
      <c r="I376" s="1">
        <v>285</v>
      </c>
      <c r="J376" s="1">
        <v>384</v>
      </c>
      <c r="K376" s="1">
        <v>670</v>
      </c>
      <c r="L376" s="1">
        <v>240</v>
      </c>
      <c r="M376" s="1">
        <v>75.3</v>
      </c>
      <c r="N376" s="1">
        <v>43.209783799999997</v>
      </c>
      <c r="O376" s="1">
        <v>-77.693060200000005</v>
      </c>
      <c r="P376" s="14">
        <f t="shared" si="41"/>
        <v>61.7</v>
      </c>
      <c r="Q376" s="13">
        <v>20</v>
      </c>
      <c r="R376" s="16">
        <f t="shared" si="42"/>
        <v>0</v>
      </c>
      <c r="S376" s="14">
        <f t="shared" si="43"/>
        <v>0</v>
      </c>
      <c r="T376" s="13">
        <f t="shared" si="44"/>
        <v>71.599999999999994</v>
      </c>
      <c r="U376" s="14">
        <f t="shared" si="45"/>
        <v>33.1</v>
      </c>
      <c r="V376" s="14">
        <f t="shared" si="46"/>
        <v>76.099999999999994</v>
      </c>
      <c r="W376" s="1">
        <f t="shared" si="47"/>
        <v>62.6</v>
      </c>
      <c r="X376" s="1" t="str">
        <f>IF(Table1[[#This Row],[World Rank]]&lt;=250,"Q1-Elite",IF(Table1[[#This Row],[World Rank]]&lt;=500,"Q2-Strong",IF(Table1[[#This Row],[World Rank]]&lt;=750,"Q3-Developing","Q4-Emerging")))</f>
        <v>Q2-Strong</v>
      </c>
    </row>
    <row r="377" spans="1:24" x14ac:dyDescent="0.2">
      <c r="A377" s="1">
        <v>376</v>
      </c>
      <c r="B377" s="1" t="s">
        <v>432</v>
      </c>
      <c r="C377" s="1" t="s">
        <v>15</v>
      </c>
      <c r="D377" s="1" t="s">
        <v>1120</v>
      </c>
      <c r="E377" s="1">
        <v>119</v>
      </c>
      <c r="F377" s="1">
        <v>372</v>
      </c>
      <c r="G377" s="1">
        <v>459</v>
      </c>
      <c r="H377" s="1">
        <v>304</v>
      </c>
      <c r="I377" s="1">
        <v>524</v>
      </c>
      <c r="J377" s="1">
        <v>389</v>
      </c>
      <c r="K377" s="1">
        <v>301</v>
      </c>
      <c r="L377" s="1">
        <v>304</v>
      </c>
      <c r="M377" s="1">
        <v>75.3</v>
      </c>
      <c r="N377" s="1">
        <v>39.783730400000003</v>
      </c>
      <c r="O377" s="1">
        <v>-100.445882</v>
      </c>
      <c r="P377" s="14">
        <f t="shared" si="41"/>
        <v>61.199999999999996</v>
      </c>
      <c r="Q377" s="13">
        <f>((667 - F377) / 666) * 100</f>
        <v>44.294294294294296</v>
      </c>
      <c r="R377" s="16">
        <f t="shared" si="42"/>
        <v>54.2</v>
      </c>
      <c r="S377" s="14">
        <f t="shared" si="43"/>
        <v>0</v>
      </c>
      <c r="T377" s="13">
        <f t="shared" si="44"/>
        <v>47.699999999999996</v>
      </c>
      <c r="U377" s="14">
        <f t="shared" si="45"/>
        <v>70</v>
      </c>
      <c r="V377" s="14">
        <f t="shared" si="46"/>
        <v>69.699999999999989</v>
      </c>
      <c r="W377" s="1">
        <f t="shared" si="47"/>
        <v>62.5</v>
      </c>
      <c r="X377" s="1" t="str">
        <f>IF(Table1[[#This Row],[World Rank]]&lt;=250,"Q1-Elite",IF(Table1[[#This Row],[World Rank]]&lt;=500,"Q2-Strong",IF(Table1[[#This Row],[World Rank]]&lt;=750,"Q3-Developing","Q4-Emerging")))</f>
        <v>Q2-Strong</v>
      </c>
    </row>
    <row r="378" spans="1:24" x14ac:dyDescent="0.2">
      <c r="A378" s="1">
        <v>377</v>
      </c>
      <c r="B378" s="1" t="s">
        <v>433</v>
      </c>
      <c r="C378" s="1" t="s">
        <v>28</v>
      </c>
      <c r="D378" s="1" t="s">
        <v>1125</v>
      </c>
      <c r="E378" s="1">
        <v>13</v>
      </c>
      <c r="F378" s="1">
        <v>667</v>
      </c>
      <c r="G378" s="1">
        <v>1001</v>
      </c>
      <c r="H378" s="1">
        <v>304</v>
      </c>
      <c r="I378" s="1">
        <v>312</v>
      </c>
      <c r="J378" s="1">
        <v>366</v>
      </c>
      <c r="K378" s="1">
        <v>311</v>
      </c>
      <c r="L378" s="1">
        <v>541</v>
      </c>
      <c r="M378" s="1">
        <v>75.2</v>
      </c>
      <c r="N378" s="1">
        <v>36.5748441</v>
      </c>
      <c r="O378" s="1">
        <v>139.23941790000001</v>
      </c>
      <c r="P378" s="14">
        <f t="shared" si="41"/>
        <v>63.5</v>
      </c>
      <c r="Q378" s="13">
        <v>20</v>
      </c>
      <c r="R378" s="16">
        <f t="shared" si="42"/>
        <v>0</v>
      </c>
      <c r="S378" s="14">
        <f t="shared" si="43"/>
        <v>0</v>
      </c>
      <c r="T378" s="13">
        <f t="shared" si="44"/>
        <v>68.899999999999991</v>
      </c>
      <c r="U378" s="14">
        <f t="shared" si="45"/>
        <v>69</v>
      </c>
      <c r="V378" s="14">
        <f t="shared" si="46"/>
        <v>46</v>
      </c>
      <c r="W378" s="1">
        <f t="shared" si="47"/>
        <v>62.4</v>
      </c>
      <c r="X378" s="1" t="str">
        <f>IF(Table1[[#This Row],[World Rank]]&lt;=250,"Q1-Elite",IF(Table1[[#This Row],[World Rank]]&lt;=500,"Q2-Strong",IF(Table1[[#This Row],[World Rank]]&lt;=750,"Q3-Developing","Q4-Emerging")))</f>
        <v>Q2-Strong</v>
      </c>
    </row>
    <row r="379" spans="1:24" x14ac:dyDescent="0.2">
      <c r="A379" s="1">
        <v>378</v>
      </c>
      <c r="B379" s="1" t="s">
        <v>434</v>
      </c>
      <c r="C379" s="1" t="s">
        <v>145</v>
      </c>
      <c r="D379" s="1" t="s">
        <v>1125</v>
      </c>
      <c r="E379" s="1">
        <v>3</v>
      </c>
      <c r="F379" s="1">
        <v>321</v>
      </c>
      <c r="G379" s="1">
        <v>1001</v>
      </c>
      <c r="H379" s="1">
        <v>304</v>
      </c>
      <c r="I379" s="1">
        <v>316</v>
      </c>
      <c r="J379" s="1">
        <v>273</v>
      </c>
      <c r="K379" s="1">
        <v>489</v>
      </c>
      <c r="L379" s="1">
        <v>460</v>
      </c>
      <c r="M379" s="1">
        <v>75.2</v>
      </c>
      <c r="N379" s="1">
        <v>23.598322700000001</v>
      </c>
      <c r="O379" s="2" t="s">
        <v>146</v>
      </c>
      <c r="P379" s="14">
        <f t="shared" si="41"/>
        <v>72.8</v>
      </c>
      <c r="Q379" s="13">
        <f>((667 - F379) / 666) * 100</f>
        <v>51.951951951951948</v>
      </c>
      <c r="R379" s="16">
        <f t="shared" si="42"/>
        <v>0</v>
      </c>
      <c r="S379" s="14">
        <f t="shared" si="43"/>
        <v>0</v>
      </c>
      <c r="T379" s="13">
        <f t="shared" si="44"/>
        <v>68.5</v>
      </c>
      <c r="U379" s="14">
        <f t="shared" si="45"/>
        <v>51.2</v>
      </c>
      <c r="V379" s="14">
        <f t="shared" si="46"/>
        <v>54.1</v>
      </c>
      <c r="W379" s="1">
        <f t="shared" si="47"/>
        <v>62.3</v>
      </c>
      <c r="X379" s="1" t="str">
        <f>IF(Table1[[#This Row],[World Rank]]&lt;=250,"Q1-Elite",IF(Table1[[#This Row],[World Rank]]&lt;=500,"Q2-Strong",IF(Table1[[#This Row],[World Rank]]&lt;=750,"Q3-Developing","Q4-Emerging")))</f>
        <v>Q2-Strong</v>
      </c>
    </row>
    <row r="380" spans="1:24" x14ac:dyDescent="0.2">
      <c r="A380" s="1">
        <v>379</v>
      </c>
      <c r="B380" s="1" t="s">
        <v>435</v>
      </c>
      <c r="C380" s="1" t="s">
        <v>99</v>
      </c>
      <c r="D380" s="1" t="s">
        <v>1124</v>
      </c>
      <c r="E380" s="1">
        <v>11</v>
      </c>
      <c r="F380" s="1">
        <v>667</v>
      </c>
      <c r="G380" s="1">
        <v>759</v>
      </c>
      <c r="H380" s="1">
        <v>259</v>
      </c>
      <c r="I380" s="1">
        <v>377</v>
      </c>
      <c r="J380" s="1">
        <v>335</v>
      </c>
      <c r="K380" s="1">
        <v>526</v>
      </c>
      <c r="L380" s="1">
        <v>541</v>
      </c>
      <c r="M380" s="1">
        <v>75.2</v>
      </c>
      <c r="N380" s="1">
        <v>52.243497900000001</v>
      </c>
      <c r="O380" s="1">
        <v>5.6343227000000002</v>
      </c>
      <c r="P380" s="14">
        <f t="shared" si="41"/>
        <v>66.600000000000009</v>
      </c>
      <c r="Q380" s="13">
        <v>20</v>
      </c>
      <c r="R380" s="16">
        <f t="shared" si="42"/>
        <v>24.2</v>
      </c>
      <c r="S380" s="14">
        <f t="shared" si="43"/>
        <v>14.85148514851485</v>
      </c>
      <c r="T380" s="13">
        <f t="shared" si="44"/>
        <v>62.4</v>
      </c>
      <c r="U380" s="14">
        <f t="shared" si="45"/>
        <v>47.5</v>
      </c>
      <c r="V380" s="14">
        <f t="shared" si="46"/>
        <v>46</v>
      </c>
      <c r="W380" s="1">
        <f t="shared" si="47"/>
        <v>62.2</v>
      </c>
      <c r="X380" s="1" t="str">
        <f>IF(Table1[[#This Row],[World Rank]]&lt;=250,"Q1-Elite",IF(Table1[[#This Row],[World Rank]]&lt;=500,"Q2-Strong",IF(Table1[[#This Row],[World Rank]]&lt;=750,"Q3-Developing","Q4-Emerging")))</f>
        <v>Q2-Strong</v>
      </c>
    </row>
    <row r="381" spans="1:24" x14ac:dyDescent="0.2">
      <c r="A381" s="1">
        <v>380</v>
      </c>
      <c r="B381" s="1" t="s">
        <v>436</v>
      </c>
      <c r="C381" s="1" t="s">
        <v>68</v>
      </c>
      <c r="D381" s="1" t="s">
        <v>1124</v>
      </c>
      <c r="E381" s="1">
        <v>31</v>
      </c>
      <c r="F381" s="1">
        <v>574</v>
      </c>
      <c r="G381" s="1">
        <v>1001</v>
      </c>
      <c r="H381" s="1">
        <v>303</v>
      </c>
      <c r="I381" s="1">
        <v>439</v>
      </c>
      <c r="J381" s="1">
        <v>364</v>
      </c>
      <c r="K381" s="1">
        <v>265</v>
      </c>
      <c r="L381" s="1">
        <v>460</v>
      </c>
      <c r="M381" s="1">
        <v>75.2</v>
      </c>
      <c r="N381" s="1">
        <v>40.420347900000003</v>
      </c>
      <c r="O381" s="1">
        <v>-79.116698299999996</v>
      </c>
      <c r="P381" s="14">
        <f t="shared" si="41"/>
        <v>63.7</v>
      </c>
      <c r="Q381" s="13">
        <v>20</v>
      </c>
      <c r="R381" s="16">
        <f t="shared" si="42"/>
        <v>0</v>
      </c>
      <c r="S381" s="14">
        <f t="shared" si="43"/>
        <v>0.33003300330033003</v>
      </c>
      <c r="T381" s="13">
        <f t="shared" si="44"/>
        <v>56.2</v>
      </c>
      <c r="U381" s="14">
        <f t="shared" si="45"/>
        <v>73.599999999999994</v>
      </c>
      <c r="V381" s="14">
        <f t="shared" si="46"/>
        <v>54.1</v>
      </c>
      <c r="W381" s="1">
        <f t="shared" si="47"/>
        <v>62.1</v>
      </c>
      <c r="X381" s="1" t="str">
        <f>IF(Table1[[#This Row],[World Rank]]&lt;=250,"Q1-Elite",IF(Table1[[#This Row],[World Rank]]&lt;=500,"Q2-Strong",IF(Table1[[#This Row],[World Rank]]&lt;=750,"Q3-Developing","Q4-Emerging")))</f>
        <v>Q2-Strong</v>
      </c>
    </row>
    <row r="382" spans="1:24" x14ac:dyDescent="0.2">
      <c r="A382" s="1">
        <v>381</v>
      </c>
      <c r="B382" s="1" t="s">
        <v>437</v>
      </c>
      <c r="C382" s="1" t="s">
        <v>307</v>
      </c>
      <c r="D382" s="1" t="s">
        <v>1124</v>
      </c>
      <c r="E382" s="1">
        <v>2</v>
      </c>
      <c r="F382" s="1">
        <v>667</v>
      </c>
      <c r="G382" s="1">
        <v>1001</v>
      </c>
      <c r="H382" s="1">
        <v>304</v>
      </c>
      <c r="I382" s="1">
        <v>279</v>
      </c>
      <c r="J382" s="1">
        <v>381</v>
      </c>
      <c r="K382" s="1">
        <v>380</v>
      </c>
      <c r="L382" s="1">
        <v>460</v>
      </c>
      <c r="M382" s="1">
        <v>75.2</v>
      </c>
      <c r="N382" s="1">
        <v>52.215933</v>
      </c>
      <c r="O382" s="1">
        <v>19.134422000000001</v>
      </c>
      <c r="P382" s="14">
        <f t="shared" si="41"/>
        <v>62</v>
      </c>
      <c r="Q382" s="13">
        <v>20</v>
      </c>
      <c r="R382" s="16">
        <f t="shared" si="42"/>
        <v>0</v>
      </c>
      <c r="S382" s="14">
        <f t="shared" si="43"/>
        <v>0</v>
      </c>
      <c r="T382" s="13">
        <f t="shared" si="44"/>
        <v>72.2</v>
      </c>
      <c r="U382" s="14">
        <f t="shared" si="45"/>
        <v>62.1</v>
      </c>
      <c r="V382" s="14">
        <f t="shared" si="46"/>
        <v>54.1</v>
      </c>
      <c r="W382" s="1">
        <f t="shared" si="47"/>
        <v>62</v>
      </c>
      <c r="X382" s="1" t="str">
        <f>IF(Table1[[#This Row],[World Rank]]&lt;=250,"Q1-Elite",IF(Table1[[#This Row],[World Rank]]&lt;=500,"Q2-Strong",IF(Table1[[#This Row],[World Rank]]&lt;=750,"Q3-Developing","Q4-Emerging")))</f>
        <v>Q2-Strong</v>
      </c>
    </row>
    <row r="383" spans="1:24" x14ac:dyDescent="0.2">
      <c r="A383" s="1">
        <v>382</v>
      </c>
      <c r="B383" s="1" t="s">
        <v>438</v>
      </c>
      <c r="C383" s="1" t="s">
        <v>85</v>
      </c>
      <c r="D383" s="1" t="s">
        <v>1125</v>
      </c>
      <c r="E383" s="1">
        <v>9</v>
      </c>
      <c r="F383" s="1">
        <v>667</v>
      </c>
      <c r="G383" s="1">
        <v>695</v>
      </c>
      <c r="H383" s="1">
        <v>304</v>
      </c>
      <c r="I383" s="1">
        <v>204</v>
      </c>
      <c r="J383" s="1">
        <v>343</v>
      </c>
      <c r="K383" s="1">
        <v>519</v>
      </c>
      <c r="L383" s="1">
        <v>541</v>
      </c>
      <c r="M383" s="1">
        <v>75.2</v>
      </c>
      <c r="N383" s="1">
        <v>36.638392000000003</v>
      </c>
      <c r="O383" s="1">
        <v>127.69611879999999</v>
      </c>
      <c r="P383" s="14">
        <f t="shared" si="41"/>
        <v>65.8</v>
      </c>
      <c r="Q383" s="13">
        <v>20</v>
      </c>
      <c r="R383" s="16">
        <f t="shared" si="42"/>
        <v>30.599999999999998</v>
      </c>
      <c r="S383" s="14">
        <f t="shared" si="43"/>
        <v>0</v>
      </c>
      <c r="T383" s="13">
        <f t="shared" si="44"/>
        <v>79.7</v>
      </c>
      <c r="U383" s="14">
        <f t="shared" si="45"/>
        <v>48.199999999999996</v>
      </c>
      <c r="V383" s="14">
        <f t="shared" si="46"/>
        <v>46</v>
      </c>
      <c r="W383" s="1">
        <f t="shared" si="47"/>
        <v>61.9</v>
      </c>
      <c r="X383" s="1" t="str">
        <f>IF(Table1[[#This Row],[World Rank]]&lt;=250,"Q1-Elite",IF(Table1[[#This Row],[World Rank]]&lt;=500,"Q2-Strong",IF(Table1[[#This Row],[World Rank]]&lt;=750,"Q3-Developing","Q4-Emerging")))</f>
        <v>Q2-Strong</v>
      </c>
    </row>
    <row r="384" spans="1:24" x14ac:dyDescent="0.2">
      <c r="A384" s="1">
        <v>383</v>
      </c>
      <c r="B384" s="1" t="s">
        <v>439</v>
      </c>
      <c r="C384" s="1" t="s">
        <v>124</v>
      </c>
      <c r="D384" s="1" t="s">
        <v>1125</v>
      </c>
      <c r="E384" s="1">
        <v>27</v>
      </c>
      <c r="F384" s="1">
        <v>110</v>
      </c>
      <c r="G384" s="1">
        <v>1001</v>
      </c>
      <c r="H384" s="1">
        <v>304</v>
      </c>
      <c r="I384" s="1">
        <v>277</v>
      </c>
      <c r="J384" s="1">
        <v>313</v>
      </c>
      <c r="K384" s="1">
        <v>510</v>
      </c>
      <c r="L384" s="1">
        <v>541</v>
      </c>
      <c r="M384" s="1">
        <v>75.2</v>
      </c>
      <c r="N384" s="1">
        <v>30.047992000000001</v>
      </c>
      <c r="O384" s="1">
        <v>-94.335743300000004</v>
      </c>
      <c r="P384" s="14">
        <f t="shared" si="41"/>
        <v>68.8</v>
      </c>
      <c r="Q384" s="13">
        <f>((667 - F384) / 666) * 100</f>
        <v>83.633633633633636</v>
      </c>
      <c r="R384" s="16">
        <f t="shared" si="42"/>
        <v>0</v>
      </c>
      <c r="S384" s="14">
        <f t="shared" si="43"/>
        <v>0</v>
      </c>
      <c r="T384" s="13">
        <f t="shared" si="44"/>
        <v>72.399999999999991</v>
      </c>
      <c r="U384" s="14">
        <f t="shared" si="45"/>
        <v>49.1</v>
      </c>
      <c r="V384" s="14">
        <f t="shared" si="46"/>
        <v>46</v>
      </c>
      <c r="W384" s="1">
        <f t="shared" si="47"/>
        <v>61.8</v>
      </c>
      <c r="X384" s="1" t="str">
        <f>IF(Table1[[#This Row],[World Rank]]&lt;=250,"Q1-Elite",IF(Table1[[#This Row],[World Rank]]&lt;=500,"Q2-Strong",IF(Table1[[#This Row],[World Rank]]&lt;=750,"Q3-Developing","Q4-Emerging")))</f>
        <v>Q2-Strong</v>
      </c>
    </row>
    <row r="385" spans="1:24" x14ac:dyDescent="0.2">
      <c r="A385" s="1">
        <v>384</v>
      </c>
      <c r="B385" s="1" t="s">
        <v>440</v>
      </c>
      <c r="C385" s="1" t="s">
        <v>376</v>
      </c>
      <c r="D385" s="1" t="s">
        <v>1123</v>
      </c>
      <c r="E385" s="1">
        <v>2</v>
      </c>
      <c r="F385" s="1">
        <v>411</v>
      </c>
      <c r="G385" s="1">
        <v>466</v>
      </c>
      <c r="H385" s="1">
        <v>274</v>
      </c>
      <c r="I385" s="1">
        <v>319</v>
      </c>
      <c r="J385" s="1">
        <v>410</v>
      </c>
      <c r="K385" s="1">
        <v>324</v>
      </c>
      <c r="L385" s="1">
        <v>898</v>
      </c>
      <c r="M385" s="1">
        <v>75.099999999999994</v>
      </c>
      <c r="N385" s="1">
        <v>-31.761336499999999</v>
      </c>
      <c r="O385" s="1">
        <v>-71.318769700000004</v>
      </c>
      <c r="P385" s="14">
        <f t="shared" si="41"/>
        <v>59.099999999999994</v>
      </c>
      <c r="Q385" s="13">
        <f>((667 - F385) / 666) * 100</f>
        <v>38.438438438438439</v>
      </c>
      <c r="R385" s="16">
        <f t="shared" si="42"/>
        <v>53.5</v>
      </c>
      <c r="S385" s="14">
        <f t="shared" si="43"/>
        <v>9.9009900990099009</v>
      </c>
      <c r="T385" s="13">
        <f t="shared" si="44"/>
        <v>68.2</v>
      </c>
      <c r="U385" s="14">
        <f t="shared" si="45"/>
        <v>67.7</v>
      </c>
      <c r="V385" s="14">
        <f t="shared" si="46"/>
        <v>10.299999999999999</v>
      </c>
      <c r="W385" s="1">
        <f t="shared" si="47"/>
        <v>61.7</v>
      </c>
      <c r="X385" s="1" t="str">
        <f>IF(Table1[[#This Row],[World Rank]]&lt;=250,"Q1-Elite",IF(Table1[[#This Row],[World Rank]]&lt;=500,"Q2-Strong",IF(Table1[[#This Row],[World Rank]]&lt;=750,"Q3-Developing","Q4-Emerging")))</f>
        <v>Q2-Strong</v>
      </c>
    </row>
    <row r="386" spans="1:24" x14ac:dyDescent="0.2">
      <c r="A386" s="1">
        <v>385</v>
      </c>
      <c r="B386" s="1" t="s">
        <v>441</v>
      </c>
      <c r="C386" s="1" t="s">
        <v>85</v>
      </c>
      <c r="D386" s="1" t="s">
        <v>1125</v>
      </c>
      <c r="E386" s="1">
        <v>10</v>
      </c>
      <c r="F386" s="1">
        <v>489</v>
      </c>
      <c r="G386" s="1">
        <v>1001</v>
      </c>
      <c r="H386" s="1">
        <v>304</v>
      </c>
      <c r="I386" s="1">
        <v>240</v>
      </c>
      <c r="J386" s="1">
        <v>342</v>
      </c>
      <c r="K386" s="1">
        <v>561</v>
      </c>
      <c r="L386" s="1">
        <v>460</v>
      </c>
      <c r="M386" s="1">
        <v>75.099999999999994</v>
      </c>
      <c r="N386" s="1">
        <v>36.638392000000003</v>
      </c>
      <c r="O386" s="1">
        <v>127.69611879999999</v>
      </c>
      <c r="P386" s="14">
        <f t="shared" ref="P386:P449" si="48">((1001 - J386) / 1000) * 100</f>
        <v>65.900000000000006</v>
      </c>
      <c r="Q386" s="13">
        <f>((667 - F386) / 666) * 100</f>
        <v>26.726726726726728</v>
      </c>
      <c r="R386" s="16">
        <f t="shared" ref="R386:R449" si="49">(1001 - G386) / 1000 * 100</f>
        <v>0</v>
      </c>
      <c r="S386" s="14">
        <f t="shared" ref="S386:S449" si="50">(304 - H386) / 303 * 100</f>
        <v>0</v>
      </c>
      <c r="T386" s="13">
        <f t="shared" ref="T386:T449" si="51">(1001 - I386) / 1000 * 100</f>
        <v>76.099999999999994</v>
      </c>
      <c r="U386" s="14">
        <f t="shared" ref="U386:U449" si="52">(1001 - K386) / 1000 * 100</f>
        <v>44</v>
      </c>
      <c r="V386" s="14">
        <f t="shared" ref="V386:V449" si="53">(1001 - L386) / 1000 * 100</f>
        <v>54.1</v>
      </c>
      <c r="W386" s="1">
        <f t="shared" ref="W386:W449" si="54">(1001 - A386) / 1000 * 100</f>
        <v>61.6</v>
      </c>
      <c r="X386" s="1" t="str">
        <f>IF(Table1[[#This Row],[World Rank]]&lt;=250,"Q1-Elite",IF(Table1[[#This Row],[World Rank]]&lt;=500,"Q2-Strong",IF(Table1[[#This Row],[World Rank]]&lt;=750,"Q3-Developing","Q4-Emerging")))</f>
        <v>Q2-Strong</v>
      </c>
    </row>
    <row r="387" spans="1:24" x14ac:dyDescent="0.2">
      <c r="A387" s="1">
        <v>386</v>
      </c>
      <c r="B387" s="1" t="s">
        <v>442</v>
      </c>
      <c r="C387" s="1" t="s">
        <v>19</v>
      </c>
      <c r="D387" s="1" t="s">
        <v>1124</v>
      </c>
      <c r="E387" s="1">
        <v>32</v>
      </c>
      <c r="F387" s="1">
        <v>667</v>
      </c>
      <c r="G387" s="1">
        <v>565</v>
      </c>
      <c r="H387" s="1">
        <v>304</v>
      </c>
      <c r="I387" s="1">
        <v>456</v>
      </c>
      <c r="J387" s="1">
        <v>388</v>
      </c>
      <c r="K387" s="1">
        <v>424</v>
      </c>
      <c r="L387" s="1">
        <v>254</v>
      </c>
      <c r="M387" s="1">
        <v>75.099999999999994</v>
      </c>
      <c r="N387" s="1">
        <v>54.702354499999998</v>
      </c>
      <c r="O387" s="1">
        <v>-3.2765753000000002</v>
      </c>
      <c r="P387" s="14">
        <f t="shared" si="48"/>
        <v>61.3</v>
      </c>
      <c r="Q387" s="13">
        <v>20</v>
      </c>
      <c r="R387" s="16">
        <f t="shared" si="49"/>
        <v>43.6</v>
      </c>
      <c r="S387" s="14">
        <f t="shared" si="50"/>
        <v>0</v>
      </c>
      <c r="T387" s="13">
        <f t="shared" si="51"/>
        <v>54.500000000000007</v>
      </c>
      <c r="U387" s="14">
        <f t="shared" si="52"/>
        <v>57.699999999999996</v>
      </c>
      <c r="V387" s="14">
        <f t="shared" si="53"/>
        <v>74.7</v>
      </c>
      <c r="W387" s="1">
        <f t="shared" si="54"/>
        <v>61.5</v>
      </c>
      <c r="X387" s="1" t="str">
        <f>IF(Table1[[#This Row],[World Rank]]&lt;=250,"Q1-Elite",IF(Table1[[#This Row],[World Rank]]&lt;=500,"Q2-Strong",IF(Table1[[#This Row],[World Rank]]&lt;=750,"Q3-Developing","Q4-Emerging")))</f>
        <v>Q2-Strong</v>
      </c>
    </row>
    <row r="388" spans="1:24" x14ac:dyDescent="0.2">
      <c r="A388" s="1">
        <v>387</v>
      </c>
      <c r="B388" s="1" t="s">
        <v>443</v>
      </c>
      <c r="C388" s="1" t="s">
        <v>81</v>
      </c>
      <c r="D388" s="1" t="s">
        <v>1121</v>
      </c>
      <c r="E388" s="1">
        <v>12</v>
      </c>
      <c r="F388" s="1">
        <v>667</v>
      </c>
      <c r="G388" s="1">
        <v>922</v>
      </c>
      <c r="H388" s="1">
        <v>304</v>
      </c>
      <c r="I388" s="1">
        <v>397</v>
      </c>
      <c r="J388" s="1">
        <v>385</v>
      </c>
      <c r="K388" s="1">
        <v>481</v>
      </c>
      <c r="L388" s="1">
        <v>254</v>
      </c>
      <c r="M388" s="1">
        <v>75.099999999999994</v>
      </c>
      <c r="N388" s="1">
        <v>-24.776108600000001</v>
      </c>
      <c r="O388" s="1">
        <v>134.755</v>
      </c>
      <c r="P388" s="14">
        <f t="shared" si="48"/>
        <v>61.6</v>
      </c>
      <c r="Q388" s="13">
        <v>20</v>
      </c>
      <c r="R388" s="16">
        <f t="shared" si="49"/>
        <v>7.9</v>
      </c>
      <c r="S388" s="14">
        <f t="shared" si="50"/>
        <v>0</v>
      </c>
      <c r="T388" s="13">
        <f t="shared" si="51"/>
        <v>60.4</v>
      </c>
      <c r="U388" s="14">
        <f t="shared" si="52"/>
        <v>52</v>
      </c>
      <c r="V388" s="14">
        <f t="shared" si="53"/>
        <v>74.7</v>
      </c>
      <c r="W388" s="1">
        <f t="shared" si="54"/>
        <v>61.4</v>
      </c>
      <c r="X388" s="1" t="str">
        <f>IF(Table1[[#This Row],[World Rank]]&lt;=250,"Q1-Elite",IF(Table1[[#This Row],[World Rank]]&lt;=500,"Q2-Strong",IF(Table1[[#This Row],[World Rank]]&lt;=750,"Q3-Developing","Q4-Emerging")))</f>
        <v>Q2-Strong</v>
      </c>
    </row>
    <row r="389" spans="1:24" x14ac:dyDescent="0.2">
      <c r="A389" s="1">
        <v>388</v>
      </c>
      <c r="B389" s="1" t="s">
        <v>444</v>
      </c>
      <c r="C389" s="1" t="s">
        <v>34</v>
      </c>
      <c r="D389" s="1" t="s">
        <v>1120</v>
      </c>
      <c r="E389" s="1">
        <v>18</v>
      </c>
      <c r="F389" s="1">
        <v>667</v>
      </c>
      <c r="G389" s="1">
        <v>243</v>
      </c>
      <c r="H389" s="1">
        <v>304</v>
      </c>
      <c r="I389" s="1">
        <v>468</v>
      </c>
      <c r="J389" s="1">
        <v>408</v>
      </c>
      <c r="K389" s="1">
        <v>419</v>
      </c>
      <c r="L389" s="1">
        <v>275</v>
      </c>
      <c r="M389" s="1">
        <v>75.099999999999994</v>
      </c>
      <c r="N389" s="1">
        <v>61.066692199999999</v>
      </c>
      <c r="O389" s="1">
        <v>-107.99170700000001</v>
      </c>
      <c r="P389" s="14">
        <f t="shared" si="48"/>
        <v>59.3</v>
      </c>
      <c r="Q389" s="13">
        <v>20</v>
      </c>
      <c r="R389" s="16">
        <f t="shared" si="49"/>
        <v>75.8</v>
      </c>
      <c r="S389" s="14">
        <f t="shared" si="50"/>
        <v>0</v>
      </c>
      <c r="T389" s="13">
        <f t="shared" si="51"/>
        <v>53.300000000000004</v>
      </c>
      <c r="U389" s="14">
        <f t="shared" si="52"/>
        <v>58.199999999999996</v>
      </c>
      <c r="V389" s="14">
        <f t="shared" si="53"/>
        <v>72.599999999999994</v>
      </c>
      <c r="W389" s="1">
        <f t="shared" si="54"/>
        <v>61.3</v>
      </c>
      <c r="X389" s="1" t="str">
        <f>IF(Table1[[#This Row],[World Rank]]&lt;=250,"Q1-Elite",IF(Table1[[#This Row],[World Rank]]&lt;=500,"Q2-Strong",IF(Table1[[#This Row],[World Rank]]&lt;=750,"Q3-Developing","Q4-Emerging")))</f>
        <v>Q2-Strong</v>
      </c>
    </row>
    <row r="390" spans="1:24" x14ac:dyDescent="0.2">
      <c r="A390" s="1">
        <v>389</v>
      </c>
      <c r="B390" s="1" t="s">
        <v>445</v>
      </c>
      <c r="C390" s="1" t="s">
        <v>28</v>
      </c>
      <c r="D390" s="1" t="s">
        <v>1125</v>
      </c>
      <c r="E390" s="1">
        <v>14</v>
      </c>
      <c r="F390" s="1">
        <v>667</v>
      </c>
      <c r="G390" s="1">
        <v>491</v>
      </c>
      <c r="H390" s="1">
        <v>304</v>
      </c>
      <c r="I390" s="1">
        <v>381</v>
      </c>
      <c r="J390" s="1">
        <v>430</v>
      </c>
      <c r="K390" s="1">
        <v>378</v>
      </c>
      <c r="L390" s="1">
        <v>363</v>
      </c>
      <c r="M390" s="1">
        <v>75.099999999999994</v>
      </c>
      <c r="N390" s="1">
        <v>36.5748441</v>
      </c>
      <c r="O390" s="1">
        <v>139.23941790000001</v>
      </c>
      <c r="P390" s="14">
        <f t="shared" si="48"/>
        <v>57.099999999999994</v>
      </c>
      <c r="Q390" s="13">
        <v>20</v>
      </c>
      <c r="R390" s="16">
        <f t="shared" si="49"/>
        <v>51</v>
      </c>
      <c r="S390" s="14">
        <f t="shared" si="50"/>
        <v>0</v>
      </c>
      <c r="T390" s="13">
        <f t="shared" si="51"/>
        <v>62</v>
      </c>
      <c r="U390" s="14">
        <f t="shared" si="52"/>
        <v>62.3</v>
      </c>
      <c r="V390" s="14">
        <f t="shared" si="53"/>
        <v>63.800000000000004</v>
      </c>
      <c r="W390" s="1">
        <f t="shared" si="54"/>
        <v>61.199999999999996</v>
      </c>
      <c r="X390" s="1" t="str">
        <f>IF(Table1[[#This Row],[World Rank]]&lt;=250,"Q1-Elite",IF(Table1[[#This Row],[World Rank]]&lt;=500,"Q2-Strong",IF(Table1[[#This Row],[World Rank]]&lt;=750,"Q3-Developing","Q4-Emerging")))</f>
        <v>Q2-Strong</v>
      </c>
    </row>
    <row r="391" spans="1:24" x14ac:dyDescent="0.2">
      <c r="A391" s="1">
        <v>390</v>
      </c>
      <c r="B391" s="1" t="s">
        <v>446</v>
      </c>
      <c r="C391" s="1" t="s">
        <v>81</v>
      </c>
      <c r="D391" s="1" t="s">
        <v>1121</v>
      </c>
      <c r="E391" s="1">
        <v>13</v>
      </c>
      <c r="F391" s="1">
        <v>667</v>
      </c>
      <c r="G391" s="1">
        <v>1001</v>
      </c>
      <c r="H391" s="1">
        <v>304</v>
      </c>
      <c r="I391" s="1">
        <v>537</v>
      </c>
      <c r="J391" s="1">
        <v>453</v>
      </c>
      <c r="K391" s="1">
        <v>253</v>
      </c>
      <c r="L391" s="1">
        <v>327</v>
      </c>
      <c r="M391" s="1">
        <v>75.099999999999994</v>
      </c>
      <c r="N391" s="1">
        <v>-24.776108600000001</v>
      </c>
      <c r="O391" s="1">
        <v>134.755</v>
      </c>
      <c r="P391" s="14">
        <f t="shared" si="48"/>
        <v>54.800000000000004</v>
      </c>
      <c r="Q391" s="13">
        <v>20</v>
      </c>
      <c r="R391" s="16">
        <f t="shared" si="49"/>
        <v>0</v>
      </c>
      <c r="S391" s="14">
        <f t="shared" si="50"/>
        <v>0</v>
      </c>
      <c r="T391" s="13">
        <f t="shared" si="51"/>
        <v>46.400000000000006</v>
      </c>
      <c r="U391" s="14">
        <f t="shared" si="52"/>
        <v>74.8</v>
      </c>
      <c r="V391" s="14">
        <f t="shared" si="53"/>
        <v>67.400000000000006</v>
      </c>
      <c r="W391" s="1">
        <f t="shared" si="54"/>
        <v>61.1</v>
      </c>
      <c r="X391" s="1" t="str">
        <f>IF(Table1[[#This Row],[World Rank]]&lt;=250,"Q1-Elite",IF(Table1[[#This Row],[World Rank]]&lt;=500,"Q2-Strong",IF(Table1[[#This Row],[World Rank]]&lt;=750,"Q3-Developing","Q4-Emerging")))</f>
        <v>Q2-Strong</v>
      </c>
    </row>
    <row r="392" spans="1:24" x14ac:dyDescent="0.2">
      <c r="A392" s="1">
        <v>391</v>
      </c>
      <c r="B392" s="1" t="s">
        <v>447</v>
      </c>
      <c r="C392" s="1" t="s">
        <v>19</v>
      </c>
      <c r="D392" s="1" t="s">
        <v>1124</v>
      </c>
      <c r="E392" s="1">
        <v>33</v>
      </c>
      <c r="F392" s="1">
        <v>667</v>
      </c>
      <c r="G392" s="1">
        <v>612</v>
      </c>
      <c r="H392" s="1">
        <v>304</v>
      </c>
      <c r="I392" s="1">
        <v>475</v>
      </c>
      <c r="J392" s="1">
        <v>392</v>
      </c>
      <c r="K392" s="1">
        <v>356</v>
      </c>
      <c r="L392" s="1">
        <v>327</v>
      </c>
      <c r="M392" s="1">
        <v>75.099999999999994</v>
      </c>
      <c r="N392" s="1">
        <v>54.702354499999998</v>
      </c>
      <c r="O392" s="1">
        <v>-3.2765753000000002</v>
      </c>
      <c r="P392" s="14">
        <f t="shared" si="48"/>
        <v>60.9</v>
      </c>
      <c r="Q392" s="13">
        <v>20</v>
      </c>
      <c r="R392" s="16">
        <f t="shared" si="49"/>
        <v>38.9</v>
      </c>
      <c r="S392" s="14">
        <f t="shared" si="50"/>
        <v>0</v>
      </c>
      <c r="T392" s="13">
        <f t="shared" si="51"/>
        <v>52.6</v>
      </c>
      <c r="U392" s="14">
        <f t="shared" si="52"/>
        <v>64.5</v>
      </c>
      <c r="V392" s="14">
        <f t="shared" si="53"/>
        <v>67.400000000000006</v>
      </c>
      <c r="W392" s="1">
        <f t="shared" si="54"/>
        <v>61</v>
      </c>
      <c r="X392" s="1" t="str">
        <f>IF(Table1[[#This Row],[World Rank]]&lt;=250,"Q1-Elite",IF(Table1[[#This Row],[World Rank]]&lt;=500,"Q2-Strong",IF(Table1[[#This Row],[World Rank]]&lt;=750,"Q3-Developing","Q4-Emerging")))</f>
        <v>Q2-Strong</v>
      </c>
    </row>
    <row r="393" spans="1:24" x14ac:dyDescent="0.2">
      <c r="A393" s="1">
        <v>392</v>
      </c>
      <c r="B393" s="1" t="s">
        <v>448</v>
      </c>
      <c r="C393" s="1" t="s">
        <v>93</v>
      </c>
      <c r="D393" s="1" t="s">
        <v>1124</v>
      </c>
      <c r="E393" s="1">
        <v>14</v>
      </c>
      <c r="F393" s="1">
        <v>667</v>
      </c>
      <c r="G393" s="1">
        <v>918</v>
      </c>
      <c r="H393" s="1">
        <v>304</v>
      </c>
      <c r="I393" s="1">
        <v>535</v>
      </c>
      <c r="J393" s="1">
        <v>457</v>
      </c>
      <c r="K393" s="1">
        <v>315</v>
      </c>
      <c r="L393" s="1">
        <v>254</v>
      </c>
      <c r="M393" s="1">
        <v>75</v>
      </c>
      <c r="N393" s="1">
        <v>42.638426099999997</v>
      </c>
      <c r="O393" s="1">
        <v>12.674296999999999</v>
      </c>
      <c r="P393" s="14">
        <f t="shared" si="48"/>
        <v>54.400000000000006</v>
      </c>
      <c r="Q393" s="13">
        <v>20</v>
      </c>
      <c r="R393" s="16">
        <f t="shared" si="49"/>
        <v>8.3000000000000007</v>
      </c>
      <c r="S393" s="14">
        <f t="shared" si="50"/>
        <v>0</v>
      </c>
      <c r="T393" s="13">
        <f t="shared" si="51"/>
        <v>46.6</v>
      </c>
      <c r="U393" s="14">
        <f t="shared" si="52"/>
        <v>68.600000000000009</v>
      </c>
      <c r="V393" s="14">
        <f t="shared" si="53"/>
        <v>74.7</v>
      </c>
      <c r="W393" s="1">
        <f t="shared" si="54"/>
        <v>60.9</v>
      </c>
      <c r="X393" s="1" t="str">
        <f>IF(Table1[[#This Row],[World Rank]]&lt;=250,"Q1-Elite",IF(Table1[[#This Row],[World Rank]]&lt;=500,"Q2-Strong",IF(Table1[[#This Row],[World Rank]]&lt;=750,"Q3-Developing","Q4-Emerging")))</f>
        <v>Q2-Strong</v>
      </c>
    </row>
    <row r="394" spans="1:24" x14ac:dyDescent="0.2">
      <c r="A394" s="1">
        <v>393</v>
      </c>
      <c r="B394" s="1" t="s">
        <v>449</v>
      </c>
      <c r="C394" s="1" t="s">
        <v>15</v>
      </c>
      <c r="D394" s="1" t="s">
        <v>1120</v>
      </c>
      <c r="E394" s="1">
        <v>120</v>
      </c>
      <c r="F394" s="1">
        <v>667</v>
      </c>
      <c r="G394" s="1">
        <v>360</v>
      </c>
      <c r="H394" s="1">
        <v>304</v>
      </c>
      <c r="I394" s="1">
        <v>460</v>
      </c>
      <c r="J394" s="1">
        <v>422</v>
      </c>
      <c r="K394" s="1">
        <v>417</v>
      </c>
      <c r="L394" s="1">
        <v>275</v>
      </c>
      <c r="M394" s="1">
        <v>75</v>
      </c>
      <c r="N394" s="1">
        <v>39.783730400000003</v>
      </c>
      <c r="O394" s="1">
        <v>-100.445882</v>
      </c>
      <c r="P394" s="14">
        <f t="shared" si="48"/>
        <v>57.9</v>
      </c>
      <c r="Q394" s="13">
        <v>20</v>
      </c>
      <c r="R394" s="16">
        <f t="shared" si="49"/>
        <v>64.099999999999994</v>
      </c>
      <c r="S394" s="14">
        <f t="shared" si="50"/>
        <v>0</v>
      </c>
      <c r="T394" s="13">
        <f t="shared" si="51"/>
        <v>54.1</v>
      </c>
      <c r="U394" s="14">
        <f t="shared" si="52"/>
        <v>58.4</v>
      </c>
      <c r="V394" s="14">
        <f t="shared" si="53"/>
        <v>72.599999999999994</v>
      </c>
      <c r="W394" s="1">
        <f t="shared" si="54"/>
        <v>60.8</v>
      </c>
      <c r="X394" s="1" t="str">
        <f>IF(Table1[[#This Row],[World Rank]]&lt;=250,"Q1-Elite",IF(Table1[[#This Row],[World Rank]]&lt;=500,"Q2-Strong",IF(Table1[[#This Row],[World Rank]]&lt;=750,"Q3-Developing","Q4-Emerging")))</f>
        <v>Q2-Strong</v>
      </c>
    </row>
    <row r="395" spans="1:24" x14ac:dyDescent="0.2">
      <c r="A395" s="1">
        <v>394</v>
      </c>
      <c r="B395" s="1" t="s">
        <v>450</v>
      </c>
      <c r="C395" s="1" t="s">
        <v>66</v>
      </c>
      <c r="D395" s="1" t="s">
        <v>1125</v>
      </c>
      <c r="E395" s="1">
        <v>5</v>
      </c>
      <c r="F395" s="1">
        <v>667</v>
      </c>
      <c r="G395" s="1">
        <v>1001</v>
      </c>
      <c r="H395" s="1">
        <v>304</v>
      </c>
      <c r="I395" s="1">
        <v>313</v>
      </c>
      <c r="J395" s="1">
        <v>303</v>
      </c>
      <c r="K395" s="1">
        <v>399</v>
      </c>
      <c r="L395" s="1">
        <v>673</v>
      </c>
      <c r="M395" s="1">
        <v>75</v>
      </c>
      <c r="N395" s="1">
        <v>39.3181528</v>
      </c>
      <c r="O395" s="1">
        <v>-79.810901400000006</v>
      </c>
      <c r="P395" s="14">
        <f t="shared" si="48"/>
        <v>69.8</v>
      </c>
      <c r="Q395" s="13">
        <v>20</v>
      </c>
      <c r="R395" s="16">
        <f t="shared" si="49"/>
        <v>0</v>
      </c>
      <c r="S395" s="14">
        <f t="shared" si="50"/>
        <v>0</v>
      </c>
      <c r="T395" s="13">
        <f t="shared" si="51"/>
        <v>68.8</v>
      </c>
      <c r="U395" s="14">
        <f t="shared" si="52"/>
        <v>60.199999999999996</v>
      </c>
      <c r="V395" s="14">
        <f t="shared" si="53"/>
        <v>32.800000000000004</v>
      </c>
      <c r="W395" s="1">
        <f t="shared" si="54"/>
        <v>60.699999999999996</v>
      </c>
      <c r="X395" s="1" t="str">
        <f>IF(Table1[[#This Row],[World Rank]]&lt;=250,"Q1-Elite",IF(Table1[[#This Row],[World Rank]]&lt;=500,"Q2-Strong",IF(Table1[[#This Row],[World Rank]]&lt;=750,"Q3-Developing","Q4-Emerging")))</f>
        <v>Q2-Strong</v>
      </c>
    </row>
    <row r="396" spans="1:24" x14ac:dyDescent="0.2">
      <c r="A396" s="1">
        <v>395</v>
      </c>
      <c r="B396" s="1" t="s">
        <v>451</v>
      </c>
      <c r="C396" s="1" t="s">
        <v>99</v>
      </c>
      <c r="D396" s="1" t="s">
        <v>1124</v>
      </c>
      <c r="E396" s="1">
        <v>12</v>
      </c>
      <c r="F396" s="1">
        <v>667</v>
      </c>
      <c r="G396" s="1">
        <v>927</v>
      </c>
      <c r="H396" s="1">
        <v>304</v>
      </c>
      <c r="I396" s="1">
        <v>422</v>
      </c>
      <c r="J396" s="1">
        <v>363</v>
      </c>
      <c r="K396" s="1">
        <v>520</v>
      </c>
      <c r="L396" s="1">
        <v>275</v>
      </c>
      <c r="M396" s="1">
        <v>75</v>
      </c>
      <c r="N396" s="1">
        <v>52.243497900000001</v>
      </c>
      <c r="O396" s="1">
        <v>5.6343227000000002</v>
      </c>
      <c r="P396" s="14">
        <f t="shared" si="48"/>
        <v>63.800000000000004</v>
      </c>
      <c r="Q396" s="13">
        <v>20</v>
      </c>
      <c r="R396" s="16">
        <f t="shared" si="49"/>
        <v>7.3999999999999995</v>
      </c>
      <c r="S396" s="14">
        <f t="shared" si="50"/>
        <v>0</v>
      </c>
      <c r="T396" s="13">
        <f t="shared" si="51"/>
        <v>57.9</v>
      </c>
      <c r="U396" s="14">
        <f t="shared" si="52"/>
        <v>48.1</v>
      </c>
      <c r="V396" s="14">
        <f t="shared" si="53"/>
        <v>72.599999999999994</v>
      </c>
      <c r="W396" s="1">
        <f t="shared" si="54"/>
        <v>60.6</v>
      </c>
      <c r="X396" s="1" t="str">
        <f>IF(Table1[[#This Row],[World Rank]]&lt;=250,"Q1-Elite",IF(Table1[[#This Row],[World Rank]]&lt;=500,"Q2-Strong",IF(Table1[[#This Row],[World Rank]]&lt;=750,"Q3-Developing","Q4-Emerging")))</f>
        <v>Q2-Strong</v>
      </c>
    </row>
    <row r="397" spans="1:24" x14ac:dyDescent="0.2">
      <c r="A397" s="1">
        <v>396</v>
      </c>
      <c r="B397" s="1" t="s">
        <v>452</v>
      </c>
      <c r="C397" s="1" t="s">
        <v>124</v>
      </c>
      <c r="D397" s="1" t="s">
        <v>1125</v>
      </c>
      <c r="E397" s="1">
        <v>28</v>
      </c>
      <c r="F397" s="1">
        <v>667</v>
      </c>
      <c r="G397" s="1">
        <v>1001</v>
      </c>
      <c r="H397" s="1">
        <v>304</v>
      </c>
      <c r="I397" s="1">
        <v>297</v>
      </c>
      <c r="J397" s="1">
        <v>340</v>
      </c>
      <c r="K397" s="1">
        <v>373</v>
      </c>
      <c r="L397" s="1">
        <v>673</v>
      </c>
      <c r="M397" s="1">
        <v>75</v>
      </c>
      <c r="N397" s="1">
        <v>30.047992000000001</v>
      </c>
      <c r="O397" s="1">
        <v>-94.335743300000004</v>
      </c>
      <c r="P397" s="14">
        <f t="shared" si="48"/>
        <v>66.100000000000009</v>
      </c>
      <c r="Q397" s="13">
        <v>20</v>
      </c>
      <c r="R397" s="16">
        <f t="shared" si="49"/>
        <v>0</v>
      </c>
      <c r="S397" s="14">
        <f t="shared" si="50"/>
        <v>0</v>
      </c>
      <c r="T397" s="13">
        <f t="shared" si="51"/>
        <v>70.399999999999991</v>
      </c>
      <c r="U397" s="14">
        <f t="shared" si="52"/>
        <v>62.8</v>
      </c>
      <c r="V397" s="14">
        <f t="shared" si="53"/>
        <v>32.800000000000004</v>
      </c>
      <c r="W397" s="1">
        <f t="shared" si="54"/>
        <v>60.5</v>
      </c>
      <c r="X397" s="1" t="str">
        <f>IF(Table1[[#This Row],[World Rank]]&lt;=250,"Q1-Elite",IF(Table1[[#This Row],[World Rank]]&lt;=500,"Q2-Strong",IF(Table1[[#This Row],[World Rank]]&lt;=750,"Q3-Developing","Q4-Emerging")))</f>
        <v>Q2-Strong</v>
      </c>
    </row>
    <row r="398" spans="1:24" x14ac:dyDescent="0.2">
      <c r="A398" s="1">
        <v>397</v>
      </c>
      <c r="B398" s="1" t="s">
        <v>453</v>
      </c>
      <c r="C398" s="1" t="s">
        <v>81</v>
      </c>
      <c r="D398" s="1" t="s">
        <v>1121</v>
      </c>
      <c r="E398" s="1">
        <v>14</v>
      </c>
      <c r="F398" s="1">
        <v>667</v>
      </c>
      <c r="G398" s="1">
        <v>562</v>
      </c>
      <c r="H398" s="1">
        <v>304</v>
      </c>
      <c r="I398" s="1">
        <v>410</v>
      </c>
      <c r="J398" s="1">
        <v>381</v>
      </c>
      <c r="K398" s="1">
        <v>403</v>
      </c>
      <c r="L398" s="1">
        <v>363</v>
      </c>
      <c r="M398" s="1">
        <v>75</v>
      </c>
      <c r="N398" s="1">
        <v>-24.776108600000001</v>
      </c>
      <c r="O398" s="1">
        <v>134.755</v>
      </c>
      <c r="P398" s="14">
        <f t="shared" si="48"/>
        <v>62</v>
      </c>
      <c r="Q398" s="13">
        <v>20</v>
      </c>
      <c r="R398" s="16">
        <f t="shared" si="49"/>
        <v>43.9</v>
      </c>
      <c r="S398" s="14">
        <f t="shared" si="50"/>
        <v>0</v>
      </c>
      <c r="T398" s="13">
        <f t="shared" si="51"/>
        <v>59.099999999999994</v>
      </c>
      <c r="U398" s="14">
        <f t="shared" si="52"/>
        <v>59.8</v>
      </c>
      <c r="V398" s="14">
        <f t="shared" si="53"/>
        <v>63.800000000000004</v>
      </c>
      <c r="W398" s="1">
        <f t="shared" si="54"/>
        <v>60.4</v>
      </c>
      <c r="X398" s="1" t="str">
        <f>IF(Table1[[#This Row],[World Rank]]&lt;=250,"Q1-Elite",IF(Table1[[#This Row],[World Rank]]&lt;=500,"Q2-Strong",IF(Table1[[#This Row],[World Rank]]&lt;=750,"Q3-Developing","Q4-Emerging")))</f>
        <v>Q2-Strong</v>
      </c>
    </row>
    <row r="399" spans="1:24" x14ac:dyDescent="0.2">
      <c r="A399" s="1">
        <v>398</v>
      </c>
      <c r="B399" s="1" t="s">
        <v>454</v>
      </c>
      <c r="C399" s="1" t="s">
        <v>107</v>
      </c>
      <c r="D399" s="1" t="s">
        <v>1123</v>
      </c>
      <c r="E399" s="1">
        <v>5</v>
      </c>
      <c r="F399" s="1">
        <v>667</v>
      </c>
      <c r="G399" s="1">
        <v>1001</v>
      </c>
      <c r="H399" s="1">
        <v>304</v>
      </c>
      <c r="I399" s="1">
        <v>230</v>
      </c>
      <c r="J399" s="1">
        <v>419</v>
      </c>
      <c r="K399" s="1">
        <v>507</v>
      </c>
      <c r="L399" s="1">
        <v>460</v>
      </c>
      <c r="M399" s="1">
        <v>75</v>
      </c>
      <c r="N399" s="1">
        <v>-10.3333333</v>
      </c>
      <c r="O399" s="1">
        <v>-53.2</v>
      </c>
      <c r="P399" s="14">
        <f t="shared" si="48"/>
        <v>58.199999999999996</v>
      </c>
      <c r="Q399" s="13">
        <v>20</v>
      </c>
      <c r="R399" s="16">
        <f t="shared" si="49"/>
        <v>0</v>
      </c>
      <c r="S399" s="14">
        <f t="shared" si="50"/>
        <v>0</v>
      </c>
      <c r="T399" s="13">
        <f t="shared" si="51"/>
        <v>77.100000000000009</v>
      </c>
      <c r="U399" s="14">
        <f t="shared" si="52"/>
        <v>49.4</v>
      </c>
      <c r="V399" s="14">
        <f t="shared" si="53"/>
        <v>54.1</v>
      </c>
      <c r="W399" s="1">
        <f t="shared" si="54"/>
        <v>60.3</v>
      </c>
      <c r="X399" s="1" t="str">
        <f>IF(Table1[[#This Row],[World Rank]]&lt;=250,"Q1-Elite",IF(Table1[[#This Row],[World Rank]]&lt;=500,"Q2-Strong",IF(Table1[[#This Row],[World Rank]]&lt;=750,"Q3-Developing","Q4-Emerging")))</f>
        <v>Q2-Strong</v>
      </c>
    </row>
    <row r="400" spans="1:24" x14ac:dyDescent="0.2">
      <c r="A400" s="1">
        <v>399</v>
      </c>
      <c r="B400" s="1" t="s">
        <v>455</v>
      </c>
      <c r="C400" s="1" t="s">
        <v>81</v>
      </c>
      <c r="D400" s="1" t="s">
        <v>1121</v>
      </c>
      <c r="E400" s="1">
        <v>15</v>
      </c>
      <c r="F400" s="1">
        <v>667</v>
      </c>
      <c r="G400" s="1">
        <v>1001</v>
      </c>
      <c r="H400" s="1">
        <v>304</v>
      </c>
      <c r="I400" s="1">
        <v>459</v>
      </c>
      <c r="J400" s="1">
        <v>398</v>
      </c>
      <c r="K400" s="1">
        <v>284</v>
      </c>
      <c r="L400" s="1">
        <v>460</v>
      </c>
      <c r="M400" s="1">
        <v>75</v>
      </c>
      <c r="N400" s="1">
        <v>-24.776108600000001</v>
      </c>
      <c r="O400" s="1">
        <v>134.755</v>
      </c>
      <c r="P400" s="14">
        <f t="shared" si="48"/>
        <v>60.3</v>
      </c>
      <c r="Q400" s="13">
        <v>20</v>
      </c>
      <c r="R400" s="16">
        <f t="shared" si="49"/>
        <v>0</v>
      </c>
      <c r="S400" s="14">
        <f t="shared" si="50"/>
        <v>0</v>
      </c>
      <c r="T400" s="13">
        <f t="shared" si="51"/>
        <v>54.2</v>
      </c>
      <c r="U400" s="14">
        <f t="shared" si="52"/>
        <v>71.7</v>
      </c>
      <c r="V400" s="14">
        <f t="shared" si="53"/>
        <v>54.1</v>
      </c>
      <c r="W400" s="1">
        <f t="shared" si="54"/>
        <v>60.199999999999996</v>
      </c>
      <c r="X400" s="1" t="str">
        <f>IF(Table1[[#This Row],[World Rank]]&lt;=250,"Q1-Elite",IF(Table1[[#This Row],[World Rank]]&lt;=500,"Q2-Strong",IF(Table1[[#This Row],[World Rank]]&lt;=750,"Q3-Developing","Q4-Emerging")))</f>
        <v>Q2-Strong</v>
      </c>
    </row>
    <row r="401" spans="1:24" x14ac:dyDescent="0.2">
      <c r="A401" s="1">
        <v>400</v>
      </c>
      <c r="B401" s="1" t="s">
        <v>456</v>
      </c>
      <c r="C401" s="1" t="s">
        <v>81</v>
      </c>
      <c r="D401" s="1" t="s">
        <v>1121</v>
      </c>
      <c r="E401" s="1">
        <v>16</v>
      </c>
      <c r="F401" s="1">
        <v>667</v>
      </c>
      <c r="G401" s="1">
        <v>1001</v>
      </c>
      <c r="H401" s="1">
        <v>304</v>
      </c>
      <c r="I401" s="1">
        <v>324</v>
      </c>
      <c r="J401" s="1">
        <v>338</v>
      </c>
      <c r="K401" s="1">
        <v>300</v>
      </c>
      <c r="L401" s="1">
        <v>898</v>
      </c>
      <c r="M401" s="1">
        <v>74.900000000000006</v>
      </c>
      <c r="N401" s="1">
        <v>-24.776108600000001</v>
      </c>
      <c r="O401" s="1">
        <v>134.755</v>
      </c>
      <c r="P401" s="14">
        <f t="shared" si="48"/>
        <v>66.3</v>
      </c>
      <c r="Q401" s="13">
        <v>20</v>
      </c>
      <c r="R401" s="16">
        <f t="shared" si="49"/>
        <v>0</v>
      </c>
      <c r="S401" s="14">
        <f t="shared" si="50"/>
        <v>0</v>
      </c>
      <c r="T401" s="13">
        <f t="shared" si="51"/>
        <v>67.7</v>
      </c>
      <c r="U401" s="14">
        <f t="shared" si="52"/>
        <v>70.099999999999994</v>
      </c>
      <c r="V401" s="14">
        <f t="shared" si="53"/>
        <v>10.299999999999999</v>
      </c>
      <c r="W401" s="1">
        <f t="shared" si="54"/>
        <v>60.099999999999994</v>
      </c>
      <c r="X401" s="1" t="str">
        <f>IF(Table1[[#This Row],[World Rank]]&lt;=250,"Q1-Elite",IF(Table1[[#This Row],[World Rank]]&lt;=500,"Q2-Strong",IF(Table1[[#This Row],[World Rank]]&lt;=750,"Q3-Developing","Q4-Emerging")))</f>
        <v>Q2-Strong</v>
      </c>
    </row>
    <row r="402" spans="1:24" x14ac:dyDescent="0.2">
      <c r="A402" s="1">
        <v>401</v>
      </c>
      <c r="B402" s="1" t="s">
        <v>457</v>
      </c>
      <c r="C402" s="1" t="s">
        <v>212</v>
      </c>
      <c r="D402" s="1" t="s">
        <v>1124</v>
      </c>
      <c r="E402" s="1">
        <v>4</v>
      </c>
      <c r="F402" s="1">
        <v>662</v>
      </c>
      <c r="G402" s="1">
        <v>737</v>
      </c>
      <c r="H402" s="1">
        <v>304</v>
      </c>
      <c r="I402" s="1">
        <v>425</v>
      </c>
      <c r="J402" s="1">
        <v>413</v>
      </c>
      <c r="K402" s="1">
        <v>395</v>
      </c>
      <c r="L402" s="1">
        <v>327</v>
      </c>
      <c r="M402" s="1">
        <v>74.900000000000006</v>
      </c>
      <c r="N402" s="1">
        <v>47.593969999999999</v>
      </c>
      <c r="O402" s="1">
        <v>14.124560000000001</v>
      </c>
      <c r="P402" s="14">
        <f t="shared" si="48"/>
        <v>58.8</v>
      </c>
      <c r="Q402" s="13">
        <v>20</v>
      </c>
      <c r="R402" s="16">
        <f t="shared" si="49"/>
        <v>26.400000000000002</v>
      </c>
      <c r="S402" s="14">
        <f t="shared" si="50"/>
        <v>0</v>
      </c>
      <c r="T402" s="13">
        <f t="shared" si="51"/>
        <v>57.599999999999994</v>
      </c>
      <c r="U402" s="14">
        <f t="shared" si="52"/>
        <v>60.6</v>
      </c>
      <c r="V402" s="14">
        <f t="shared" si="53"/>
        <v>67.400000000000006</v>
      </c>
      <c r="W402" s="1">
        <f t="shared" si="54"/>
        <v>60</v>
      </c>
      <c r="X402" s="1" t="str">
        <f>IF(Table1[[#This Row],[World Rank]]&lt;=250,"Q1-Elite",IF(Table1[[#This Row],[World Rank]]&lt;=500,"Q2-Strong",IF(Table1[[#This Row],[World Rank]]&lt;=750,"Q3-Developing","Q4-Emerging")))</f>
        <v>Q2-Strong</v>
      </c>
    </row>
    <row r="403" spans="1:24" x14ac:dyDescent="0.2">
      <c r="A403" s="1">
        <v>402</v>
      </c>
      <c r="B403" s="1" t="s">
        <v>458</v>
      </c>
      <c r="C403" s="1" t="s">
        <v>266</v>
      </c>
      <c r="D403" s="1" t="s">
        <v>1122</v>
      </c>
      <c r="E403" s="1">
        <v>3</v>
      </c>
      <c r="F403" s="1">
        <v>509</v>
      </c>
      <c r="G403" s="1">
        <v>277</v>
      </c>
      <c r="H403" s="1">
        <v>304</v>
      </c>
      <c r="I403" s="1">
        <v>400</v>
      </c>
      <c r="J403" s="1">
        <v>526</v>
      </c>
      <c r="K403" s="1">
        <v>347</v>
      </c>
      <c r="L403" s="1">
        <v>327</v>
      </c>
      <c r="M403" s="1">
        <v>74.900000000000006</v>
      </c>
      <c r="N403" s="1">
        <v>-28.8166236</v>
      </c>
      <c r="O403" s="1">
        <v>24.991638999999999</v>
      </c>
      <c r="P403" s="14">
        <f t="shared" si="48"/>
        <v>47.5</v>
      </c>
      <c r="Q403" s="13">
        <f>((667 - F403) / 666) * 100</f>
        <v>23.723723723723726</v>
      </c>
      <c r="R403" s="16">
        <f t="shared" si="49"/>
        <v>72.399999999999991</v>
      </c>
      <c r="S403" s="14">
        <f t="shared" si="50"/>
        <v>0</v>
      </c>
      <c r="T403" s="13">
        <f t="shared" si="51"/>
        <v>60.099999999999994</v>
      </c>
      <c r="U403" s="14">
        <f t="shared" si="52"/>
        <v>65.400000000000006</v>
      </c>
      <c r="V403" s="14">
        <f t="shared" si="53"/>
        <v>67.400000000000006</v>
      </c>
      <c r="W403" s="1">
        <f t="shared" si="54"/>
        <v>59.9</v>
      </c>
      <c r="X403" s="1" t="str">
        <f>IF(Table1[[#This Row],[World Rank]]&lt;=250,"Q1-Elite",IF(Table1[[#This Row],[World Rank]]&lt;=500,"Q2-Strong",IF(Table1[[#This Row],[World Rank]]&lt;=750,"Q3-Developing","Q4-Emerging")))</f>
        <v>Q2-Strong</v>
      </c>
    </row>
    <row r="404" spans="1:24" x14ac:dyDescent="0.2">
      <c r="A404" s="1">
        <v>403</v>
      </c>
      <c r="B404" s="1" t="s">
        <v>459</v>
      </c>
      <c r="C404" s="1" t="s">
        <v>262</v>
      </c>
      <c r="D404" s="1" t="s">
        <v>1124</v>
      </c>
      <c r="E404" s="1">
        <v>3</v>
      </c>
      <c r="F404" s="1">
        <v>659</v>
      </c>
      <c r="G404" s="1">
        <v>1001</v>
      </c>
      <c r="H404" s="1">
        <v>304</v>
      </c>
      <c r="I404" s="1">
        <v>332</v>
      </c>
      <c r="J404" s="1">
        <v>395</v>
      </c>
      <c r="K404" s="1">
        <v>433</v>
      </c>
      <c r="L404" s="1">
        <v>405</v>
      </c>
      <c r="M404" s="1">
        <v>74.900000000000006</v>
      </c>
      <c r="N404" s="1">
        <v>39.662164799999999</v>
      </c>
      <c r="O404" s="1">
        <v>-8.1353518999999999</v>
      </c>
      <c r="P404" s="14">
        <f t="shared" si="48"/>
        <v>60.6</v>
      </c>
      <c r="Q404" s="13">
        <v>20</v>
      </c>
      <c r="R404" s="16">
        <f t="shared" si="49"/>
        <v>0</v>
      </c>
      <c r="S404" s="14">
        <f t="shared" si="50"/>
        <v>0</v>
      </c>
      <c r="T404" s="13">
        <f t="shared" si="51"/>
        <v>66.900000000000006</v>
      </c>
      <c r="U404" s="14">
        <f t="shared" si="52"/>
        <v>56.8</v>
      </c>
      <c r="V404" s="14">
        <f t="shared" si="53"/>
        <v>59.599999999999994</v>
      </c>
      <c r="W404" s="1">
        <f t="shared" si="54"/>
        <v>59.8</v>
      </c>
      <c r="X404" s="1" t="str">
        <f>IF(Table1[[#This Row],[World Rank]]&lt;=250,"Q1-Elite",IF(Table1[[#This Row],[World Rank]]&lt;=500,"Q2-Strong",IF(Table1[[#This Row],[World Rank]]&lt;=750,"Q3-Developing","Q4-Emerging")))</f>
        <v>Q2-Strong</v>
      </c>
    </row>
    <row r="405" spans="1:24" x14ac:dyDescent="0.2">
      <c r="A405" s="1">
        <v>404</v>
      </c>
      <c r="B405" s="1" t="s">
        <v>460</v>
      </c>
      <c r="C405" s="1" t="s">
        <v>93</v>
      </c>
      <c r="D405" s="1" t="s">
        <v>1124</v>
      </c>
      <c r="E405" s="1">
        <v>15</v>
      </c>
      <c r="F405" s="1">
        <v>667</v>
      </c>
      <c r="G405" s="1">
        <v>1001</v>
      </c>
      <c r="H405" s="1">
        <v>304</v>
      </c>
      <c r="I405" s="1">
        <v>409</v>
      </c>
      <c r="J405" s="1">
        <v>369</v>
      </c>
      <c r="K405" s="1">
        <v>375</v>
      </c>
      <c r="L405" s="1">
        <v>405</v>
      </c>
      <c r="M405" s="1">
        <v>74.900000000000006</v>
      </c>
      <c r="N405" s="1">
        <v>42.638426099999997</v>
      </c>
      <c r="O405" s="1">
        <v>12.674296999999999</v>
      </c>
      <c r="P405" s="14">
        <f t="shared" si="48"/>
        <v>63.2</v>
      </c>
      <c r="Q405" s="13">
        <v>20</v>
      </c>
      <c r="R405" s="16">
        <f t="shared" si="49"/>
        <v>0</v>
      </c>
      <c r="S405" s="14">
        <f t="shared" si="50"/>
        <v>0</v>
      </c>
      <c r="T405" s="13">
        <f t="shared" si="51"/>
        <v>59.199999999999996</v>
      </c>
      <c r="U405" s="14">
        <f t="shared" si="52"/>
        <v>62.6</v>
      </c>
      <c r="V405" s="14">
        <f t="shared" si="53"/>
        <v>59.599999999999994</v>
      </c>
      <c r="W405" s="1">
        <f t="shared" si="54"/>
        <v>59.699999999999996</v>
      </c>
      <c r="X405" s="1" t="str">
        <f>IF(Table1[[#This Row],[World Rank]]&lt;=250,"Q1-Elite",IF(Table1[[#This Row],[World Rank]]&lt;=500,"Q2-Strong",IF(Table1[[#This Row],[World Rank]]&lt;=750,"Q3-Developing","Q4-Emerging")))</f>
        <v>Q2-Strong</v>
      </c>
    </row>
    <row r="406" spans="1:24" x14ac:dyDescent="0.2">
      <c r="A406" s="1">
        <v>405</v>
      </c>
      <c r="B406" s="1" t="s">
        <v>461</v>
      </c>
      <c r="C406" s="1" t="s">
        <v>15</v>
      </c>
      <c r="D406" s="1" t="s">
        <v>1120</v>
      </c>
      <c r="E406" s="1">
        <v>121</v>
      </c>
      <c r="F406" s="1">
        <v>462</v>
      </c>
      <c r="G406" s="1">
        <v>877</v>
      </c>
      <c r="H406" s="1">
        <v>304</v>
      </c>
      <c r="I406" s="1">
        <v>454</v>
      </c>
      <c r="J406" s="1">
        <v>404</v>
      </c>
      <c r="K406" s="1">
        <v>437</v>
      </c>
      <c r="L406" s="1">
        <v>275</v>
      </c>
      <c r="M406" s="1">
        <v>74.900000000000006</v>
      </c>
      <c r="N406" s="1">
        <v>39.783730400000003</v>
      </c>
      <c r="O406" s="1">
        <v>-100.445882</v>
      </c>
      <c r="P406" s="14">
        <f t="shared" si="48"/>
        <v>59.699999999999996</v>
      </c>
      <c r="Q406" s="13">
        <f>((667 - F406) / 666) * 100</f>
        <v>30.780780780780781</v>
      </c>
      <c r="R406" s="16">
        <f t="shared" si="49"/>
        <v>12.4</v>
      </c>
      <c r="S406" s="14">
        <f t="shared" si="50"/>
        <v>0</v>
      </c>
      <c r="T406" s="13">
        <f t="shared" si="51"/>
        <v>54.7</v>
      </c>
      <c r="U406" s="14">
        <f t="shared" si="52"/>
        <v>56.399999999999991</v>
      </c>
      <c r="V406" s="14">
        <f t="shared" si="53"/>
        <v>72.599999999999994</v>
      </c>
      <c r="W406" s="1">
        <f t="shared" si="54"/>
        <v>59.599999999999994</v>
      </c>
      <c r="X406" s="1" t="str">
        <f>IF(Table1[[#This Row],[World Rank]]&lt;=250,"Q1-Elite",IF(Table1[[#This Row],[World Rank]]&lt;=500,"Q2-Strong",IF(Table1[[#This Row],[World Rank]]&lt;=750,"Q3-Developing","Q4-Emerging")))</f>
        <v>Q2-Strong</v>
      </c>
    </row>
    <row r="407" spans="1:24" x14ac:dyDescent="0.2">
      <c r="A407" s="1">
        <v>406</v>
      </c>
      <c r="B407" s="1" t="s">
        <v>462</v>
      </c>
      <c r="C407" s="1" t="s">
        <v>107</v>
      </c>
      <c r="D407" s="1" t="s">
        <v>1123</v>
      </c>
      <c r="E407" s="1">
        <v>6</v>
      </c>
      <c r="F407" s="1">
        <v>667</v>
      </c>
      <c r="G407" s="1">
        <v>668</v>
      </c>
      <c r="H407" s="1">
        <v>304</v>
      </c>
      <c r="I407" s="1">
        <v>261</v>
      </c>
      <c r="J407" s="1">
        <v>416</v>
      </c>
      <c r="K407" s="1">
        <v>478</v>
      </c>
      <c r="L407" s="1">
        <v>460</v>
      </c>
      <c r="M407" s="1">
        <v>74.900000000000006</v>
      </c>
      <c r="N407" s="1">
        <v>-10.3333333</v>
      </c>
      <c r="O407" s="1">
        <v>-53.2</v>
      </c>
      <c r="P407" s="14">
        <f t="shared" si="48"/>
        <v>58.5</v>
      </c>
      <c r="Q407" s="13">
        <v>20</v>
      </c>
      <c r="R407" s="16">
        <f t="shared" si="49"/>
        <v>33.300000000000004</v>
      </c>
      <c r="S407" s="14">
        <f t="shared" si="50"/>
        <v>0</v>
      </c>
      <c r="T407" s="13">
        <f t="shared" si="51"/>
        <v>74</v>
      </c>
      <c r="U407" s="14">
        <f t="shared" si="52"/>
        <v>52.300000000000004</v>
      </c>
      <c r="V407" s="14">
        <f t="shared" si="53"/>
        <v>54.1</v>
      </c>
      <c r="W407" s="1">
        <f t="shared" si="54"/>
        <v>59.5</v>
      </c>
      <c r="X407" s="1" t="str">
        <f>IF(Table1[[#This Row],[World Rank]]&lt;=250,"Q1-Elite",IF(Table1[[#This Row],[World Rank]]&lt;=500,"Q2-Strong",IF(Table1[[#This Row],[World Rank]]&lt;=750,"Q3-Developing","Q4-Emerging")))</f>
        <v>Q2-Strong</v>
      </c>
    </row>
    <row r="408" spans="1:24" x14ac:dyDescent="0.2">
      <c r="A408" s="1">
        <v>407</v>
      </c>
      <c r="B408" s="1" t="s">
        <v>463</v>
      </c>
      <c r="C408" s="1" t="s">
        <v>19</v>
      </c>
      <c r="D408" s="1" t="s">
        <v>1124</v>
      </c>
      <c r="E408" s="1">
        <v>34</v>
      </c>
      <c r="F408" s="1">
        <v>466</v>
      </c>
      <c r="G408" s="1">
        <v>104</v>
      </c>
      <c r="H408" s="1">
        <v>304</v>
      </c>
      <c r="I408" s="1">
        <v>496</v>
      </c>
      <c r="J408" s="1">
        <v>394</v>
      </c>
      <c r="K408" s="1">
        <v>422</v>
      </c>
      <c r="L408" s="1">
        <v>460</v>
      </c>
      <c r="M408" s="1">
        <v>74.8</v>
      </c>
      <c r="N408" s="1">
        <v>54.702354499999998</v>
      </c>
      <c r="O408" s="1">
        <v>-3.2765753000000002</v>
      </c>
      <c r="P408" s="14">
        <f t="shared" si="48"/>
        <v>60.699999999999996</v>
      </c>
      <c r="Q408" s="13">
        <f>((667 - F408) / 666) * 100</f>
        <v>30.180180180180184</v>
      </c>
      <c r="R408" s="16">
        <f t="shared" si="49"/>
        <v>89.7</v>
      </c>
      <c r="S408" s="14">
        <f t="shared" si="50"/>
        <v>0</v>
      </c>
      <c r="T408" s="13">
        <f t="shared" si="51"/>
        <v>50.5</v>
      </c>
      <c r="U408" s="14">
        <f t="shared" si="52"/>
        <v>57.9</v>
      </c>
      <c r="V408" s="14">
        <f t="shared" si="53"/>
        <v>54.1</v>
      </c>
      <c r="W408" s="1">
        <f t="shared" si="54"/>
        <v>59.4</v>
      </c>
      <c r="X408" s="1" t="str">
        <f>IF(Table1[[#This Row],[World Rank]]&lt;=250,"Q1-Elite",IF(Table1[[#This Row],[World Rank]]&lt;=500,"Q2-Strong",IF(Table1[[#This Row],[World Rank]]&lt;=750,"Q3-Developing","Q4-Emerging")))</f>
        <v>Q2-Strong</v>
      </c>
    </row>
    <row r="409" spans="1:24" x14ac:dyDescent="0.2">
      <c r="A409" s="1">
        <v>408</v>
      </c>
      <c r="B409" s="1" t="s">
        <v>464</v>
      </c>
      <c r="C409" s="1" t="s">
        <v>85</v>
      </c>
      <c r="D409" s="1" t="s">
        <v>1125</v>
      </c>
      <c r="E409" s="1">
        <v>11</v>
      </c>
      <c r="F409" s="1">
        <v>667</v>
      </c>
      <c r="G409" s="1">
        <v>793</v>
      </c>
      <c r="H409" s="1">
        <v>304</v>
      </c>
      <c r="I409" s="1">
        <v>280</v>
      </c>
      <c r="J409" s="1">
        <v>373</v>
      </c>
      <c r="K409" s="1">
        <v>682</v>
      </c>
      <c r="L409" s="1">
        <v>363</v>
      </c>
      <c r="M409" s="1">
        <v>74.8</v>
      </c>
      <c r="N409" s="1">
        <v>36.638392000000003</v>
      </c>
      <c r="O409" s="1">
        <v>127.69611879999999</v>
      </c>
      <c r="P409" s="14">
        <f t="shared" si="48"/>
        <v>62.8</v>
      </c>
      <c r="Q409" s="13">
        <v>20</v>
      </c>
      <c r="R409" s="16">
        <f t="shared" si="49"/>
        <v>20.8</v>
      </c>
      <c r="S409" s="14">
        <f t="shared" si="50"/>
        <v>0</v>
      </c>
      <c r="T409" s="13">
        <f t="shared" si="51"/>
        <v>72.099999999999994</v>
      </c>
      <c r="U409" s="14">
        <f t="shared" si="52"/>
        <v>31.900000000000002</v>
      </c>
      <c r="V409" s="14">
        <f t="shared" si="53"/>
        <v>63.800000000000004</v>
      </c>
      <c r="W409" s="1">
        <f t="shared" si="54"/>
        <v>59.3</v>
      </c>
      <c r="X409" s="1" t="str">
        <f>IF(Table1[[#This Row],[World Rank]]&lt;=250,"Q1-Elite",IF(Table1[[#This Row],[World Rank]]&lt;=500,"Q2-Strong",IF(Table1[[#This Row],[World Rank]]&lt;=750,"Q3-Developing","Q4-Emerging")))</f>
        <v>Q2-Strong</v>
      </c>
    </row>
    <row r="410" spans="1:24" x14ac:dyDescent="0.2">
      <c r="A410" s="1">
        <v>409</v>
      </c>
      <c r="B410" s="1" t="s">
        <v>465</v>
      </c>
      <c r="C410" s="1" t="s">
        <v>48</v>
      </c>
      <c r="D410" s="1" t="s">
        <v>1124</v>
      </c>
      <c r="E410" s="1">
        <v>18</v>
      </c>
      <c r="F410" s="1">
        <v>667</v>
      </c>
      <c r="G410" s="1">
        <v>1001</v>
      </c>
      <c r="H410" s="1">
        <v>304</v>
      </c>
      <c r="I410" s="1">
        <v>404</v>
      </c>
      <c r="J410" s="1">
        <v>350</v>
      </c>
      <c r="K410" s="1">
        <v>376</v>
      </c>
      <c r="L410" s="1">
        <v>460</v>
      </c>
      <c r="M410" s="1">
        <v>74.8</v>
      </c>
      <c r="N410" s="1">
        <v>46.603354000000003</v>
      </c>
      <c r="O410" s="1">
        <v>1.8883335000000001</v>
      </c>
      <c r="P410" s="14">
        <f t="shared" si="48"/>
        <v>65.100000000000009</v>
      </c>
      <c r="Q410" s="13">
        <v>20</v>
      </c>
      <c r="R410" s="16">
        <f t="shared" si="49"/>
        <v>0</v>
      </c>
      <c r="S410" s="14">
        <f t="shared" si="50"/>
        <v>0</v>
      </c>
      <c r="T410" s="13">
        <f t="shared" si="51"/>
        <v>59.699999999999996</v>
      </c>
      <c r="U410" s="14">
        <f t="shared" si="52"/>
        <v>62.5</v>
      </c>
      <c r="V410" s="14">
        <f t="shared" si="53"/>
        <v>54.1</v>
      </c>
      <c r="W410" s="1">
        <f t="shared" si="54"/>
        <v>59.199999999999996</v>
      </c>
      <c r="X410" s="1" t="str">
        <f>IF(Table1[[#This Row],[World Rank]]&lt;=250,"Q1-Elite",IF(Table1[[#This Row],[World Rank]]&lt;=500,"Q2-Strong",IF(Table1[[#This Row],[World Rank]]&lt;=750,"Q3-Developing","Q4-Emerging")))</f>
        <v>Q2-Strong</v>
      </c>
    </row>
    <row r="411" spans="1:24" x14ac:dyDescent="0.2">
      <c r="A411" s="1">
        <v>410</v>
      </c>
      <c r="B411" s="1" t="s">
        <v>466</v>
      </c>
      <c r="C411" s="1" t="s">
        <v>68</v>
      </c>
      <c r="D411" s="1" t="s">
        <v>1124</v>
      </c>
      <c r="E411" s="1">
        <v>32</v>
      </c>
      <c r="F411" s="1">
        <v>184</v>
      </c>
      <c r="G411" s="1">
        <v>479</v>
      </c>
      <c r="H411" s="1">
        <v>304</v>
      </c>
      <c r="I411" s="1">
        <v>398</v>
      </c>
      <c r="J411" s="1">
        <v>372</v>
      </c>
      <c r="K411" s="1">
        <v>492</v>
      </c>
      <c r="L411" s="1">
        <v>363</v>
      </c>
      <c r="M411" s="1">
        <v>74.8</v>
      </c>
      <c r="N411" s="1">
        <v>40.420347900000003</v>
      </c>
      <c r="O411" s="1">
        <v>-79.116698299999996</v>
      </c>
      <c r="P411" s="14">
        <f t="shared" si="48"/>
        <v>62.9</v>
      </c>
      <c r="Q411" s="13">
        <f>((667 - F411) / 666) * 100</f>
        <v>72.522522522522522</v>
      </c>
      <c r="R411" s="16">
        <f t="shared" si="49"/>
        <v>52.2</v>
      </c>
      <c r="S411" s="14">
        <f t="shared" si="50"/>
        <v>0</v>
      </c>
      <c r="T411" s="13">
        <f t="shared" si="51"/>
        <v>60.3</v>
      </c>
      <c r="U411" s="14">
        <f t="shared" si="52"/>
        <v>50.9</v>
      </c>
      <c r="V411" s="14">
        <f t="shared" si="53"/>
        <v>63.800000000000004</v>
      </c>
      <c r="W411" s="1">
        <f t="shared" si="54"/>
        <v>59.099999999999994</v>
      </c>
      <c r="X411" s="1" t="str">
        <f>IF(Table1[[#This Row],[World Rank]]&lt;=250,"Q1-Elite",IF(Table1[[#This Row],[World Rank]]&lt;=500,"Q2-Strong",IF(Table1[[#This Row],[World Rank]]&lt;=750,"Q3-Developing","Q4-Emerging")))</f>
        <v>Q2-Strong</v>
      </c>
    </row>
    <row r="412" spans="1:24" x14ac:dyDescent="0.2">
      <c r="A412" s="1">
        <v>411</v>
      </c>
      <c r="B412" s="1" t="s">
        <v>467</v>
      </c>
      <c r="C412" s="1" t="s">
        <v>34</v>
      </c>
      <c r="D412" s="1" t="s">
        <v>1120</v>
      </c>
      <c r="E412" s="1">
        <v>19</v>
      </c>
      <c r="F412" s="1">
        <v>618</v>
      </c>
      <c r="G412" s="1">
        <v>647</v>
      </c>
      <c r="H412" s="1">
        <v>304</v>
      </c>
      <c r="I412" s="1">
        <v>338</v>
      </c>
      <c r="J412" s="1">
        <v>348</v>
      </c>
      <c r="K412" s="1">
        <v>483</v>
      </c>
      <c r="L412" s="1">
        <v>460</v>
      </c>
      <c r="M412" s="1">
        <v>74.8</v>
      </c>
      <c r="N412" s="1">
        <v>61.066692199999999</v>
      </c>
      <c r="O412" s="1">
        <v>-107.99170700000001</v>
      </c>
      <c r="P412" s="14">
        <f t="shared" si="48"/>
        <v>65.3</v>
      </c>
      <c r="Q412" s="13">
        <v>20</v>
      </c>
      <c r="R412" s="16">
        <f t="shared" si="49"/>
        <v>35.4</v>
      </c>
      <c r="S412" s="14">
        <f t="shared" si="50"/>
        <v>0</v>
      </c>
      <c r="T412" s="13">
        <f t="shared" si="51"/>
        <v>66.3</v>
      </c>
      <c r="U412" s="14">
        <f t="shared" si="52"/>
        <v>51.800000000000004</v>
      </c>
      <c r="V412" s="14">
        <f t="shared" si="53"/>
        <v>54.1</v>
      </c>
      <c r="W412" s="1">
        <f t="shared" si="54"/>
        <v>59</v>
      </c>
      <c r="X412" s="1" t="str">
        <f>IF(Table1[[#This Row],[World Rank]]&lt;=250,"Q1-Elite",IF(Table1[[#This Row],[World Rank]]&lt;=500,"Q2-Strong",IF(Table1[[#This Row],[World Rank]]&lt;=750,"Q3-Developing","Q4-Emerging")))</f>
        <v>Q2-Strong</v>
      </c>
    </row>
    <row r="413" spans="1:24" x14ac:dyDescent="0.2">
      <c r="A413" s="1">
        <v>412</v>
      </c>
      <c r="B413" s="1" t="s">
        <v>468</v>
      </c>
      <c r="C413" s="1" t="s">
        <v>68</v>
      </c>
      <c r="D413" s="1" t="s">
        <v>1124</v>
      </c>
      <c r="E413" s="1">
        <v>33</v>
      </c>
      <c r="F413" s="1">
        <v>653</v>
      </c>
      <c r="G413" s="1">
        <v>1001</v>
      </c>
      <c r="H413" s="1">
        <v>269</v>
      </c>
      <c r="I413" s="1">
        <v>477</v>
      </c>
      <c r="J413" s="1">
        <v>458</v>
      </c>
      <c r="K413" s="1">
        <v>358</v>
      </c>
      <c r="L413" s="1">
        <v>541</v>
      </c>
      <c r="M413" s="1">
        <v>74.8</v>
      </c>
      <c r="N413" s="1">
        <v>40.420347900000003</v>
      </c>
      <c r="O413" s="1">
        <v>-79.116698299999996</v>
      </c>
      <c r="P413" s="14">
        <f t="shared" si="48"/>
        <v>54.300000000000004</v>
      </c>
      <c r="Q413" s="13">
        <v>20</v>
      </c>
      <c r="R413" s="16">
        <f t="shared" si="49"/>
        <v>0</v>
      </c>
      <c r="S413" s="14">
        <f t="shared" si="50"/>
        <v>11.55115511551155</v>
      </c>
      <c r="T413" s="13">
        <f t="shared" si="51"/>
        <v>52.400000000000006</v>
      </c>
      <c r="U413" s="14">
        <f t="shared" si="52"/>
        <v>64.3</v>
      </c>
      <c r="V413" s="14">
        <f t="shared" si="53"/>
        <v>46</v>
      </c>
      <c r="W413" s="1">
        <f t="shared" si="54"/>
        <v>58.9</v>
      </c>
      <c r="X413" s="1" t="str">
        <f>IF(Table1[[#This Row],[World Rank]]&lt;=250,"Q1-Elite",IF(Table1[[#This Row],[World Rank]]&lt;=500,"Q2-Strong",IF(Table1[[#This Row],[World Rank]]&lt;=750,"Q3-Developing","Q4-Emerging")))</f>
        <v>Q2-Strong</v>
      </c>
    </row>
    <row r="414" spans="1:24" x14ac:dyDescent="0.2">
      <c r="A414" s="1">
        <v>413</v>
      </c>
      <c r="B414" s="1" t="s">
        <v>469</v>
      </c>
      <c r="C414" s="1" t="s">
        <v>470</v>
      </c>
      <c r="D414" s="1" t="s">
        <v>1124</v>
      </c>
      <c r="E414" s="1">
        <v>1</v>
      </c>
      <c r="F414" s="1">
        <v>125</v>
      </c>
      <c r="G414" s="1">
        <v>1001</v>
      </c>
      <c r="H414" s="1">
        <v>141</v>
      </c>
      <c r="I414" s="1">
        <v>629</v>
      </c>
      <c r="J414" s="1">
        <v>619</v>
      </c>
      <c r="K414" s="1">
        <v>490</v>
      </c>
      <c r="L414" s="1">
        <v>405</v>
      </c>
      <c r="M414" s="1">
        <v>74.8</v>
      </c>
      <c r="N414" s="1">
        <v>41.976762899999997</v>
      </c>
      <c r="O414" s="1">
        <v>-72.778984199999996</v>
      </c>
      <c r="P414" s="14">
        <f t="shared" si="48"/>
        <v>38.200000000000003</v>
      </c>
      <c r="Q414" s="13">
        <f>((667 - F414) / 666) * 100</f>
        <v>81.381381381381374</v>
      </c>
      <c r="R414" s="16">
        <f t="shared" si="49"/>
        <v>0</v>
      </c>
      <c r="S414" s="14">
        <f t="shared" si="50"/>
        <v>53.795379537953792</v>
      </c>
      <c r="T414" s="13">
        <f t="shared" si="51"/>
        <v>37.200000000000003</v>
      </c>
      <c r="U414" s="14">
        <f t="shared" si="52"/>
        <v>51.1</v>
      </c>
      <c r="V414" s="14">
        <f t="shared" si="53"/>
        <v>59.599999999999994</v>
      </c>
      <c r="W414" s="1">
        <f t="shared" si="54"/>
        <v>58.8</v>
      </c>
      <c r="X414" s="1" t="str">
        <f>IF(Table1[[#This Row],[World Rank]]&lt;=250,"Q1-Elite",IF(Table1[[#This Row],[World Rank]]&lt;=500,"Q2-Strong",IF(Table1[[#This Row],[World Rank]]&lt;=750,"Q3-Developing","Q4-Emerging")))</f>
        <v>Q2-Strong</v>
      </c>
    </row>
    <row r="415" spans="1:24" x14ac:dyDescent="0.2">
      <c r="A415" s="1">
        <v>414</v>
      </c>
      <c r="B415" s="1" t="s">
        <v>471</v>
      </c>
      <c r="C415" s="1" t="s">
        <v>118</v>
      </c>
      <c r="D415" s="1" t="s">
        <v>1124</v>
      </c>
      <c r="E415" s="1">
        <v>9</v>
      </c>
      <c r="F415" s="1">
        <v>667</v>
      </c>
      <c r="G415" s="1">
        <v>1001</v>
      </c>
      <c r="H415" s="1">
        <v>304</v>
      </c>
      <c r="I415" s="1">
        <v>307</v>
      </c>
      <c r="J415" s="1">
        <v>325</v>
      </c>
      <c r="K415" s="1">
        <v>547</v>
      </c>
      <c r="L415" s="1">
        <v>541</v>
      </c>
      <c r="M415" s="1">
        <v>74.8</v>
      </c>
      <c r="N415" s="1">
        <v>39.326068499999998</v>
      </c>
      <c r="O415" s="1">
        <v>-4.8379791000000001</v>
      </c>
      <c r="P415" s="14">
        <f t="shared" si="48"/>
        <v>67.600000000000009</v>
      </c>
      <c r="Q415" s="13">
        <v>20</v>
      </c>
      <c r="R415" s="16">
        <f t="shared" si="49"/>
        <v>0</v>
      </c>
      <c r="S415" s="14">
        <f t="shared" si="50"/>
        <v>0</v>
      </c>
      <c r="T415" s="13">
        <f t="shared" si="51"/>
        <v>69.399999999999991</v>
      </c>
      <c r="U415" s="14">
        <f t="shared" si="52"/>
        <v>45.4</v>
      </c>
      <c r="V415" s="14">
        <f t="shared" si="53"/>
        <v>46</v>
      </c>
      <c r="W415" s="1">
        <f t="shared" si="54"/>
        <v>58.699999999999996</v>
      </c>
      <c r="X415" s="1" t="str">
        <f>IF(Table1[[#This Row],[World Rank]]&lt;=250,"Q1-Elite",IF(Table1[[#This Row],[World Rank]]&lt;=500,"Q2-Strong",IF(Table1[[#This Row],[World Rank]]&lt;=750,"Q3-Developing","Q4-Emerging")))</f>
        <v>Q2-Strong</v>
      </c>
    </row>
    <row r="416" spans="1:24" x14ac:dyDescent="0.2">
      <c r="A416" s="1">
        <v>415</v>
      </c>
      <c r="B416" s="1" t="s">
        <v>472</v>
      </c>
      <c r="C416" s="1" t="s">
        <v>118</v>
      </c>
      <c r="D416" s="1" t="s">
        <v>1124</v>
      </c>
      <c r="E416" s="1">
        <v>10</v>
      </c>
      <c r="F416" s="1">
        <v>158</v>
      </c>
      <c r="G416" s="1">
        <v>600</v>
      </c>
      <c r="H416" s="1">
        <v>304</v>
      </c>
      <c r="I416" s="1">
        <v>349</v>
      </c>
      <c r="J416" s="1">
        <v>359</v>
      </c>
      <c r="K416" s="1">
        <v>620</v>
      </c>
      <c r="L416" s="1">
        <v>405</v>
      </c>
      <c r="M416" s="1">
        <v>74.7</v>
      </c>
      <c r="N416" s="1">
        <v>39.326068499999998</v>
      </c>
      <c r="O416" s="1">
        <v>-4.8379791000000001</v>
      </c>
      <c r="P416" s="14">
        <f t="shared" si="48"/>
        <v>64.2</v>
      </c>
      <c r="Q416" s="13">
        <f>((667 - F416) / 666) * 100</f>
        <v>76.426426426426431</v>
      </c>
      <c r="R416" s="16">
        <f t="shared" si="49"/>
        <v>40.1</v>
      </c>
      <c r="S416" s="14">
        <f t="shared" si="50"/>
        <v>0</v>
      </c>
      <c r="T416" s="13">
        <f t="shared" si="51"/>
        <v>65.2</v>
      </c>
      <c r="U416" s="14">
        <f t="shared" si="52"/>
        <v>38.1</v>
      </c>
      <c r="V416" s="14">
        <f t="shared" si="53"/>
        <v>59.599999999999994</v>
      </c>
      <c r="W416" s="1">
        <f t="shared" si="54"/>
        <v>58.599999999999994</v>
      </c>
      <c r="X416" s="1" t="str">
        <f>IF(Table1[[#This Row],[World Rank]]&lt;=250,"Q1-Elite",IF(Table1[[#This Row],[World Rank]]&lt;=500,"Q2-Strong",IF(Table1[[#This Row],[World Rank]]&lt;=750,"Q3-Developing","Q4-Emerging")))</f>
        <v>Q2-Strong</v>
      </c>
    </row>
    <row r="417" spans="1:24" x14ac:dyDescent="0.2">
      <c r="A417" s="1">
        <v>416</v>
      </c>
      <c r="B417" s="1" t="s">
        <v>473</v>
      </c>
      <c r="C417" s="1" t="s">
        <v>93</v>
      </c>
      <c r="D417" s="1" t="s">
        <v>1124</v>
      </c>
      <c r="E417" s="1">
        <v>16</v>
      </c>
      <c r="F417" s="1">
        <v>667</v>
      </c>
      <c r="G417" s="1">
        <v>1001</v>
      </c>
      <c r="H417" s="1">
        <v>304</v>
      </c>
      <c r="I417" s="1">
        <v>431</v>
      </c>
      <c r="J417" s="1">
        <v>440</v>
      </c>
      <c r="K417" s="1">
        <v>426</v>
      </c>
      <c r="L417" s="1">
        <v>327</v>
      </c>
      <c r="M417" s="1">
        <v>74.7</v>
      </c>
      <c r="N417" s="1">
        <v>42.638426099999997</v>
      </c>
      <c r="O417" s="1">
        <v>12.674296999999999</v>
      </c>
      <c r="P417" s="14">
        <f t="shared" si="48"/>
        <v>56.100000000000009</v>
      </c>
      <c r="Q417" s="13">
        <v>20</v>
      </c>
      <c r="R417" s="16">
        <f t="shared" si="49"/>
        <v>0</v>
      </c>
      <c r="S417" s="14">
        <f t="shared" si="50"/>
        <v>0</v>
      </c>
      <c r="T417" s="13">
        <f t="shared" si="51"/>
        <v>56.999999999999993</v>
      </c>
      <c r="U417" s="14">
        <f t="shared" si="52"/>
        <v>57.499999999999993</v>
      </c>
      <c r="V417" s="14">
        <f t="shared" si="53"/>
        <v>67.400000000000006</v>
      </c>
      <c r="W417" s="1">
        <f t="shared" si="54"/>
        <v>58.5</v>
      </c>
      <c r="X417" s="1" t="str">
        <f>IF(Table1[[#This Row],[World Rank]]&lt;=250,"Q1-Elite",IF(Table1[[#This Row],[World Rank]]&lt;=500,"Q2-Strong",IF(Table1[[#This Row],[World Rank]]&lt;=750,"Q3-Developing","Q4-Emerging")))</f>
        <v>Q2-Strong</v>
      </c>
    </row>
    <row r="418" spans="1:24" x14ac:dyDescent="0.2">
      <c r="A418" s="1">
        <v>417</v>
      </c>
      <c r="B418" s="1" t="s">
        <v>474</v>
      </c>
      <c r="C418" s="1" t="s">
        <v>68</v>
      </c>
      <c r="D418" s="1" t="s">
        <v>1124</v>
      </c>
      <c r="E418" s="1">
        <v>34</v>
      </c>
      <c r="F418" s="1">
        <v>667</v>
      </c>
      <c r="G418" s="1">
        <v>1001</v>
      </c>
      <c r="H418" s="1">
        <v>141</v>
      </c>
      <c r="I418" s="1">
        <v>726</v>
      </c>
      <c r="J418" s="1">
        <v>518</v>
      </c>
      <c r="K418" s="1">
        <v>342</v>
      </c>
      <c r="L418" s="1">
        <v>673</v>
      </c>
      <c r="M418" s="1">
        <v>74.7</v>
      </c>
      <c r="N418" s="1">
        <v>40.420347900000003</v>
      </c>
      <c r="O418" s="1">
        <v>-79.116698299999996</v>
      </c>
      <c r="P418" s="14">
        <f t="shared" si="48"/>
        <v>48.3</v>
      </c>
      <c r="Q418" s="13">
        <v>20</v>
      </c>
      <c r="R418" s="16">
        <f t="shared" si="49"/>
        <v>0</v>
      </c>
      <c r="S418" s="14">
        <f t="shared" si="50"/>
        <v>53.795379537953792</v>
      </c>
      <c r="T418" s="13">
        <f t="shared" si="51"/>
        <v>27.500000000000004</v>
      </c>
      <c r="U418" s="14">
        <f t="shared" si="52"/>
        <v>65.900000000000006</v>
      </c>
      <c r="V418" s="14">
        <f t="shared" si="53"/>
        <v>32.800000000000004</v>
      </c>
      <c r="W418" s="1">
        <f t="shared" si="54"/>
        <v>58.4</v>
      </c>
      <c r="X418" s="1" t="str">
        <f>IF(Table1[[#This Row],[World Rank]]&lt;=250,"Q1-Elite",IF(Table1[[#This Row],[World Rank]]&lt;=500,"Q2-Strong",IF(Table1[[#This Row],[World Rank]]&lt;=750,"Q3-Developing","Q4-Emerging")))</f>
        <v>Q2-Strong</v>
      </c>
    </row>
    <row r="419" spans="1:24" x14ac:dyDescent="0.2">
      <c r="A419" s="1">
        <v>418</v>
      </c>
      <c r="B419" s="1" t="s">
        <v>475</v>
      </c>
      <c r="C419" s="1" t="s">
        <v>126</v>
      </c>
      <c r="D419" s="1" t="s">
        <v>1124</v>
      </c>
      <c r="E419" s="1">
        <v>5</v>
      </c>
      <c r="F419" s="1">
        <v>667</v>
      </c>
      <c r="G419" s="1">
        <v>1001</v>
      </c>
      <c r="H419" s="1">
        <v>304</v>
      </c>
      <c r="I419" s="1">
        <v>440</v>
      </c>
      <c r="J419" s="1">
        <v>383</v>
      </c>
      <c r="K419" s="1">
        <v>332</v>
      </c>
      <c r="L419" s="1">
        <v>541</v>
      </c>
      <c r="M419" s="1">
        <v>74.7</v>
      </c>
      <c r="N419" s="1">
        <v>63.246777700000003</v>
      </c>
      <c r="O419" s="1">
        <v>25.920916399999999</v>
      </c>
      <c r="P419" s="14">
        <f t="shared" si="48"/>
        <v>61.8</v>
      </c>
      <c r="Q419" s="13">
        <v>20</v>
      </c>
      <c r="R419" s="16">
        <f t="shared" si="49"/>
        <v>0</v>
      </c>
      <c r="S419" s="14">
        <f t="shared" si="50"/>
        <v>0</v>
      </c>
      <c r="T419" s="13">
        <f t="shared" si="51"/>
        <v>56.100000000000009</v>
      </c>
      <c r="U419" s="14">
        <f t="shared" si="52"/>
        <v>66.900000000000006</v>
      </c>
      <c r="V419" s="14">
        <f t="shared" si="53"/>
        <v>46</v>
      </c>
      <c r="W419" s="1">
        <f t="shared" si="54"/>
        <v>58.3</v>
      </c>
      <c r="X419" s="1" t="str">
        <f>IF(Table1[[#This Row],[World Rank]]&lt;=250,"Q1-Elite",IF(Table1[[#This Row],[World Rank]]&lt;=500,"Q2-Strong",IF(Table1[[#This Row],[World Rank]]&lt;=750,"Q3-Developing","Q4-Emerging")))</f>
        <v>Q2-Strong</v>
      </c>
    </row>
    <row r="420" spans="1:24" x14ac:dyDescent="0.2">
      <c r="A420" s="1">
        <v>419</v>
      </c>
      <c r="B420" s="1" t="s">
        <v>476</v>
      </c>
      <c r="C420" s="1" t="s">
        <v>48</v>
      </c>
      <c r="D420" s="1" t="s">
        <v>1124</v>
      </c>
      <c r="E420" s="1">
        <v>19</v>
      </c>
      <c r="F420" s="1">
        <v>230</v>
      </c>
      <c r="G420" s="1">
        <v>1001</v>
      </c>
      <c r="H420" s="1">
        <v>273</v>
      </c>
      <c r="I420" s="1">
        <v>646</v>
      </c>
      <c r="J420" s="1">
        <v>461</v>
      </c>
      <c r="K420" s="1">
        <v>230</v>
      </c>
      <c r="L420" s="1">
        <v>673</v>
      </c>
      <c r="M420" s="1">
        <v>74.7</v>
      </c>
      <c r="N420" s="1">
        <v>46.603354000000003</v>
      </c>
      <c r="O420" s="1">
        <v>1.8883335000000001</v>
      </c>
      <c r="P420" s="14">
        <f t="shared" si="48"/>
        <v>54</v>
      </c>
      <c r="Q420" s="13">
        <f>((667 - F420) / 666) * 100</f>
        <v>65.615615615615624</v>
      </c>
      <c r="R420" s="16">
        <f t="shared" si="49"/>
        <v>0</v>
      </c>
      <c r="S420" s="14">
        <f t="shared" si="50"/>
        <v>10.231023102310232</v>
      </c>
      <c r="T420" s="13">
        <f t="shared" si="51"/>
        <v>35.5</v>
      </c>
      <c r="U420" s="14">
        <f t="shared" si="52"/>
        <v>77.100000000000009</v>
      </c>
      <c r="V420" s="14">
        <f t="shared" si="53"/>
        <v>32.800000000000004</v>
      </c>
      <c r="W420" s="1">
        <f t="shared" si="54"/>
        <v>58.199999999999996</v>
      </c>
      <c r="X420" s="1" t="str">
        <f>IF(Table1[[#This Row],[World Rank]]&lt;=250,"Q1-Elite",IF(Table1[[#This Row],[World Rank]]&lt;=500,"Q2-Strong",IF(Table1[[#This Row],[World Rank]]&lt;=750,"Q3-Developing","Q4-Emerging")))</f>
        <v>Q2-Strong</v>
      </c>
    </row>
    <row r="421" spans="1:24" x14ac:dyDescent="0.2">
      <c r="A421" s="1">
        <v>420</v>
      </c>
      <c r="B421" s="1" t="s">
        <v>477</v>
      </c>
      <c r="C421" s="1" t="s">
        <v>478</v>
      </c>
      <c r="D421" s="1" t="s">
        <v>1125</v>
      </c>
      <c r="E421" s="1">
        <v>1</v>
      </c>
      <c r="F421" s="1">
        <v>667</v>
      </c>
      <c r="G421" s="1">
        <v>573</v>
      </c>
      <c r="H421" s="1">
        <v>304</v>
      </c>
      <c r="I421" s="1">
        <v>342</v>
      </c>
      <c r="J421" s="1">
        <v>336</v>
      </c>
      <c r="K421" s="1">
        <v>718</v>
      </c>
      <c r="L421" s="1">
        <v>405</v>
      </c>
      <c r="M421" s="1">
        <v>74.7</v>
      </c>
      <c r="N421" s="1">
        <v>22.351114800000001</v>
      </c>
      <c r="O421" s="1">
        <v>78.667742799999999</v>
      </c>
      <c r="P421" s="14">
        <f t="shared" si="48"/>
        <v>66.5</v>
      </c>
      <c r="Q421" s="13">
        <v>20</v>
      </c>
      <c r="R421" s="16">
        <f t="shared" si="49"/>
        <v>42.8</v>
      </c>
      <c r="S421" s="14">
        <f t="shared" si="50"/>
        <v>0</v>
      </c>
      <c r="T421" s="13">
        <f t="shared" si="51"/>
        <v>65.900000000000006</v>
      </c>
      <c r="U421" s="14">
        <f t="shared" si="52"/>
        <v>28.299999999999997</v>
      </c>
      <c r="V421" s="14">
        <f t="shared" si="53"/>
        <v>59.599999999999994</v>
      </c>
      <c r="W421" s="1">
        <f t="shared" si="54"/>
        <v>58.099999999999994</v>
      </c>
      <c r="X421" s="1" t="str">
        <f>IF(Table1[[#This Row],[World Rank]]&lt;=250,"Q1-Elite",IF(Table1[[#This Row],[World Rank]]&lt;=500,"Q2-Strong",IF(Table1[[#This Row],[World Rank]]&lt;=750,"Q3-Developing","Q4-Emerging")))</f>
        <v>Q2-Strong</v>
      </c>
    </row>
    <row r="422" spans="1:24" x14ac:dyDescent="0.2">
      <c r="A422" s="1">
        <v>421</v>
      </c>
      <c r="B422" s="1" t="s">
        <v>479</v>
      </c>
      <c r="C422" s="1" t="s">
        <v>373</v>
      </c>
      <c r="D422" s="1" t="s">
        <v>1125</v>
      </c>
      <c r="E422" s="1">
        <v>2</v>
      </c>
      <c r="F422" s="1">
        <v>667</v>
      </c>
      <c r="G422" s="1">
        <v>442</v>
      </c>
      <c r="H422" s="1">
        <v>304</v>
      </c>
      <c r="I422" s="1">
        <v>191</v>
      </c>
      <c r="J422" s="1">
        <v>435</v>
      </c>
      <c r="K422" s="1">
        <v>452</v>
      </c>
      <c r="L422" s="1">
        <v>898</v>
      </c>
      <c r="M422" s="1">
        <v>74.7</v>
      </c>
      <c r="N422" s="1">
        <v>25.624261799999999</v>
      </c>
      <c r="O422" s="1">
        <v>42.352832800000002</v>
      </c>
      <c r="P422" s="14">
        <f t="shared" si="48"/>
        <v>56.599999999999994</v>
      </c>
      <c r="Q422" s="13">
        <v>20</v>
      </c>
      <c r="R422" s="16">
        <f t="shared" si="49"/>
        <v>55.900000000000006</v>
      </c>
      <c r="S422" s="14">
        <f t="shared" si="50"/>
        <v>0</v>
      </c>
      <c r="T422" s="13">
        <f t="shared" si="51"/>
        <v>81</v>
      </c>
      <c r="U422" s="14">
        <f t="shared" si="52"/>
        <v>54.900000000000006</v>
      </c>
      <c r="V422" s="14">
        <f t="shared" si="53"/>
        <v>10.299999999999999</v>
      </c>
      <c r="W422" s="1">
        <f t="shared" si="54"/>
        <v>57.999999999999993</v>
      </c>
      <c r="X422" s="1" t="str">
        <f>IF(Table1[[#This Row],[World Rank]]&lt;=250,"Q1-Elite",IF(Table1[[#This Row],[World Rank]]&lt;=500,"Q2-Strong",IF(Table1[[#This Row],[World Rank]]&lt;=750,"Q3-Developing","Q4-Emerging")))</f>
        <v>Q2-Strong</v>
      </c>
    </row>
    <row r="423" spans="1:24" x14ac:dyDescent="0.2">
      <c r="A423" s="1">
        <v>422</v>
      </c>
      <c r="B423" s="1" t="s">
        <v>480</v>
      </c>
      <c r="C423" s="1" t="s">
        <v>93</v>
      </c>
      <c r="D423" s="1" t="s">
        <v>1124</v>
      </c>
      <c r="E423" s="1">
        <v>17</v>
      </c>
      <c r="F423" s="1">
        <v>269</v>
      </c>
      <c r="G423" s="1">
        <v>1001</v>
      </c>
      <c r="H423" s="1">
        <v>74</v>
      </c>
      <c r="I423" s="1">
        <v>919</v>
      </c>
      <c r="J423" s="1">
        <v>663</v>
      </c>
      <c r="K423" s="1">
        <v>551</v>
      </c>
      <c r="L423" s="1">
        <v>541</v>
      </c>
      <c r="M423" s="1">
        <v>74.7</v>
      </c>
      <c r="N423" s="1">
        <v>42.638426099999997</v>
      </c>
      <c r="O423" s="1">
        <v>12.674296999999999</v>
      </c>
      <c r="P423" s="14">
        <f t="shared" si="48"/>
        <v>33.800000000000004</v>
      </c>
      <c r="Q423" s="13">
        <f>((667 - F423) / 666) * 100</f>
        <v>59.75975975975976</v>
      </c>
      <c r="R423" s="16">
        <f t="shared" si="49"/>
        <v>0</v>
      </c>
      <c r="S423" s="14">
        <f t="shared" si="50"/>
        <v>75.907590759075902</v>
      </c>
      <c r="T423" s="13">
        <f t="shared" si="51"/>
        <v>8.2000000000000011</v>
      </c>
      <c r="U423" s="14">
        <f t="shared" si="52"/>
        <v>45</v>
      </c>
      <c r="V423" s="14">
        <f t="shared" si="53"/>
        <v>46</v>
      </c>
      <c r="W423" s="1">
        <f t="shared" si="54"/>
        <v>57.9</v>
      </c>
      <c r="X423" s="1" t="str">
        <f>IF(Table1[[#This Row],[World Rank]]&lt;=250,"Q1-Elite",IF(Table1[[#This Row],[World Rank]]&lt;=500,"Q2-Strong",IF(Table1[[#This Row],[World Rank]]&lt;=750,"Q3-Developing","Q4-Emerging")))</f>
        <v>Q2-Strong</v>
      </c>
    </row>
    <row r="424" spans="1:24" x14ac:dyDescent="0.2">
      <c r="A424" s="1">
        <v>423</v>
      </c>
      <c r="B424" s="1" t="s">
        <v>481</v>
      </c>
      <c r="C424" s="1" t="s">
        <v>68</v>
      </c>
      <c r="D424" s="1" t="s">
        <v>1124</v>
      </c>
      <c r="E424" s="1">
        <v>35</v>
      </c>
      <c r="F424" s="1">
        <v>667</v>
      </c>
      <c r="G424" s="1">
        <v>1001</v>
      </c>
      <c r="H424" s="1">
        <v>304</v>
      </c>
      <c r="I424" s="1">
        <v>514</v>
      </c>
      <c r="J424" s="1">
        <v>472</v>
      </c>
      <c r="K424" s="1">
        <v>287</v>
      </c>
      <c r="L424" s="1">
        <v>405</v>
      </c>
      <c r="M424" s="1">
        <v>74.599999999999994</v>
      </c>
      <c r="N424" s="1">
        <v>40.420347900000003</v>
      </c>
      <c r="O424" s="1">
        <v>-79.116698299999996</v>
      </c>
      <c r="P424" s="14">
        <f t="shared" si="48"/>
        <v>52.900000000000006</v>
      </c>
      <c r="Q424" s="13">
        <v>20</v>
      </c>
      <c r="R424" s="16">
        <f t="shared" si="49"/>
        <v>0</v>
      </c>
      <c r="S424" s="14">
        <f t="shared" si="50"/>
        <v>0</v>
      </c>
      <c r="T424" s="13">
        <f t="shared" si="51"/>
        <v>48.699999999999996</v>
      </c>
      <c r="U424" s="14">
        <f t="shared" si="52"/>
        <v>71.399999999999991</v>
      </c>
      <c r="V424" s="14">
        <f t="shared" si="53"/>
        <v>59.599999999999994</v>
      </c>
      <c r="W424" s="1">
        <f t="shared" si="54"/>
        <v>57.8</v>
      </c>
      <c r="X424" s="1" t="str">
        <f>IF(Table1[[#This Row],[World Rank]]&lt;=250,"Q1-Elite",IF(Table1[[#This Row],[World Rank]]&lt;=500,"Q2-Strong",IF(Table1[[#This Row],[World Rank]]&lt;=750,"Q3-Developing","Q4-Emerging")))</f>
        <v>Q2-Strong</v>
      </c>
    </row>
    <row r="425" spans="1:24" x14ac:dyDescent="0.2">
      <c r="A425" s="1">
        <v>424</v>
      </c>
      <c r="B425" s="1" t="s">
        <v>482</v>
      </c>
      <c r="C425" s="1" t="s">
        <v>19</v>
      </c>
      <c r="D425" s="1" t="s">
        <v>1124</v>
      </c>
      <c r="E425" s="1">
        <v>35</v>
      </c>
      <c r="F425" s="1">
        <v>667</v>
      </c>
      <c r="G425" s="1">
        <v>361</v>
      </c>
      <c r="H425" s="1">
        <v>304</v>
      </c>
      <c r="I425" s="1">
        <v>466</v>
      </c>
      <c r="J425" s="1">
        <v>424</v>
      </c>
      <c r="K425" s="1">
        <v>523</v>
      </c>
      <c r="L425" s="1">
        <v>304</v>
      </c>
      <c r="M425" s="1">
        <v>74.599999999999994</v>
      </c>
      <c r="N425" s="1">
        <v>54.702354499999998</v>
      </c>
      <c r="O425" s="1">
        <v>-3.2765753000000002</v>
      </c>
      <c r="P425" s="14">
        <f t="shared" si="48"/>
        <v>57.699999999999996</v>
      </c>
      <c r="Q425" s="13">
        <v>20</v>
      </c>
      <c r="R425" s="16">
        <f t="shared" si="49"/>
        <v>64</v>
      </c>
      <c r="S425" s="14">
        <f t="shared" si="50"/>
        <v>0</v>
      </c>
      <c r="T425" s="13">
        <f t="shared" si="51"/>
        <v>53.5</v>
      </c>
      <c r="U425" s="14">
        <f t="shared" si="52"/>
        <v>47.8</v>
      </c>
      <c r="V425" s="14">
        <f t="shared" si="53"/>
        <v>69.699999999999989</v>
      </c>
      <c r="W425" s="1">
        <f t="shared" si="54"/>
        <v>57.699999999999996</v>
      </c>
      <c r="X425" s="1" t="str">
        <f>IF(Table1[[#This Row],[World Rank]]&lt;=250,"Q1-Elite",IF(Table1[[#This Row],[World Rank]]&lt;=500,"Q2-Strong",IF(Table1[[#This Row],[World Rank]]&lt;=750,"Q3-Developing","Q4-Emerging")))</f>
        <v>Q2-Strong</v>
      </c>
    </row>
    <row r="426" spans="1:24" x14ac:dyDescent="0.2">
      <c r="A426" s="1">
        <v>425</v>
      </c>
      <c r="B426" s="1" t="s">
        <v>483</v>
      </c>
      <c r="C426" s="1" t="s">
        <v>81</v>
      </c>
      <c r="D426" s="1" t="s">
        <v>1121</v>
      </c>
      <c r="E426" s="1">
        <v>17</v>
      </c>
      <c r="F426" s="1">
        <v>667</v>
      </c>
      <c r="G426" s="1">
        <v>1001</v>
      </c>
      <c r="H426" s="1">
        <v>304</v>
      </c>
      <c r="I426" s="1">
        <v>399</v>
      </c>
      <c r="J426" s="1">
        <v>367</v>
      </c>
      <c r="K426" s="1">
        <v>402</v>
      </c>
      <c r="L426" s="1">
        <v>541</v>
      </c>
      <c r="M426" s="1">
        <v>74.599999999999994</v>
      </c>
      <c r="N426" s="1">
        <v>-24.776108600000001</v>
      </c>
      <c r="O426" s="1">
        <v>134.755</v>
      </c>
      <c r="P426" s="14">
        <f t="shared" si="48"/>
        <v>63.4</v>
      </c>
      <c r="Q426" s="13">
        <v>20</v>
      </c>
      <c r="R426" s="16">
        <f t="shared" si="49"/>
        <v>0</v>
      </c>
      <c r="S426" s="14">
        <f t="shared" si="50"/>
        <v>0</v>
      </c>
      <c r="T426" s="13">
        <f t="shared" si="51"/>
        <v>60.199999999999996</v>
      </c>
      <c r="U426" s="14">
        <f t="shared" si="52"/>
        <v>59.9</v>
      </c>
      <c r="V426" s="14">
        <f t="shared" si="53"/>
        <v>46</v>
      </c>
      <c r="W426" s="1">
        <f t="shared" si="54"/>
        <v>57.599999999999994</v>
      </c>
      <c r="X426" s="1" t="str">
        <f>IF(Table1[[#This Row],[World Rank]]&lt;=250,"Q1-Elite",IF(Table1[[#This Row],[World Rank]]&lt;=500,"Q2-Strong",IF(Table1[[#This Row],[World Rank]]&lt;=750,"Q3-Developing","Q4-Emerging")))</f>
        <v>Q2-Strong</v>
      </c>
    </row>
    <row r="427" spans="1:24" x14ac:dyDescent="0.2">
      <c r="A427" s="1">
        <v>426</v>
      </c>
      <c r="B427" s="1" t="s">
        <v>484</v>
      </c>
      <c r="C427" s="1" t="s">
        <v>118</v>
      </c>
      <c r="D427" s="1" t="s">
        <v>1124</v>
      </c>
      <c r="E427" s="1">
        <v>11</v>
      </c>
      <c r="F427" s="1">
        <v>667</v>
      </c>
      <c r="G427" s="1">
        <v>933</v>
      </c>
      <c r="H427" s="1">
        <v>304</v>
      </c>
      <c r="I427" s="1">
        <v>401</v>
      </c>
      <c r="J427" s="1">
        <v>411</v>
      </c>
      <c r="K427" s="1">
        <v>567</v>
      </c>
      <c r="L427" s="1">
        <v>327</v>
      </c>
      <c r="M427" s="1">
        <v>74.599999999999994</v>
      </c>
      <c r="N427" s="1">
        <v>39.326068499999998</v>
      </c>
      <c r="O427" s="1">
        <v>-4.8379791000000001</v>
      </c>
      <c r="P427" s="14">
        <f t="shared" si="48"/>
        <v>59</v>
      </c>
      <c r="Q427" s="13">
        <v>20</v>
      </c>
      <c r="R427" s="16">
        <f t="shared" si="49"/>
        <v>6.8000000000000007</v>
      </c>
      <c r="S427" s="14">
        <f t="shared" si="50"/>
        <v>0</v>
      </c>
      <c r="T427" s="13">
        <f t="shared" si="51"/>
        <v>60</v>
      </c>
      <c r="U427" s="14">
        <f t="shared" si="52"/>
        <v>43.4</v>
      </c>
      <c r="V427" s="14">
        <f t="shared" si="53"/>
        <v>67.400000000000006</v>
      </c>
      <c r="W427" s="1">
        <f t="shared" si="54"/>
        <v>57.499999999999993</v>
      </c>
      <c r="X427" s="1" t="str">
        <f>IF(Table1[[#This Row],[World Rank]]&lt;=250,"Q1-Elite",IF(Table1[[#This Row],[World Rank]]&lt;=500,"Q2-Strong",IF(Table1[[#This Row],[World Rank]]&lt;=750,"Q3-Developing","Q4-Emerging")))</f>
        <v>Q2-Strong</v>
      </c>
    </row>
    <row r="428" spans="1:24" x14ac:dyDescent="0.2">
      <c r="A428" s="1">
        <v>427</v>
      </c>
      <c r="B428" s="1" t="s">
        <v>485</v>
      </c>
      <c r="C428" s="1" t="s">
        <v>145</v>
      </c>
      <c r="D428" s="1" t="s">
        <v>1125</v>
      </c>
      <c r="E428" s="1">
        <v>4</v>
      </c>
      <c r="F428" s="1">
        <v>667</v>
      </c>
      <c r="G428" s="1">
        <v>340</v>
      </c>
      <c r="H428" s="1">
        <v>304</v>
      </c>
      <c r="I428" s="1">
        <v>310</v>
      </c>
      <c r="J428" s="1">
        <v>290</v>
      </c>
      <c r="K428" s="1">
        <v>715</v>
      </c>
      <c r="L428" s="1">
        <v>673</v>
      </c>
      <c r="M428" s="1">
        <v>74.599999999999994</v>
      </c>
      <c r="N428" s="1">
        <v>23.598322700000001</v>
      </c>
      <c r="O428" s="2" t="s">
        <v>146</v>
      </c>
      <c r="P428" s="14">
        <f t="shared" si="48"/>
        <v>71.099999999999994</v>
      </c>
      <c r="Q428" s="13">
        <v>20</v>
      </c>
      <c r="R428" s="16">
        <f t="shared" si="49"/>
        <v>66.100000000000009</v>
      </c>
      <c r="S428" s="14">
        <f t="shared" si="50"/>
        <v>0</v>
      </c>
      <c r="T428" s="13">
        <f t="shared" si="51"/>
        <v>69.099999999999994</v>
      </c>
      <c r="U428" s="14">
        <f t="shared" si="52"/>
        <v>28.599999999999998</v>
      </c>
      <c r="V428" s="14">
        <f t="shared" si="53"/>
        <v>32.800000000000004</v>
      </c>
      <c r="W428" s="1">
        <f t="shared" si="54"/>
        <v>57.4</v>
      </c>
      <c r="X428" s="1" t="str">
        <f>IF(Table1[[#This Row],[World Rank]]&lt;=250,"Q1-Elite",IF(Table1[[#This Row],[World Rank]]&lt;=500,"Q2-Strong",IF(Table1[[#This Row],[World Rank]]&lt;=750,"Q3-Developing","Q4-Emerging")))</f>
        <v>Q2-Strong</v>
      </c>
    </row>
    <row r="429" spans="1:24" x14ac:dyDescent="0.2">
      <c r="A429" s="1">
        <v>428</v>
      </c>
      <c r="B429" s="1" t="s">
        <v>486</v>
      </c>
      <c r="C429" s="1" t="s">
        <v>15</v>
      </c>
      <c r="D429" s="1" t="s">
        <v>1120</v>
      </c>
      <c r="E429" s="1">
        <v>122</v>
      </c>
      <c r="F429" s="1">
        <v>476</v>
      </c>
      <c r="G429" s="1">
        <v>1001</v>
      </c>
      <c r="H429" s="1">
        <v>304</v>
      </c>
      <c r="I429" s="1">
        <v>592</v>
      </c>
      <c r="J429" s="1">
        <v>431</v>
      </c>
      <c r="K429" s="1">
        <v>298</v>
      </c>
      <c r="L429" s="1">
        <v>405</v>
      </c>
      <c r="M429" s="1">
        <v>74.599999999999994</v>
      </c>
      <c r="N429" s="1">
        <v>39.783730400000003</v>
      </c>
      <c r="O429" s="1">
        <v>-100.445882</v>
      </c>
      <c r="P429" s="14">
        <f t="shared" si="48"/>
        <v>56.999999999999993</v>
      </c>
      <c r="Q429" s="13">
        <f>((667 - F429) / 666) * 100</f>
        <v>28.678678678678676</v>
      </c>
      <c r="R429" s="16">
        <f t="shared" si="49"/>
        <v>0</v>
      </c>
      <c r="S429" s="14">
        <f t="shared" si="50"/>
        <v>0</v>
      </c>
      <c r="T429" s="13">
        <f t="shared" si="51"/>
        <v>40.9</v>
      </c>
      <c r="U429" s="14">
        <f t="shared" si="52"/>
        <v>70.3</v>
      </c>
      <c r="V429" s="14">
        <f t="shared" si="53"/>
        <v>59.599999999999994</v>
      </c>
      <c r="W429" s="1">
        <f t="shared" si="54"/>
        <v>57.3</v>
      </c>
      <c r="X429" s="1" t="str">
        <f>IF(Table1[[#This Row],[World Rank]]&lt;=250,"Q1-Elite",IF(Table1[[#This Row],[World Rank]]&lt;=500,"Q2-Strong",IF(Table1[[#This Row],[World Rank]]&lt;=750,"Q3-Developing","Q4-Emerging")))</f>
        <v>Q2-Strong</v>
      </c>
    </row>
    <row r="430" spans="1:24" x14ac:dyDescent="0.2">
      <c r="A430" s="1">
        <v>429</v>
      </c>
      <c r="B430" s="1" t="s">
        <v>487</v>
      </c>
      <c r="C430" s="1" t="s">
        <v>15</v>
      </c>
      <c r="D430" s="1" t="s">
        <v>1120</v>
      </c>
      <c r="E430" s="1">
        <v>123</v>
      </c>
      <c r="F430" s="1">
        <v>576</v>
      </c>
      <c r="G430" s="1">
        <v>295</v>
      </c>
      <c r="H430" s="1">
        <v>304</v>
      </c>
      <c r="I430" s="1">
        <v>494</v>
      </c>
      <c r="J430" s="1">
        <v>405</v>
      </c>
      <c r="K430" s="1">
        <v>333</v>
      </c>
      <c r="L430" s="1">
        <v>541</v>
      </c>
      <c r="M430" s="1">
        <v>74.599999999999994</v>
      </c>
      <c r="N430" s="1">
        <v>39.783730400000003</v>
      </c>
      <c r="O430" s="1">
        <v>-100.445882</v>
      </c>
      <c r="P430" s="14">
        <f t="shared" si="48"/>
        <v>59.599999999999994</v>
      </c>
      <c r="Q430" s="13">
        <v>20</v>
      </c>
      <c r="R430" s="16">
        <f t="shared" si="49"/>
        <v>70.599999999999994</v>
      </c>
      <c r="S430" s="14">
        <f t="shared" si="50"/>
        <v>0</v>
      </c>
      <c r="T430" s="13">
        <f t="shared" si="51"/>
        <v>50.7</v>
      </c>
      <c r="U430" s="14">
        <f t="shared" si="52"/>
        <v>66.8</v>
      </c>
      <c r="V430" s="14">
        <f t="shared" si="53"/>
        <v>46</v>
      </c>
      <c r="W430" s="1">
        <f t="shared" si="54"/>
        <v>57.199999999999996</v>
      </c>
      <c r="X430" s="1" t="str">
        <f>IF(Table1[[#This Row],[World Rank]]&lt;=250,"Q1-Elite",IF(Table1[[#This Row],[World Rank]]&lt;=500,"Q2-Strong",IF(Table1[[#This Row],[World Rank]]&lt;=750,"Q3-Developing","Q4-Emerging")))</f>
        <v>Q2-Strong</v>
      </c>
    </row>
    <row r="431" spans="1:24" x14ac:dyDescent="0.2">
      <c r="A431" s="1">
        <v>430</v>
      </c>
      <c r="B431" s="1" t="s">
        <v>488</v>
      </c>
      <c r="C431" s="1" t="s">
        <v>15</v>
      </c>
      <c r="D431" s="1" t="s">
        <v>1120</v>
      </c>
      <c r="E431" s="1">
        <v>124</v>
      </c>
      <c r="F431" s="1">
        <v>139</v>
      </c>
      <c r="G431" s="1">
        <v>153</v>
      </c>
      <c r="H431" s="1">
        <v>304</v>
      </c>
      <c r="I431" s="1">
        <v>664</v>
      </c>
      <c r="J431" s="1">
        <v>504</v>
      </c>
      <c r="K431" s="1">
        <v>430</v>
      </c>
      <c r="L431" s="1">
        <v>254</v>
      </c>
      <c r="M431" s="1">
        <v>74.599999999999994</v>
      </c>
      <c r="N431" s="1">
        <v>39.783730400000003</v>
      </c>
      <c r="O431" s="1">
        <v>-100.445882</v>
      </c>
      <c r="P431" s="14">
        <f t="shared" si="48"/>
        <v>49.7</v>
      </c>
      <c r="Q431" s="13">
        <f>((667 - F431) / 666) * 100</f>
        <v>79.27927927927928</v>
      </c>
      <c r="R431" s="16">
        <f t="shared" si="49"/>
        <v>84.8</v>
      </c>
      <c r="S431" s="14">
        <f t="shared" si="50"/>
        <v>0</v>
      </c>
      <c r="T431" s="13">
        <f t="shared" si="51"/>
        <v>33.700000000000003</v>
      </c>
      <c r="U431" s="14">
        <f t="shared" si="52"/>
        <v>57.099999999999994</v>
      </c>
      <c r="V431" s="14">
        <f t="shared" si="53"/>
        <v>74.7</v>
      </c>
      <c r="W431" s="1">
        <f t="shared" si="54"/>
        <v>57.099999999999994</v>
      </c>
      <c r="X431" s="1" t="str">
        <f>IF(Table1[[#This Row],[World Rank]]&lt;=250,"Q1-Elite",IF(Table1[[#This Row],[World Rank]]&lt;=500,"Q2-Strong",IF(Table1[[#This Row],[World Rank]]&lt;=750,"Q3-Developing","Q4-Emerging")))</f>
        <v>Q2-Strong</v>
      </c>
    </row>
    <row r="432" spans="1:24" x14ac:dyDescent="0.2">
      <c r="A432" s="1">
        <v>431</v>
      </c>
      <c r="B432" s="1" t="s">
        <v>489</v>
      </c>
      <c r="C432" s="1" t="s">
        <v>93</v>
      </c>
      <c r="D432" s="1" t="s">
        <v>1124</v>
      </c>
      <c r="E432" s="1">
        <v>18</v>
      </c>
      <c r="F432" s="1">
        <v>667</v>
      </c>
      <c r="G432" s="1">
        <v>1001</v>
      </c>
      <c r="H432" s="1">
        <v>304</v>
      </c>
      <c r="I432" s="1">
        <v>418</v>
      </c>
      <c r="J432" s="1">
        <v>414</v>
      </c>
      <c r="K432" s="1">
        <v>346</v>
      </c>
      <c r="L432" s="1">
        <v>541</v>
      </c>
      <c r="M432" s="1">
        <v>74.5</v>
      </c>
      <c r="N432" s="1">
        <v>42.638426099999997</v>
      </c>
      <c r="O432" s="1">
        <v>12.674296999999999</v>
      </c>
      <c r="P432" s="14">
        <f t="shared" si="48"/>
        <v>58.699999999999996</v>
      </c>
      <c r="Q432" s="13">
        <v>20</v>
      </c>
      <c r="R432" s="16">
        <f t="shared" si="49"/>
        <v>0</v>
      </c>
      <c r="S432" s="14">
        <f t="shared" si="50"/>
        <v>0</v>
      </c>
      <c r="T432" s="13">
        <f t="shared" si="51"/>
        <v>58.3</v>
      </c>
      <c r="U432" s="14">
        <f t="shared" si="52"/>
        <v>65.5</v>
      </c>
      <c r="V432" s="14">
        <f t="shared" si="53"/>
        <v>46</v>
      </c>
      <c r="W432" s="1">
        <f t="shared" si="54"/>
        <v>56.999999999999993</v>
      </c>
      <c r="X432" s="1" t="str">
        <f>IF(Table1[[#This Row],[World Rank]]&lt;=250,"Q1-Elite",IF(Table1[[#This Row],[World Rank]]&lt;=500,"Q2-Strong",IF(Table1[[#This Row],[World Rank]]&lt;=750,"Q3-Developing","Q4-Emerging")))</f>
        <v>Q2-Strong</v>
      </c>
    </row>
    <row r="433" spans="1:24" x14ac:dyDescent="0.2">
      <c r="A433" s="1">
        <v>432</v>
      </c>
      <c r="B433" s="1" t="s">
        <v>490</v>
      </c>
      <c r="C433" s="1" t="s">
        <v>85</v>
      </c>
      <c r="D433" s="1" t="s">
        <v>1125</v>
      </c>
      <c r="E433" s="1">
        <v>12</v>
      </c>
      <c r="F433" s="1">
        <v>667</v>
      </c>
      <c r="G433" s="1">
        <v>1001</v>
      </c>
      <c r="H433" s="1">
        <v>304</v>
      </c>
      <c r="I433" s="1">
        <v>317</v>
      </c>
      <c r="J433" s="1">
        <v>403</v>
      </c>
      <c r="K433" s="1">
        <v>619</v>
      </c>
      <c r="L433" s="1">
        <v>405</v>
      </c>
      <c r="M433" s="1">
        <v>74.5</v>
      </c>
      <c r="N433" s="1">
        <v>36.638392000000003</v>
      </c>
      <c r="O433" s="1">
        <v>127.69611879999999</v>
      </c>
      <c r="P433" s="14">
        <f t="shared" si="48"/>
        <v>59.8</v>
      </c>
      <c r="Q433" s="13">
        <v>20</v>
      </c>
      <c r="R433" s="16">
        <f t="shared" si="49"/>
        <v>0</v>
      </c>
      <c r="S433" s="14">
        <f t="shared" si="50"/>
        <v>0</v>
      </c>
      <c r="T433" s="13">
        <f t="shared" si="51"/>
        <v>68.400000000000006</v>
      </c>
      <c r="U433" s="14">
        <f t="shared" si="52"/>
        <v>38.200000000000003</v>
      </c>
      <c r="V433" s="14">
        <f t="shared" si="53"/>
        <v>59.599999999999994</v>
      </c>
      <c r="W433" s="1">
        <f t="shared" si="54"/>
        <v>56.899999999999991</v>
      </c>
      <c r="X433" s="1" t="str">
        <f>IF(Table1[[#This Row],[World Rank]]&lt;=250,"Q1-Elite",IF(Table1[[#This Row],[World Rank]]&lt;=500,"Q2-Strong",IF(Table1[[#This Row],[World Rank]]&lt;=750,"Q3-Developing","Q4-Emerging")))</f>
        <v>Q2-Strong</v>
      </c>
    </row>
    <row r="434" spans="1:24" x14ac:dyDescent="0.2">
      <c r="A434" s="1">
        <v>433</v>
      </c>
      <c r="B434" s="1" t="s">
        <v>491</v>
      </c>
      <c r="C434" s="1" t="s">
        <v>124</v>
      </c>
      <c r="D434" s="1" t="s">
        <v>1125</v>
      </c>
      <c r="E434" s="1">
        <v>29</v>
      </c>
      <c r="F434" s="1">
        <v>667</v>
      </c>
      <c r="G434" s="1">
        <v>1001</v>
      </c>
      <c r="H434" s="1">
        <v>304</v>
      </c>
      <c r="I434" s="1">
        <v>292</v>
      </c>
      <c r="J434" s="1">
        <v>429</v>
      </c>
      <c r="K434" s="1">
        <v>642</v>
      </c>
      <c r="L434" s="1">
        <v>405</v>
      </c>
      <c r="M434" s="1">
        <v>74.5</v>
      </c>
      <c r="N434" s="1">
        <v>30.047992000000001</v>
      </c>
      <c r="O434" s="1">
        <v>-94.335743300000004</v>
      </c>
      <c r="P434" s="14">
        <f t="shared" si="48"/>
        <v>57.199999999999996</v>
      </c>
      <c r="Q434" s="13">
        <v>20</v>
      </c>
      <c r="R434" s="16">
        <f t="shared" si="49"/>
        <v>0</v>
      </c>
      <c r="S434" s="14">
        <f t="shared" si="50"/>
        <v>0</v>
      </c>
      <c r="T434" s="13">
        <f t="shared" si="51"/>
        <v>70.899999999999991</v>
      </c>
      <c r="U434" s="14">
        <f t="shared" si="52"/>
        <v>35.9</v>
      </c>
      <c r="V434" s="14">
        <f t="shared" si="53"/>
        <v>59.599999999999994</v>
      </c>
      <c r="W434" s="1">
        <f t="shared" si="54"/>
        <v>56.8</v>
      </c>
      <c r="X434" s="1" t="str">
        <f>IF(Table1[[#This Row],[World Rank]]&lt;=250,"Q1-Elite",IF(Table1[[#This Row],[World Rank]]&lt;=500,"Q2-Strong",IF(Table1[[#This Row],[World Rank]]&lt;=750,"Q3-Developing","Q4-Emerging")))</f>
        <v>Q2-Strong</v>
      </c>
    </row>
    <row r="435" spans="1:24" x14ac:dyDescent="0.2">
      <c r="A435" s="1">
        <v>434</v>
      </c>
      <c r="B435" s="1" t="s">
        <v>492</v>
      </c>
      <c r="C435" s="1" t="s">
        <v>373</v>
      </c>
      <c r="D435" s="1" t="s">
        <v>1125</v>
      </c>
      <c r="E435" s="1">
        <v>3</v>
      </c>
      <c r="F435" s="1">
        <v>667</v>
      </c>
      <c r="G435" s="1">
        <v>1001</v>
      </c>
      <c r="H435" s="1">
        <v>168</v>
      </c>
      <c r="I435" s="1">
        <v>693</v>
      </c>
      <c r="J435" s="1">
        <v>451</v>
      </c>
      <c r="K435" s="1">
        <v>394</v>
      </c>
      <c r="L435" s="1">
        <v>898</v>
      </c>
      <c r="M435" s="1">
        <v>74.5</v>
      </c>
      <c r="N435" s="1">
        <v>25.624261799999999</v>
      </c>
      <c r="O435" s="1">
        <v>42.352832800000002</v>
      </c>
      <c r="P435" s="14">
        <f t="shared" si="48"/>
        <v>55.000000000000007</v>
      </c>
      <c r="Q435" s="13">
        <v>20</v>
      </c>
      <c r="R435" s="16">
        <f t="shared" si="49"/>
        <v>0</v>
      </c>
      <c r="S435" s="14">
        <f t="shared" si="50"/>
        <v>44.884488448844884</v>
      </c>
      <c r="T435" s="13">
        <f t="shared" si="51"/>
        <v>30.8</v>
      </c>
      <c r="U435" s="14">
        <f t="shared" si="52"/>
        <v>60.699999999999996</v>
      </c>
      <c r="V435" s="14">
        <f t="shared" si="53"/>
        <v>10.299999999999999</v>
      </c>
      <c r="W435" s="1">
        <f t="shared" si="54"/>
        <v>56.699999999999996</v>
      </c>
      <c r="X435" s="1" t="str">
        <f>IF(Table1[[#This Row],[World Rank]]&lt;=250,"Q1-Elite",IF(Table1[[#This Row],[World Rank]]&lt;=500,"Q2-Strong",IF(Table1[[#This Row],[World Rank]]&lt;=750,"Q3-Developing","Q4-Emerging")))</f>
        <v>Q2-Strong</v>
      </c>
    </row>
    <row r="436" spans="1:24" x14ac:dyDescent="0.2">
      <c r="A436" s="1">
        <v>435</v>
      </c>
      <c r="B436" s="1" t="s">
        <v>493</v>
      </c>
      <c r="C436" s="1" t="s">
        <v>15</v>
      </c>
      <c r="D436" s="1" t="s">
        <v>1120</v>
      </c>
      <c r="E436" s="1">
        <v>125</v>
      </c>
      <c r="F436" s="1">
        <v>667</v>
      </c>
      <c r="G436" s="1">
        <v>1001</v>
      </c>
      <c r="H436" s="1">
        <v>304</v>
      </c>
      <c r="I436" s="1">
        <v>607</v>
      </c>
      <c r="J436" s="1">
        <v>455</v>
      </c>
      <c r="K436" s="1">
        <v>413</v>
      </c>
      <c r="L436" s="1">
        <v>240</v>
      </c>
      <c r="M436" s="1">
        <v>74.5</v>
      </c>
      <c r="N436" s="1">
        <v>39.783730400000003</v>
      </c>
      <c r="O436" s="1">
        <v>-100.445882</v>
      </c>
      <c r="P436" s="14">
        <f t="shared" si="48"/>
        <v>54.6</v>
      </c>
      <c r="Q436" s="13">
        <v>20</v>
      </c>
      <c r="R436" s="16">
        <f t="shared" si="49"/>
        <v>0</v>
      </c>
      <c r="S436" s="14">
        <f t="shared" si="50"/>
        <v>0</v>
      </c>
      <c r="T436" s="13">
        <f t="shared" si="51"/>
        <v>39.4</v>
      </c>
      <c r="U436" s="14">
        <f t="shared" si="52"/>
        <v>58.8</v>
      </c>
      <c r="V436" s="14">
        <f t="shared" si="53"/>
        <v>76.099999999999994</v>
      </c>
      <c r="W436" s="1">
        <f t="shared" si="54"/>
        <v>56.599999999999994</v>
      </c>
      <c r="X436" s="1" t="str">
        <f>IF(Table1[[#This Row],[World Rank]]&lt;=250,"Q1-Elite",IF(Table1[[#This Row],[World Rank]]&lt;=500,"Q2-Strong",IF(Table1[[#This Row],[World Rank]]&lt;=750,"Q3-Developing","Q4-Emerging")))</f>
        <v>Q2-Strong</v>
      </c>
    </row>
    <row r="437" spans="1:24" x14ac:dyDescent="0.2">
      <c r="A437" s="1">
        <v>436</v>
      </c>
      <c r="B437" s="1" t="s">
        <v>494</v>
      </c>
      <c r="C437" s="1" t="s">
        <v>48</v>
      </c>
      <c r="D437" s="1" t="s">
        <v>1124</v>
      </c>
      <c r="E437" s="1">
        <v>20</v>
      </c>
      <c r="F437" s="1">
        <v>667</v>
      </c>
      <c r="G437" s="1">
        <v>2</v>
      </c>
      <c r="H437" s="1">
        <v>304</v>
      </c>
      <c r="I437" s="1">
        <v>1001</v>
      </c>
      <c r="J437" s="1">
        <v>1001</v>
      </c>
      <c r="K437" s="1">
        <v>1001</v>
      </c>
      <c r="L437" s="1">
        <v>1001</v>
      </c>
      <c r="M437" s="1">
        <v>74.5</v>
      </c>
      <c r="N437" s="1">
        <v>46.603354000000003</v>
      </c>
      <c r="O437" s="1">
        <v>1.8883335000000001</v>
      </c>
      <c r="P437" s="14">
        <f t="shared" si="48"/>
        <v>0</v>
      </c>
      <c r="Q437" s="13">
        <v>20</v>
      </c>
      <c r="R437" s="16">
        <f t="shared" si="49"/>
        <v>99.9</v>
      </c>
      <c r="S437" s="14">
        <f t="shared" si="50"/>
        <v>0</v>
      </c>
      <c r="T437" s="13">
        <f t="shared" si="51"/>
        <v>0</v>
      </c>
      <c r="U437" s="14">
        <f t="shared" si="52"/>
        <v>0</v>
      </c>
      <c r="V437" s="14">
        <f t="shared" si="53"/>
        <v>0</v>
      </c>
      <c r="W437" s="1">
        <f t="shared" si="54"/>
        <v>56.499999999999993</v>
      </c>
      <c r="X437" s="1" t="str">
        <f>IF(Table1[[#This Row],[World Rank]]&lt;=250,"Q1-Elite",IF(Table1[[#This Row],[World Rank]]&lt;=500,"Q2-Strong",IF(Table1[[#This Row],[World Rank]]&lt;=750,"Q3-Developing","Q4-Emerging")))</f>
        <v>Q2-Strong</v>
      </c>
    </row>
    <row r="438" spans="1:24" x14ac:dyDescent="0.2">
      <c r="A438" s="1">
        <v>437</v>
      </c>
      <c r="B438" s="1" t="s">
        <v>495</v>
      </c>
      <c r="C438" s="1" t="s">
        <v>15</v>
      </c>
      <c r="D438" s="1" t="s">
        <v>1120</v>
      </c>
      <c r="E438" s="1">
        <v>126</v>
      </c>
      <c r="F438" s="1">
        <v>667</v>
      </c>
      <c r="G438" s="1">
        <v>448</v>
      </c>
      <c r="H438" s="1">
        <v>304</v>
      </c>
      <c r="I438" s="1">
        <v>423</v>
      </c>
      <c r="J438" s="1">
        <v>416</v>
      </c>
      <c r="K438" s="1">
        <v>539</v>
      </c>
      <c r="L438" s="1">
        <v>363</v>
      </c>
      <c r="M438" s="1">
        <v>74.5</v>
      </c>
      <c r="N438" s="1">
        <v>39.783730400000003</v>
      </c>
      <c r="O438" s="1">
        <v>-100.445882</v>
      </c>
      <c r="P438" s="14">
        <f t="shared" si="48"/>
        <v>58.5</v>
      </c>
      <c r="Q438" s="13">
        <v>20</v>
      </c>
      <c r="R438" s="16">
        <f t="shared" si="49"/>
        <v>55.300000000000004</v>
      </c>
      <c r="S438" s="14">
        <f t="shared" si="50"/>
        <v>0</v>
      </c>
      <c r="T438" s="13">
        <f t="shared" si="51"/>
        <v>57.8</v>
      </c>
      <c r="U438" s="14">
        <f t="shared" si="52"/>
        <v>46.2</v>
      </c>
      <c r="V438" s="14">
        <f t="shared" si="53"/>
        <v>63.800000000000004</v>
      </c>
      <c r="W438" s="1">
        <f t="shared" si="54"/>
        <v>56.399999999999991</v>
      </c>
      <c r="X438" s="1" t="str">
        <f>IF(Table1[[#This Row],[World Rank]]&lt;=250,"Q1-Elite",IF(Table1[[#This Row],[World Rank]]&lt;=500,"Q2-Strong",IF(Table1[[#This Row],[World Rank]]&lt;=750,"Q3-Developing","Q4-Emerging")))</f>
        <v>Q2-Strong</v>
      </c>
    </row>
    <row r="439" spans="1:24" x14ac:dyDescent="0.2">
      <c r="A439" s="1">
        <v>438</v>
      </c>
      <c r="B439" s="1" t="s">
        <v>496</v>
      </c>
      <c r="C439" s="1" t="s">
        <v>266</v>
      </c>
      <c r="D439" s="1" t="s">
        <v>1122</v>
      </c>
      <c r="E439" s="1">
        <v>4</v>
      </c>
      <c r="F439" s="1">
        <v>667</v>
      </c>
      <c r="G439" s="1">
        <v>686</v>
      </c>
      <c r="H439" s="1">
        <v>246</v>
      </c>
      <c r="I439" s="1">
        <v>416</v>
      </c>
      <c r="J439" s="1">
        <v>555</v>
      </c>
      <c r="K439" s="1">
        <v>600</v>
      </c>
      <c r="L439" s="1">
        <v>460</v>
      </c>
      <c r="M439" s="1">
        <v>74.5</v>
      </c>
      <c r="N439" s="1">
        <v>-28.8166236</v>
      </c>
      <c r="O439" s="1">
        <v>24.991638999999999</v>
      </c>
      <c r="P439" s="14">
        <f t="shared" si="48"/>
        <v>44.6</v>
      </c>
      <c r="Q439" s="13">
        <v>20</v>
      </c>
      <c r="R439" s="16">
        <f t="shared" si="49"/>
        <v>31.5</v>
      </c>
      <c r="S439" s="14">
        <f t="shared" si="50"/>
        <v>19.141914191419144</v>
      </c>
      <c r="T439" s="13">
        <f t="shared" si="51"/>
        <v>58.5</v>
      </c>
      <c r="U439" s="14">
        <f t="shared" si="52"/>
        <v>40.1</v>
      </c>
      <c r="V439" s="14">
        <f t="shared" si="53"/>
        <v>54.1</v>
      </c>
      <c r="W439" s="1">
        <f t="shared" si="54"/>
        <v>56.3</v>
      </c>
      <c r="X439" s="1" t="str">
        <f>IF(Table1[[#This Row],[World Rank]]&lt;=250,"Q1-Elite",IF(Table1[[#This Row],[World Rank]]&lt;=500,"Q2-Strong",IF(Table1[[#This Row],[World Rank]]&lt;=750,"Q3-Developing","Q4-Emerging")))</f>
        <v>Q2-Strong</v>
      </c>
    </row>
    <row r="440" spans="1:24" x14ac:dyDescent="0.2">
      <c r="A440" s="1">
        <v>439</v>
      </c>
      <c r="B440" s="1" t="s">
        <v>497</v>
      </c>
      <c r="C440" s="1" t="s">
        <v>262</v>
      </c>
      <c r="D440" s="1" t="s">
        <v>1124</v>
      </c>
      <c r="E440" s="1">
        <v>4</v>
      </c>
      <c r="F440" s="1">
        <v>667</v>
      </c>
      <c r="G440" s="1">
        <v>1001</v>
      </c>
      <c r="H440" s="1">
        <v>207</v>
      </c>
      <c r="I440" s="1">
        <v>481</v>
      </c>
      <c r="J440" s="1">
        <v>482</v>
      </c>
      <c r="K440" s="1">
        <v>592</v>
      </c>
      <c r="L440" s="1">
        <v>673</v>
      </c>
      <c r="M440" s="1">
        <v>74.400000000000006</v>
      </c>
      <c r="N440" s="1">
        <v>39.662164799999999</v>
      </c>
      <c r="O440" s="1">
        <v>-8.1353518999999999</v>
      </c>
      <c r="P440" s="14">
        <f t="shared" si="48"/>
        <v>51.9</v>
      </c>
      <c r="Q440" s="13">
        <v>20</v>
      </c>
      <c r="R440" s="16">
        <f t="shared" si="49"/>
        <v>0</v>
      </c>
      <c r="S440" s="14">
        <f t="shared" si="50"/>
        <v>32.013201320132012</v>
      </c>
      <c r="T440" s="13">
        <f t="shared" si="51"/>
        <v>52</v>
      </c>
      <c r="U440" s="14">
        <f t="shared" si="52"/>
        <v>40.9</v>
      </c>
      <c r="V440" s="14">
        <f t="shared" si="53"/>
        <v>32.800000000000004</v>
      </c>
      <c r="W440" s="1">
        <f t="shared" si="54"/>
        <v>56.2</v>
      </c>
      <c r="X440" s="1" t="str">
        <f>IF(Table1[[#This Row],[World Rank]]&lt;=250,"Q1-Elite",IF(Table1[[#This Row],[World Rank]]&lt;=500,"Q2-Strong",IF(Table1[[#This Row],[World Rank]]&lt;=750,"Q3-Developing","Q4-Emerging")))</f>
        <v>Q2-Strong</v>
      </c>
    </row>
    <row r="441" spans="1:24" x14ac:dyDescent="0.2">
      <c r="A441" s="1">
        <v>440</v>
      </c>
      <c r="B441" s="1" t="s">
        <v>498</v>
      </c>
      <c r="C441" s="1" t="s">
        <v>118</v>
      </c>
      <c r="D441" s="1" t="s">
        <v>1124</v>
      </c>
      <c r="E441" s="1">
        <v>12</v>
      </c>
      <c r="F441" s="1">
        <v>667</v>
      </c>
      <c r="G441" s="1">
        <v>1001</v>
      </c>
      <c r="H441" s="1">
        <v>304</v>
      </c>
      <c r="I441" s="1">
        <v>480</v>
      </c>
      <c r="J441" s="1">
        <v>462</v>
      </c>
      <c r="K441" s="1">
        <v>425</v>
      </c>
      <c r="L441" s="1">
        <v>327</v>
      </c>
      <c r="M441" s="1">
        <v>74.400000000000006</v>
      </c>
      <c r="N441" s="1">
        <v>39.326068499999998</v>
      </c>
      <c r="O441" s="1">
        <v>-4.8379791000000001</v>
      </c>
      <c r="P441" s="14">
        <f t="shared" si="48"/>
        <v>53.900000000000006</v>
      </c>
      <c r="Q441" s="13">
        <v>20</v>
      </c>
      <c r="R441" s="16">
        <f t="shared" si="49"/>
        <v>0</v>
      </c>
      <c r="S441" s="14">
        <f t="shared" si="50"/>
        <v>0</v>
      </c>
      <c r="T441" s="13">
        <f t="shared" si="51"/>
        <v>52.1</v>
      </c>
      <c r="U441" s="14">
        <f t="shared" si="52"/>
        <v>57.599999999999994</v>
      </c>
      <c r="V441" s="14">
        <f t="shared" si="53"/>
        <v>67.400000000000006</v>
      </c>
      <c r="W441" s="1">
        <f t="shared" si="54"/>
        <v>56.100000000000009</v>
      </c>
      <c r="X441" s="1" t="str">
        <f>IF(Table1[[#This Row],[World Rank]]&lt;=250,"Q1-Elite",IF(Table1[[#This Row],[World Rank]]&lt;=500,"Q2-Strong",IF(Table1[[#This Row],[World Rank]]&lt;=750,"Q3-Developing","Q4-Emerging")))</f>
        <v>Q2-Strong</v>
      </c>
    </row>
    <row r="442" spans="1:24" x14ac:dyDescent="0.2">
      <c r="A442" s="1">
        <v>441</v>
      </c>
      <c r="B442" s="1" t="s">
        <v>499</v>
      </c>
      <c r="C442" s="1" t="s">
        <v>15</v>
      </c>
      <c r="D442" s="1" t="s">
        <v>1120</v>
      </c>
      <c r="E442" s="1">
        <v>127</v>
      </c>
      <c r="F442" s="1">
        <v>667</v>
      </c>
      <c r="G442" s="1">
        <v>363</v>
      </c>
      <c r="H442" s="1">
        <v>287</v>
      </c>
      <c r="I442" s="1">
        <v>613</v>
      </c>
      <c r="J442" s="1">
        <v>517</v>
      </c>
      <c r="K442" s="1">
        <v>334</v>
      </c>
      <c r="L442" s="1">
        <v>363</v>
      </c>
      <c r="M442" s="1">
        <v>74.400000000000006</v>
      </c>
      <c r="N442" s="1">
        <v>39.783730400000003</v>
      </c>
      <c r="O442" s="1">
        <v>-100.445882</v>
      </c>
      <c r="P442" s="14">
        <f t="shared" si="48"/>
        <v>48.4</v>
      </c>
      <c r="Q442" s="13">
        <v>20</v>
      </c>
      <c r="R442" s="16">
        <f t="shared" si="49"/>
        <v>63.800000000000004</v>
      </c>
      <c r="S442" s="14">
        <f t="shared" si="50"/>
        <v>5.6105610561056105</v>
      </c>
      <c r="T442" s="13">
        <f t="shared" si="51"/>
        <v>38.800000000000004</v>
      </c>
      <c r="U442" s="14">
        <f t="shared" si="52"/>
        <v>66.7</v>
      </c>
      <c r="V442" s="14">
        <f t="shared" si="53"/>
        <v>63.800000000000004</v>
      </c>
      <c r="W442" s="1">
        <f t="shared" si="54"/>
        <v>56.000000000000007</v>
      </c>
      <c r="X442" s="1" t="str">
        <f>IF(Table1[[#This Row],[World Rank]]&lt;=250,"Q1-Elite",IF(Table1[[#This Row],[World Rank]]&lt;=500,"Q2-Strong",IF(Table1[[#This Row],[World Rank]]&lt;=750,"Q3-Developing","Q4-Emerging")))</f>
        <v>Q2-Strong</v>
      </c>
    </row>
    <row r="443" spans="1:24" x14ac:dyDescent="0.2">
      <c r="A443" s="1">
        <v>442</v>
      </c>
      <c r="B443" s="1" t="s">
        <v>500</v>
      </c>
      <c r="C443" s="1" t="s">
        <v>107</v>
      </c>
      <c r="D443" s="1" t="s">
        <v>1123</v>
      </c>
      <c r="E443" s="1">
        <v>7</v>
      </c>
      <c r="F443" s="1">
        <v>667</v>
      </c>
      <c r="G443" s="1">
        <v>1001</v>
      </c>
      <c r="H443" s="1">
        <v>304</v>
      </c>
      <c r="I443" s="1">
        <v>341</v>
      </c>
      <c r="J443" s="1">
        <v>508</v>
      </c>
      <c r="K443" s="1">
        <v>580</v>
      </c>
      <c r="L443" s="1">
        <v>327</v>
      </c>
      <c r="M443" s="1">
        <v>74.400000000000006</v>
      </c>
      <c r="N443" s="1">
        <v>-10.3333333</v>
      </c>
      <c r="O443" s="1">
        <v>-53.2</v>
      </c>
      <c r="P443" s="14">
        <f t="shared" si="48"/>
        <v>49.3</v>
      </c>
      <c r="Q443" s="13">
        <v>20</v>
      </c>
      <c r="R443" s="16">
        <f t="shared" si="49"/>
        <v>0</v>
      </c>
      <c r="S443" s="14">
        <f t="shared" si="50"/>
        <v>0</v>
      </c>
      <c r="T443" s="13">
        <f t="shared" si="51"/>
        <v>66</v>
      </c>
      <c r="U443" s="14">
        <f t="shared" si="52"/>
        <v>42.1</v>
      </c>
      <c r="V443" s="14">
        <f t="shared" si="53"/>
        <v>67.400000000000006</v>
      </c>
      <c r="W443" s="1">
        <f t="shared" si="54"/>
        <v>55.900000000000006</v>
      </c>
      <c r="X443" s="1" t="str">
        <f>IF(Table1[[#This Row],[World Rank]]&lt;=250,"Q1-Elite",IF(Table1[[#This Row],[World Rank]]&lt;=500,"Q2-Strong",IF(Table1[[#This Row],[World Rank]]&lt;=750,"Q3-Developing","Q4-Emerging")))</f>
        <v>Q2-Strong</v>
      </c>
    </row>
    <row r="444" spans="1:24" x14ac:dyDescent="0.2">
      <c r="A444" s="1">
        <v>443</v>
      </c>
      <c r="B444" s="1" t="s">
        <v>501</v>
      </c>
      <c r="C444" s="1" t="s">
        <v>93</v>
      </c>
      <c r="D444" s="1" t="s">
        <v>1124</v>
      </c>
      <c r="E444" s="1">
        <v>19</v>
      </c>
      <c r="F444" s="1">
        <v>667</v>
      </c>
      <c r="G444" s="1">
        <v>1001</v>
      </c>
      <c r="H444" s="1">
        <v>304</v>
      </c>
      <c r="I444" s="1">
        <v>618</v>
      </c>
      <c r="J444" s="1">
        <v>446</v>
      </c>
      <c r="K444" s="1">
        <v>255</v>
      </c>
      <c r="L444" s="1">
        <v>460</v>
      </c>
      <c r="M444" s="1">
        <v>74.400000000000006</v>
      </c>
      <c r="N444" s="1">
        <v>42.638426099999997</v>
      </c>
      <c r="O444" s="1">
        <v>12.674296999999999</v>
      </c>
      <c r="P444" s="14">
        <f t="shared" si="48"/>
        <v>55.500000000000007</v>
      </c>
      <c r="Q444" s="13">
        <v>20</v>
      </c>
      <c r="R444" s="16">
        <f t="shared" si="49"/>
        <v>0</v>
      </c>
      <c r="S444" s="14">
        <f t="shared" si="50"/>
        <v>0</v>
      </c>
      <c r="T444" s="13">
        <f t="shared" si="51"/>
        <v>38.299999999999997</v>
      </c>
      <c r="U444" s="14">
        <f t="shared" si="52"/>
        <v>74.599999999999994</v>
      </c>
      <c r="V444" s="14">
        <f t="shared" si="53"/>
        <v>54.1</v>
      </c>
      <c r="W444" s="1">
        <f t="shared" si="54"/>
        <v>55.800000000000004</v>
      </c>
      <c r="X444" s="1" t="str">
        <f>IF(Table1[[#This Row],[World Rank]]&lt;=250,"Q1-Elite",IF(Table1[[#This Row],[World Rank]]&lt;=500,"Q2-Strong",IF(Table1[[#This Row],[World Rank]]&lt;=750,"Q3-Developing","Q4-Emerging")))</f>
        <v>Q2-Strong</v>
      </c>
    </row>
    <row r="445" spans="1:24" x14ac:dyDescent="0.2">
      <c r="A445" s="1">
        <v>444</v>
      </c>
      <c r="B445" s="1" t="s">
        <v>502</v>
      </c>
      <c r="C445" s="1" t="s">
        <v>85</v>
      </c>
      <c r="D445" s="1" t="s">
        <v>1125</v>
      </c>
      <c r="E445" s="1">
        <v>13</v>
      </c>
      <c r="F445" s="1">
        <v>667</v>
      </c>
      <c r="G445" s="1">
        <v>641</v>
      </c>
      <c r="H445" s="1">
        <v>304</v>
      </c>
      <c r="I445" s="1">
        <v>322</v>
      </c>
      <c r="J445" s="1">
        <v>376</v>
      </c>
      <c r="K445" s="1">
        <v>473</v>
      </c>
      <c r="L445" s="1">
        <v>673</v>
      </c>
      <c r="M445" s="1">
        <v>74.400000000000006</v>
      </c>
      <c r="N445" s="1">
        <v>36.638392000000003</v>
      </c>
      <c r="O445" s="1">
        <v>127.69611879999999</v>
      </c>
      <c r="P445" s="14">
        <f t="shared" si="48"/>
        <v>62.5</v>
      </c>
      <c r="Q445" s="13">
        <v>20</v>
      </c>
      <c r="R445" s="16">
        <f t="shared" si="49"/>
        <v>36</v>
      </c>
      <c r="S445" s="14">
        <f t="shared" si="50"/>
        <v>0</v>
      </c>
      <c r="T445" s="13">
        <f t="shared" si="51"/>
        <v>67.900000000000006</v>
      </c>
      <c r="U445" s="14">
        <f t="shared" si="52"/>
        <v>52.800000000000004</v>
      </c>
      <c r="V445" s="14">
        <f t="shared" si="53"/>
        <v>32.800000000000004</v>
      </c>
      <c r="W445" s="1">
        <f t="shared" si="54"/>
        <v>55.7</v>
      </c>
      <c r="X445" s="1" t="str">
        <f>IF(Table1[[#This Row],[World Rank]]&lt;=250,"Q1-Elite",IF(Table1[[#This Row],[World Rank]]&lt;=500,"Q2-Strong",IF(Table1[[#This Row],[World Rank]]&lt;=750,"Q3-Developing","Q4-Emerging")))</f>
        <v>Q2-Strong</v>
      </c>
    </row>
    <row r="446" spans="1:24" x14ac:dyDescent="0.2">
      <c r="A446" s="1">
        <v>445</v>
      </c>
      <c r="B446" s="1" t="s">
        <v>503</v>
      </c>
      <c r="C446" s="1" t="s">
        <v>93</v>
      </c>
      <c r="D446" s="1" t="s">
        <v>1124</v>
      </c>
      <c r="E446" s="1">
        <v>20</v>
      </c>
      <c r="F446" s="1">
        <v>667</v>
      </c>
      <c r="G446" s="1">
        <v>1001</v>
      </c>
      <c r="H446" s="1">
        <v>304</v>
      </c>
      <c r="I446" s="1">
        <v>506</v>
      </c>
      <c r="J446" s="1">
        <v>468</v>
      </c>
      <c r="K446" s="1">
        <v>429</v>
      </c>
      <c r="L446" s="1">
        <v>304</v>
      </c>
      <c r="M446" s="1">
        <v>74.400000000000006</v>
      </c>
      <c r="N446" s="1">
        <v>42.638426099999997</v>
      </c>
      <c r="O446" s="1">
        <v>12.674296999999999</v>
      </c>
      <c r="P446" s="14">
        <f t="shared" si="48"/>
        <v>53.300000000000004</v>
      </c>
      <c r="Q446" s="13">
        <v>20</v>
      </c>
      <c r="R446" s="16">
        <f t="shared" si="49"/>
        <v>0</v>
      </c>
      <c r="S446" s="14">
        <f t="shared" si="50"/>
        <v>0</v>
      </c>
      <c r="T446" s="13">
        <f t="shared" si="51"/>
        <v>49.5</v>
      </c>
      <c r="U446" s="14">
        <f t="shared" si="52"/>
        <v>57.199999999999996</v>
      </c>
      <c r="V446" s="14">
        <f t="shared" si="53"/>
        <v>69.699999999999989</v>
      </c>
      <c r="W446" s="1">
        <f t="shared" si="54"/>
        <v>55.600000000000009</v>
      </c>
      <c r="X446" s="1" t="str">
        <f>IF(Table1[[#This Row],[World Rank]]&lt;=250,"Q1-Elite",IF(Table1[[#This Row],[World Rank]]&lt;=500,"Q2-Strong",IF(Table1[[#This Row],[World Rank]]&lt;=750,"Q3-Developing","Q4-Emerging")))</f>
        <v>Q2-Strong</v>
      </c>
    </row>
    <row r="447" spans="1:24" x14ac:dyDescent="0.2">
      <c r="A447" s="1">
        <v>446</v>
      </c>
      <c r="B447" s="1" t="s">
        <v>504</v>
      </c>
      <c r="C447" s="1" t="s">
        <v>118</v>
      </c>
      <c r="D447" s="1" t="s">
        <v>1124</v>
      </c>
      <c r="E447" s="1">
        <v>13</v>
      </c>
      <c r="F447" s="1">
        <v>667</v>
      </c>
      <c r="G447" s="1">
        <v>1001</v>
      </c>
      <c r="H447" s="1">
        <v>304</v>
      </c>
      <c r="I447" s="1">
        <v>571</v>
      </c>
      <c r="J447" s="1">
        <v>519</v>
      </c>
      <c r="K447" s="1">
        <v>363</v>
      </c>
      <c r="L447" s="1">
        <v>275</v>
      </c>
      <c r="M447" s="1">
        <v>74.400000000000006</v>
      </c>
      <c r="N447" s="1">
        <v>39.326068499999998</v>
      </c>
      <c r="O447" s="1">
        <v>-4.8379791000000001</v>
      </c>
      <c r="P447" s="14">
        <f t="shared" si="48"/>
        <v>48.199999999999996</v>
      </c>
      <c r="Q447" s="13">
        <v>20</v>
      </c>
      <c r="R447" s="16">
        <f t="shared" si="49"/>
        <v>0</v>
      </c>
      <c r="S447" s="14">
        <f t="shared" si="50"/>
        <v>0</v>
      </c>
      <c r="T447" s="13">
        <f t="shared" si="51"/>
        <v>43</v>
      </c>
      <c r="U447" s="14">
        <f t="shared" si="52"/>
        <v>63.800000000000004</v>
      </c>
      <c r="V447" s="14">
        <f t="shared" si="53"/>
        <v>72.599999999999994</v>
      </c>
      <c r="W447" s="1">
        <f t="shared" si="54"/>
        <v>55.500000000000007</v>
      </c>
      <c r="X447" s="1" t="str">
        <f>IF(Table1[[#This Row],[World Rank]]&lt;=250,"Q1-Elite",IF(Table1[[#This Row],[World Rank]]&lt;=500,"Q2-Strong",IF(Table1[[#This Row],[World Rank]]&lt;=750,"Q3-Developing","Q4-Emerging")))</f>
        <v>Q2-Strong</v>
      </c>
    </row>
    <row r="448" spans="1:24" x14ac:dyDescent="0.2">
      <c r="A448" s="1">
        <v>447</v>
      </c>
      <c r="B448" s="1" t="s">
        <v>505</v>
      </c>
      <c r="C448" s="1" t="s">
        <v>48</v>
      </c>
      <c r="D448" s="1" t="s">
        <v>1124</v>
      </c>
      <c r="E448" s="1">
        <v>21</v>
      </c>
      <c r="F448" s="1">
        <v>513</v>
      </c>
      <c r="G448" s="1">
        <v>1001</v>
      </c>
      <c r="H448" s="1">
        <v>304</v>
      </c>
      <c r="I448" s="1">
        <v>555</v>
      </c>
      <c r="J448" s="1">
        <v>474</v>
      </c>
      <c r="K448" s="1">
        <v>278</v>
      </c>
      <c r="L448" s="1">
        <v>460</v>
      </c>
      <c r="M448" s="1">
        <v>74.400000000000006</v>
      </c>
      <c r="N448" s="1">
        <v>46.603354000000003</v>
      </c>
      <c r="O448" s="1">
        <v>1.8883335000000001</v>
      </c>
      <c r="P448" s="14">
        <f t="shared" si="48"/>
        <v>52.7</v>
      </c>
      <c r="Q448" s="13">
        <f>((667 - F448) / 666) * 100</f>
        <v>23.123123123123122</v>
      </c>
      <c r="R448" s="16">
        <f t="shared" si="49"/>
        <v>0</v>
      </c>
      <c r="S448" s="14">
        <f t="shared" si="50"/>
        <v>0</v>
      </c>
      <c r="T448" s="13">
        <f t="shared" si="51"/>
        <v>44.6</v>
      </c>
      <c r="U448" s="14">
        <f t="shared" si="52"/>
        <v>72.3</v>
      </c>
      <c r="V448" s="14">
        <f t="shared" si="53"/>
        <v>54.1</v>
      </c>
      <c r="W448" s="1">
        <f t="shared" si="54"/>
        <v>55.400000000000006</v>
      </c>
      <c r="X448" s="1" t="str">
        <f>IF(Table1[[#This Row],[World Rank]]&lt;=250,"Q1-Elite",IF(Table1[[#This Row],[World Rank]]&lt;=500,"Q2-Strong",IF(Table1[[#This Row],[World Rank]]&lt;=750,"Q3-Developing","Q4-Emerging")))</f>
        <v>Q2-Strong</v>
      </c>
    </row>
    <row r="449" spans="1:24" x14ac:dyDescent="0.2">
      <c r="A449" s="1">
        <v>448</v>
      </c>
      <c r="B449" s="1" t="s">
        <v>506</v>
      </c>
      <c r="C449" s="1" t="s">
        <v>266</v>
      </c>
      <c r="D449" s="1" t="s">
        <v>1122</v>
      </c>
      <c r="E449" s="1">
        <v>5</v>
      </c>
      <c r="F449" s="1">
        <v>555</v>
      </c>
      <c r="G449" s="1">
        <v>139</v>
      </c>
      <c r="H449" s="1">
        <v>304</v>
      </c>
      <c r="I449" s="1">
        <v>428</v>
      </c>
      <c r="J449" s="1">
        <v>500</v>
      </c>
      <c r="K449" s="1">
        <v>409</v>
      </c>
      <c r="L449" s="1">
        <v>541</v>
      </c>
      <c r="M449" s="1">
        <v>74.3</v>
      </c>
      <c r="N449" s="1">
        <v>-28.8166236</v>
      </c>
      <c r="O449" s="1">
        <v>24.991638999999999</v>
      </c>
      <c r="P449" s="14">
        <f t="shared" si="48"/>
        <v>50.1</v>
      </c>
      <c r="Q449" s="13">
        <v>20</v>
      </c>
      <c r="R449" s="16">
        <f t="shared" si="49"/>
        <v>86.2</v>
      </c>
      <c r="S449" s="14">
        <f t="shared" si="50"/>
        <v>0</v>
      </c>
      <c r="T449" s="13">
        <f t="shared" si="51"/>
        <v>57.3</v>
      </c>
      <c r="U449" s="14">
        <f t="shared" si="52"/>
        <v>59.199999999999996</v>
      </c>
      <c r="V449" s="14">
        <f t="shared" si="53"/>
        <v>46</v>
      </c>
      <c r="W449" s="1">
        <f t="shared" si="54"/>
        <v>55.300000000000004</v>
      </c>
      <c r="X449" s="1" t="str">
        <f>IF(Table1[[#This Row],[World Rank]]&lt;=250,"Q1-Elite",IF(Table1[[#This Row],[World Rank]]&lt;=500,"Q2-Strong",IF(Table1[[#This Row],[World Rank]]&lt;=750,"Q3-Developing","Q4-Emerging")))</f>
        <v>Q2-Strong</v>
      </c>
    </row>
    <row r="450" spans="1:24" x14ac:dyDescent="0.2">
      <c r="A450" s="1">
        <v>449</v>
      </c>
      <c r="B450" s="1" t="s">
        <v>507</v>
      </c>
      <c r="C450" s="1" t="s">
        <v>118</v>
      </c>
      <c r="D450" s="1" t="s">
        <v>1124</v>
      </c>
      <c r="E450" s="1">
        <v>14</v>
      </c>
      <c r="F450" s="1">
        <v>666</v>
      </c>
      <c r="G450" s="1">
        <v>971</v>
      </c>
      <c r="H450" s="1">
        <v>304</v>
      </c>
      <c r="I450" s="1">
        <v>351</v>
      </c>
      <c r="J450" s="1">
        <v>355</v>
      </c>
      <c r="K450" s="1">
        <v>582</v>
      </c>
      <c r="L450" s="1">
        <v>541</v>
      </c>
      <c r="M450" s="1">
        <v>74.3</v>
      </c>
      <c r="N450" s="1">
        <v>39.326068499999998</v>
      </c>
      <c r="O450" s="1">
        <v>-4.8379791000000001</v>
      </c>
      <c r="P450" s="14">
        <f t="shared" ref="P450:P513" si="55">((1001 - J450) / 1000) * 100</f>
        <v>64.600000000000009</v>
      </c>
      <c r="Q450" s="13">
        <v>20</v>
      </c>
      <c r="R450" s="16">
        <f t="shared" ref="R450:R513" si="56">(1001 - G450) / 1000 * 100</f>
        <v>3</v>
      </c>
      <c r="S450" s="14">
        <f t="shared" ref="S450:S513" si="57">(304 - H450) / 303 * 100</f>
        <v>0</v>
      </c>
      <c r="T450" s="13">
        <f t="shared" ref="T450:T513" si="58">(1001 - I450) / 1000 * 100</f>
        <v>65</v>
      </c>
      <c r="U450" s="14">
        <f t="shared" ref="U450:U513" si="59">(1001 - K450) / 1000 * 100</f>
        <v>41.9</v>
      </c>
      <c r="V450" s="14">
        <f t="shared" ref="V450:V513" si="60">(1001 - L450) / 1000 * 100</f>
        <v>46</v>
      </c>
      <c r="W450" s="1">
        <f t="shared" ref="W450:W513" si="61">(1001 - A450) / 1000 * 100</f>
        <v>55.2</v>
      </c>
      <c r="X450" s="1" t="str">
        <f>IF(Table1[[#This Row],[World Rank]]&lt;=250,"Q1-Elite",IF(Table1[[#This Row],[World Rank]]&lt;=500,"Q2-Strong",IF(Table1[[#This Row],[World Rank]]&lt;=750,"Q3-Developing","Q4-Emerging")))</f>
        <v>Q2-Strong</v>
      </c>
    </row>
    <row r="451" spans="1:24" x14ac:dyDescent="0.2">
      <c r="A451" s="1">
        <v>450</v>
      </c>
      <c r="B451" s="1" t="s">
        <v>508</v>
      </c>
      <c r="C451" s="1" t="s">
        <v>281</v>
      </c>
      <c r="D451" s="1" t="s">
        <v>1121</v>
      </c>
      <c r="E451" s="1">
        <v>3</v>
      </c>
      <c r="F451" s="1">
        <v>306</v>
      </c>
      <c r="G451" s="1">
        <v>326</v>
      </c>
      <c r="H451" s="1">
        <v>153</v>
      </c>
      <c r="I451" s="1">
        <v>641</v>
      </c>
      <c r="J451" s="1">
        <v>615</v>
      </c>
      <c r="K451" s="1">
        <v>449</v>
      </c>
      <c r="L451" s="1">
        <v>673</v>
      </c>
      <c r="M451" s="1">
        <v>74.3</v>
      </c>
      <c r="N451" s="1">
        <v>-41.500083099999998</v>
      </c>
      <c r="O451" s="1">
        <v>172.83440770000001</v>
      </c>
      <c r="P451" s="14">
        <f t="shared" si="55"/>
        <v>38.6</v>
      </c>
      <c r="Q451" s="13">
        <f>((667 - F451) / 666) * 100</f>
        <v>54.20420420420421</v>
      </c>
      <c r="R451" s="16">
        <f t="shared" si="56"/>
        <v>67.5</v>
      </c>
      <c r="S451" s="14">
        <f t="shared" si="57"/>
        <v>49.834983498349835</v>
      </c>
      <c r="T451" s="13">
        <f t="shared" si="58"/>
        <v>36</v>
      </c>
      <c r="U451" s="14">
        <f t="shared" si="59"/>
        <v>55.2</v>
      </c>
      <c r="V451" s="14">
        <f t="shared" si="60"/>
        <v>32.800000000000004</v>
      </c>
      <c r="W451" s="1">
        <f t="shared" si="61"/>
        <v>55.1</v>
      </c>
      <c r="X451" s="1" t="str">
        <f>IF(Table1[[#This Row],[World Rank]]&lt;=250,"Q1-Elite",IF(Table1[[#This Row],[World Rank]]&lt;=500,"Q2-Strong",IF(Table1[[#This Row],[World Rank]]&lt;=750,"Q3-Developing","Q4-Emerging")))</f>
        <v>Q2-Strong</v>
      </c>
    </row>
    <row r="452" spans="1:24" x14ac:dyDescent="0.2">
      <c r="A452" s="1">
        <v>451</v>
      </c>
      <c r="B452" s="1" t="s">
        <v>509</v>
      </c>
      <c r="C452" s="1" t="s">
        <v>510</v>
      </c>
      <c r="D452" s="1" t="s">
        <v>1125</v>
      </c>
      <c r="E452" s="1">
        <v>1</v>
      </c>
      <c r="F452" s="1">
        <v>667</v>
      </c>
      <c r="G452" s="1">
        <v>342</v>
      </c>
      <c r="H452" s="1">
        <v>304</v>
      </c>
      <c r="I452" s="1">
        <v>225</v>
      </c>
      <c r="J452" s="1">
        <v>397</v>
      </c>
      <c r="K452" s="1">
        <v>879</v>
      </c>
      <c r="L452" s="1">
        <v>673</v>
      </c>
      <c r="M452" s="1">
        <v>74.3</v>
      </c>
      <c r="N452" s="1">
        <v>4.5693754000000002</v>
      </c>
      <c r="O452" s="1">
        <v>102.26568229999999</v>
      </c>
      <c r="P452" s="14">
        <f t="shared" si="55"/>
        <v>60.4</v>
      </c>
      <c r="Q452" s="13">
        <v>20</v>
      </c>
      <c r="R452" s="16">
        <f t="shared" si="56"/>
        <v>65.900000000000006</v>
      </c>
      <c r="S452" s="14">
        <f t="shared" si="57"/>
        <v>0</v>
      </c>
      <c r="T452" s="13">
        <f t="shared" si="58"/>
        <v>77.600000000000009</v>
      </c>
      <c r="U452" s="14">
        <f t="shared" si="59"/>
        <v>12.2</v>
      </c>
      <c r="V452" s="14">
        <f t="shared" si="60"/>
        <v>32.800000000000004</v>
      </c>
      <c r="W452" s="1">
        <f t="shared" si="61"/>
        <v>55.000000000000007</v>
      </c>
      <c r="X452" s="1" t="str">
        <f>IF(Table1[[#This Row],[World Rank]]&lt;=250,"Q1-Elite",IF(Table1[[#This Row],[World Rank]]&lt;=500,"Q2-Strong",IF(Table1[[#This Row],[World Rank]]&lt;=750,"Q3-Developing","Q4-Emerging")))</f>
        <v>Q2-Strong</v>
      </c>
    </row>
    <row r="453" spans="1:24" x14ac:dyDescent="0.2">
      <c r="A453" s="1">
        <v>452</v>
      </c>
      <c r="B453" s="1" t="s">
        <v>511</v>
      </c>
      <c r="C453" s="1" t="s">
        <v>512</v>
      </c>
      <c r="D453" s="1" t="s">
        <v>1122</v>
      </c>
      <c r="E453" s="1">
        <v>1</v>
      </c>
      <c r="F453" s="1">
        <v>569</v>
      </c>
      <c r="G453" s="1">
        <v>1001</v>
      </c>
      <c r="H453" s="1">
        <v>228</v>
      </c>
      <c r="I453" s="1">
        <v>378</v>
      </c>
      <c r="J453" s="1">
        <v>629</v>
      </c>
      <c r="K453" s="1">
        <v>602</v>
      </c>
      <c r="L453" s="1">
        <v>541</v>
      </c>
      <c r="M453" s="1">
        <v>74.3</v>
      </c>
      <c r="N453" s="1">
        <v>35.868129799999998</v>
      </c>
      <c r="O453" s="1">
        <v>-90.945675100000003</v>
      </c>
      <c r="P453" s="14">
        <f t="shared" si="55"/>
        <v>37.200000000000003</v>
      </c>
      <c r="Q453" s="13">
        <v>20</v>
      </c>
      <c r="R453" s="16">
        <f t="shared" si="56"/>
        <v>0</v>
      </c>
      <c r="S453" s="14">
        <f t="shared" si="57"/>
        <v>25.082508250825082</v>
      </c>
      <c r="T453" s="13">
        <f t="shared" si="58"/>
        <v>62.3</v>
      </c>
      <c r="U453" s="14">
        <f t="shared" si="59"/>
        <v>39.900000000000006</v>
      </c>
      <c r="V453" s="14">
        <f t="shared" si="60"/>
        <v>46</v>
      </c>
      <c r="W453" s="1">
        <f t="shared" si="61"/>
        <v>54.900000000000006</v>
      </c>
      <c r="X453" s="1" t="str">
        <f>IF(Table1[[#This Row],[World Rank]]&lt;=250,"Q1-Elite",IF(Table1[[#This Row],[World Rank]]&lt;=500,"Q2-Strong",IF(Table1[[#This Row],[World Rank]]&lt;=750,"Q3-Developing","Q4-Emerging")))</f>
        <v>Q2-Strong</v>
      </c>
    </row>
    <row r="454" spans="1:24" x14ac:dyDescent="0.2">
      <c r="A454" s="1">
        <v>453</v>
      </c>
      <c r="B454" s="1" t="s">
        <v>513</v>
      </c>
      <c r="C454" s="1" t="s">
        <v>59</v>
      </c>
      <c r="D454" s="1" t="s">
        <v>1124</v>
      </c>
      <c r="E454" s="1">
        <v>5</v>
      </c>
      <c r="F454" s="1">
        <v>667</v>
      </c>
      <c r="G454" s="1">
        <v>813</v>
      </c>
      <c r="H454" s="1">
        <v>304</v>
      </c>
      <c r="I454" s="1">
        <v>486</v>
      </c>
      <c r="J454" s="1">
        <v>463</v>
      </c>
      <c r="K454" s="1">
        <v>470</v>
      </c>
      <c r="L454" s="1">
        <v>327</v>
      </c>
      <c r="M454" s="1">
        <v>74.3</v>
      </c>
      <c r="N454" s="1">
        <v>55.670248999999998</v>
      </c>
      <c r="O454" s="1">
        <v>10.3333283</v>
      </c>
      <c r="P454" s="14">
        <f t="shared" si="55"/>
        <v>53.800000000000004</v>
      </c>
      <c r="Q454" s="13">
        <v>20</v>
      </c>
      <c r="R454" s="16">
        <f t="shared" si="56"/>
        <v>18.8</v>
      </c>
      <c r="S454" s="14">
        <f t="shared" si="57"/>
        <v>0</v>
      </c>
      <c r="T454" s="13">
        <f t="shared" si="58"/>
        <v>51.5</v>
      </c>
      <c r="U454" s="14">
        <f t="shared" si="59"/>
        <v>53.1</v>
      </c>
      <c r="V454" s="14">
        <f t="shared" si="60"/>
        <v>67.400000000000006</v>
      </c>
      <c r="W454" s="1">
        <f t="shared" si="61"/>
        <v>54.800000000000004</v>
      </c>
      <c r="X454" s="1" t="str">
        <f>IF(Table1[[#This Row],[World Rank]]&lt;=250,"Q1-Elite",IF(Table1[[#This Row],[World Rank]]&lt;=500,"Q2-Strong",IF(Table1[[#This Row],[World Rank]]&lt;=750,"Q3-Developing","Q4-Emerging")))</f>
        <v>Q2-Strong</v>
      </c>
    </row>
    <row r="455" spans="1:24" x14ac:dyDescent="0.2">
      <c r="A455" s="1">
        <v>454</v>
      </c>
      <c r="B455" s="1" t="s">
        <v>514</v>
      </c>
      <c r="C455" s="1" t="s">
        <v>48</v>
      </c>
      <c r="D455" s="1" t="s">
        <v>1124</v>
      </c>
      <c r="E455" s="1">
        <v>22</v>
      </c>
      <c r="F455" s="1">
        <v>651</v>
      </c>
      <c r="G455" s="1">
        <v>1001</v>
      </c>
      <c r="H455" s="1">
        <v>304</v>
      </c>
      <c r="I455" s="1">
        <v>519</v>
      </c>
      <c r="J455" s="1">
        <v>437</v>
      </c>
      <c r="K455" s="1">
        <v>355</v>
      </c>
      <c r="L455" s="1">
        <v>460</v>
      </c>
      <c r="M455" s="1">
        <v>74.3</v>
      </c>
      <c r="N455" s="1">
        <v>46.603354000000003</v>
      </c>
      <c r="O455" s="1">
        <v>1.8883335000000001</v>
      </c>
      <c r="P455" s="14">
        <f t="shared" si="55"/>
        <v>56.399999999999991</v>
      </c>
      <c r="Q455" s="13">
        <v>20</v>
      </c>
      <c r="R455" s="16">
        <f t="shared" si="56"/>
        <v>0</v>
      </c>
      <c r="S455" s="14">
        <f t="shared" si="57"/>
        <v>0</v>
      </c>
      <c r="T455" s="13">
        <f t="shared" si="58"/>
        <v>48.199999999999996</v>
      </c>
      <c r="U455" s="14">
        <f t="shared" si="59"/>
        <v>64.600000000000009</v>
      </c>
      <c r="V455" s="14">
        <f t="shared" si="60"/>
        <v>54.1</v>
      </c>
      <c r="W455" s="1">
        <f t="shared" si="61"/>
        <v>54.7</v>
      </c>
      <c r="X455" s="1" t="str">
        <f>IF(Table1[[#This Row],[World Rank]]&lt;=250,"Q1-Elite",IF(Table1[[#This Row],[World Rank]]&lt;=500,"Q2-Strong",IF(Table1[[#This Row],[World Rank]]&lt;=750,"Q3-Developing","Q4-Emerging")))</f>
        <v>Q2-Strong</v>
      </c>
    </row>
    <row r="456" spans="1:24" x14ac:dyDescent="0.2">
      <c r="A456" s="1">
        <v>455</v>
      </c>
      <c r="B456" s="1" t="s">
        <v>515</v>
      </c>
      <c r="C456" s="1" t="s">
        <v>15</v>
      </c>
      <c r="D456" s="1" t="s">
        <v>1120</v>
      </c>
      <c r="E456" s="1">
        <v>128</v>
      </c>
      <c r="F456" s="1">
        <v>667</v>
      </c>
      <c r="G456" s="1">
        <v>1001</v>
      </c>
      <c r="H456" s="1">
        <v>304</v>
      </c>
      <c r="I456" s="1">
        <v>463</v>
      </c>
      <c r="J456" s="1">
        <v>421</v>
      </c>
      <c r="K456" s="1">
        <v>480</v>
      </c>
      <c r="L456" s="1">
        <v>405</v>
      </c>
      <c r="M456" s="1">
        <v>74.3</v>
      </c>
      <c r="N456" s="1">
        <v>39.783730400000003</v>
      </c>
      <c r="O456" s="1">
        <v>-100.445882</v>
      </c>
      <c r="P456" s="14">
        <f t="shared" si="55"/>
        <v>57.999999999999993</v>
      </c>
      <c r="Q456" s="13">
        <v>20</v>
      </c>
      <c r="R456" s="16">
        <f t="shared" si="56"/>
        <v>0</v>
      </c>
      <c r="S456" s="14">
        <f t="shared" si="57"/>
        <v>0</v>
      </c>
      <c r="T456" s="13">
        <f t="shared" si="58"/>
        <v>53.800000000000004</v>
      </c>
      <c r="U456" s="14">
        <f t="shared" si="59"/>
        <v>52.1</v>
      </c>
      <c r="V456" s="14">
        <f t="shared" si="60"/>
        <v>59.599999999999994</v>
      </c>
      <c r="W456" s="1">
        <f t="shared" si="61"/>
        <v>54.6</v>
      </c>
      <c r="X456" s="1" t="str">
        <f>IF(Table1[[#This Row],[World Rank]]&lt;=250,"Q1-Elite",IF(Table1[[#This Row],[World Rank]]&lt;=500,"Q2-Strong",IF(Table1[[#This Row],[World Rank]]&lt;=750,"Q3-Developing","Q4-Emerging")))</f>
        <v>Q2-Strong</v>
      </c>
    </row>
    <row r="457" spans="1:24" x14ac:dyDescent="0.2">
      <c r="A457" s="1">
        <v>456</v>
      </c>
      <c r="B457" s="1" t="s">
        <v>516</v>
      </c>
      <c r="C457" s="1" t="s">
        <v>93</v>
      </c>
      <c r="D457" s="1" t="s">
        <v>1124</v>
      </c>
      <c r="E457" s="1">
        <v>21</v>
      </c>
      <c r="F457" s="1">
        <v>667</v>
      </c>
      <c r="G457" s="1">
        <v>1001</v>
      </c>
      <c r="H457" s="1">
        <v>304</v>
      </c>
      <c r="I457" s="1">
        <v>539</v>
      </c>
      <c r="J457" s="1">
        <v>476</v>
      </c>
      <c r="K457" s="1">
        <v>414</v>
      </c>
      <c r="L457" s="1">
        <v>327</v>
      </c>
      <c r="M457" s="1">
        <v>74.2</v>
      </c>
      <c r="N457" s="1">
        <v>42.638426099999997</v>
      </c>
      <c r="O457" s="1">
        <v>12.674296999999999</v>
      </c>
      <c r="P457" s="14">
        <f t="shared" si="55"/>
        <v>52.5</v>
      </c>
      <c r="Q457" s="13">
        <v>20</v>
      </c>
      <c r="R457" s="16">
        <f t="shared" si="56"/>
        <v>0</v>
      </c>
      <c r="S457" s="14">
        <f t="shared" si="57"/>
        <v>0</v>
      </c>
      <c r="T457" s="13">
        <f t="shared" si="58"/>
        <v>46.2</v>
      </c>
      <c r="U457" s="14">
        <f t="shared" si="59"/>
        <v>58.699999999999996</v>
      </c>
      <c r="V457" s="14">
        <f t="shared" si="60"/>
        <v>67.400000000000006</v>
      </c>
      <c r="W457" s="1">
        <f t="shared" si="61"/>
        <v>54.500000000000007</v>
      </c>
      <c r="X457" s="1" t="str">
        <f>IF(Table1[[#This Row],[World Rank]]&lt;=250,"Q1-Elite",IF(Table1[[#This Row],[World Rank]]&lt;=500,"Q2-Strong",IF(Table1[[#This Row],[World Rank]]&lt;=750,"Q3-Developing","Q4-Emerging")))</f>
        <v>Q2-Strong</v>
      </c>
    </row>
    <row r="458" spans="1:24" x14ac:dyDescent="0.2">
      <c r="A458" s="1">
        <v>457</v>
      </c>
      <c r="B458" s="1" t="s">
        <v>517</v>
      </c>
      <c r="C458" s="1" t="s">
        <v>68</v>
      </c>
      <c r="D458" s="1" t="s">
        <v>1124</v>
      </c>
      <c r="E458" s="1">
        <v>36</v>
      </c>
      <c r="F458" s="1">
        <v>137</v>
      </c>
      <c r="G458" s="1">
        <v>772</v>
      </c>
      <c r="H458" s="1">
        <v>304</v>
      </c>
      <c r="I458" s="1">
        <v>464</v>
      </c>
      <c r="J458" s="1">
        <v>426</v>
      </c>
      <c r="K458" s="1">
        <v>536</v>
      </c>
      <c r="L458" s="1">
        <v>405</v>
      </c>
      <c r="M458" s="1">
        <v>74.2</v>
      </c>
      <c r="N458" s="1">
        <v>40.420347900000003</v>
      </c>
      <c r="O458" s="1">
        <v>-79.116698299999996</v>
      </c>
      <c r="P458" s="14">
        <f t="shared" si="55"/>
        <v>57.499999999999993</v>
      </c>
      <c r="Q458" s="13">
        <f>((667 - F458) / 666) * 100</f>
        <v>79.579579579579587</v>
      </c>
      <c r="R458" s="16">
        <f t="shared" si="56"/>
        <v>22.900000000000002</v>
      </c>
      <c r="S458" s="14">
        <f t="shared" si="57"/>
        <v>0</v>
      </c>
      <c r="T458" s="13">
        <f t="shared" si="58"/>
        <v>53.7</v>
      </c>
      <c r="U458" s="14">
        <f t="shared" si="59"/>
        <v>46.5</v>
      </c>
      <c r="V458" s="14">
        <f t="shared" si="60"/>
        <v>59.599999999999994</v>
      </c>
      <c r="W458" s="1">
        <f t="shared" si="61"/>
        <v>54.400000000000006</v>
      </c>
      <c r="X458" s="1" t="str">
        <f>IF(Table1[[#This Row],[World Rank]]&lt;=250,"Q1-Elite",IF(Table1[[#This Row],[World Rank]]&lt;=500,"Q2-Strong",IF(Table1[[#This Row],[World Rank]]&lt;=750,"Q3-Developing","Q4-Emerging")))</f>
        <v>Q2-Strong</v>
      </c>
    </row>
    <row r="459" spans="1:24" x14ac:dyDescent="0.2">
      <c r="A459" s="1">
        <v>458</v>
      </c>
      <c r="B459" s="1" t="s">
        <v>518</v>
      </c>
      <c r="C459" s="1" t="s">
        <v>48</v>
      </c>
      <c r="D459" s="1" t="s">
        <v>1124</v>
      </c>
      <c r="E459" s="1">
        <v>23</v>
      </c>
      <c r="F459" s="1">
        <v>667</v>
      </c>
      <c r="G459" s="1">
        <v>1001</v>
      </c>
      <c r="H459" s="1">
        <v>304</v>
      </c>
      <c r="I459" s="1">
        <v>636</v>
      </c>
      <c r="J459" s="1">
        <v>514</v>
      </c>
      <c r="K459" s="1">
        <v>418</v>
      </c>
      <c r="L459" s="1">
        <v>240</v>
      </c>
      <c r="M459" s="1">
        <v>74.2</v>
      </c>
      <c r="N459" s="1">
        <v>46.603354000000003</v>
      </c>
      <c r="O459" s="1">
        <v>1.8883335000000001</v>
      </c>
      <c r="P459" s="14">
        <f t="shared" si="55"/>
        <v>48.699999999999996</v>
      </c>
      <c r="Q459" s="13">
        <v>20</v>
      </c>
      <c r="R459" s="16">
        <f t="shared" si="56"/>
        <v>0</v>
      </c>
      <c r="S459" s="14">
        <f t="shared" si="57"/>
        <v>0</v>
      </c>
      <c r="T459" s="13">
        <f t="shared" si="58"/>
        <v>36.5</v>
      </c>
      <c r="U459" s="14">
        <f t="shared" si="59"/>
        <v>58.3</v>
      </c>
      <c r="V459" s="14">
        <f t="shared" si="60"/>
        <v>76.099999999999994</v>
      </c>
      <c r="W459" s="1">
        <f t="shared" si="61"/>
        <v>54.300000000000004</v>
      </c>
      <c r="X459" s="1" t="str">
        <f>IF(Table1[[#This Row],[World Rank]]&lt;=250,"Q1-Elite",IF(Table1[[#This Row],[World Rank]]&lt;=500,"Q2-Strong",IF(Table1[[#This Row],[World Rank]]&lt;=750,"Q3-Developing","Q4-Emerging")))</f>
        <v>Q2-Strong</v>
      </c>
    </row>
    <row r="460" spans="1:24" x14ac:dyDescent="0.2">
      <c r="A460" s="1">
        <v>459</v>
      </c>
      <c r="B460" s="1" t="s">
        <v>519</v>
      </c>
      <c r="C460" s="1" t="s">
        <v>15</v>
      </c>
      <c r="D460" s="1" t="s">
        <v>1120</v>
      </c>
      <c r="E460" s="1">
        <v>129</v>
      </c>
      <c r="F460" s="1">
        <v>667</v>
      </c>
      <c r="G460" s="1">
        <v>1001</v>
      </c>
      <c r="H460" s="1">
        <v>304</v>
      </c>
      <c r="I460" s="1">
        <v>493</v>
      </c>
      <c r="J460" s="1">
        <v>427</v>
      </c>
      <c r="K460" s="1">
        <v>405</v>
      </c>
      <c r="L460" s="1">
        <v>460</v>
      </c>
      <c r="M460" s="1">
        <v>74.2</v>
      </c>
      <c r="N460" s="1">
        <v>39.783730400000003</v>
      </c>
      <c r="O460" s="1">
        <v>-100.445882</v>
      </c>
      <c r="P460" s="14">
        <f t="shared" si="55"/>
        <v>57.4</v>
      </c>
      <c r="Q460" s="13">
        <v>20</v>
      </c>
      <c r="R460" s="16">
        <f t="shared" si="56"/>
        <v>0</v>
      </c>
      <c r="S460" s="14">
        <f t="shared" si="57"/>
        <v>0</v>
      </c>
      <c r="T460" s="13">
        <f t="shared" si="58"/>
        <v>50.8</v>
      </c>
      <c r="U460" s="14">
        <f t="shared" si="59"/>
        <v>59.599999999999994</v>
      </c>
      <c r="V460" s="14">
        <f t="shared" si="60"/>
        <v>54.1</v>
      </c>
      <c r="W460" s="1">
        <f t="shared" si="61"/>
        <v>54.2</v>
      </c>
      <c r="X460" s="1" t="str">
        <f>IF(Table1[[#This Row],[World Rank]]&lt;=250,"Q1-Elite",IF(Table1[[#This Row],[World Rank]]&lt;=500,"Q2-Strong",IF(Table1[[#This Row],[World Rank]]&lt;=750,"Q3-Developing","Q4-Emerging")))</f>
        <v>Q2-Strong</v>
      </c>
    </row>
    <row r="461" spans="1:24" x14ac:dyDescent="0.2">
      <c r="A461" s="1">
        <v>460</v>
      </c>
      <c r="B461" s="1" t="s">
        <v>520</v>
      </c>
      <c r="C461" s="1" t="s">
        <v>124</v>
      </c>
      <c r="D461" s="1" t="s">
        <v>1125</v>
      </c>
      <c r="E461" s="1">
        <v>30</v>
      </c>
      <c r="F461" s="1">
        <v>667</v>
      </c>
      <c r="G461" s="1">
        <v>1001</v>
      </c>
      <c r="H461" s="1">
        <v>304</v>
      </c>
      <c r="I461" s="1">
        <v>274</v>
      </c>
      <c r="J461" s="1">
        <v>314</v>
      </c>
      <c r="K461" s="1">
        <v>765</v>
      </c>
      <c r="L461" s="1">
        <v>898</v>
      </c>
      <c r="M461" s="1">
        <v>74.2</v>
      </c>
      <c r="N461" s="1">
        <v>30.047992000000001</v>
      </c>
      <c r="O461" s="1">
        <v>-94.335743300000004</v>
      </c>
      <c r="P461" s="14">
        <f t="shared" si="55"/>
        <v>68.7</v>
      </c>
      <c r="Q461" s="13">
        <v>20</v>
      </c>
      <c r="R461" s="16">
        <f t="shared" si="56"/>
        <v>0</v>
      </c>
      <c r="S461" s="14">
        <f t="shared" si="57"/>
        <v>0</v>
      </c>
      <c r="T461" s="13">
        <f t="shared" si="58"/>
        <v>72.7</v>
      </c>
      <c r="U461" s="14">
        <f t="shared" si="59"/>
        <v>23.599999999999998</v>
      </c>
      <c r="V461" s="14">
        <f t="shared" si="60"/>
        <v>10.299999999999999</v>
      </c>
      <c r="W461" s="1">
        <f t="shared" si="61"/>
        <v>54.1</v>
      </c>
      <c r="X461" s="1" t="str">
        <f>IF(Table1[[#This Row],[World Rank]]&lt;=250,"Q1-Elite",IF(Table1[[#This Row],[World Rank]]&lt;=500,"Q2-Strong",IF(Table1[[#This Row],[World Rank]]&lt;=750,"Q3-Developing","Q4-Emerging")))</f>
        <v>Q2-Strong</v>
      </c>
    </row>
    <row r="462" spans="1:24" x14ac:dyDescent="0.2">
      <c r="A462" s="1">
        <v>461</v>
      </c>
      <c r="B462" s="1" t="s">
        <v>521</v>
      </c>
      <c r="C462" s="1" t="s">
        <v>427</v>
      </c>
      <c r="D462" s="1" t="s">
        <v>1125</v>
      </c>
      <c r="E462" s="1">
        <v>2</v>
      </c>
      <c r="F462" s="1">
        <v>428</v>
      </c>
      <c r="G462" s="1">
        <v>1001</v>
      </c>
      <c r="H462" s="1">
        <v>254</v>
      </c>
      <c r="I462" s="1">
        <v>217</v>
      </c>
      <c r="J462" s="1">
        <v>436</v>
      </c>
      <c r="K462" s="1">
        <v>1001</v>
      </c>
      <c r="L462" s="1">
        <v>1001</v>
      </c>
      <c r="M462" s="1">
        <v>74.2</v>
      </c>
      <c r="N462" s="1">
        <v>2.9368696000000001</v>
      </c>
      <c r="O462" s="1">
        <v>115.4443356</v>
      </c>
      <c r="P462" s="14">
        <f t="shared" si="55"/>
        <v>56.499999999999993</v>
      </c>
      <c r="Q462" s="13">
        <f>((667 - F462) / 666) * 100</f>
        <v>35.885885885885891</v>
      </c>
      <c r="R462" s="16">
        <f t="shared" si="56"/>
        <v>0</v>
      </c>
      <c r="S462" s="14">
        <f t="shared" si="57"/>
        <v>16.5016501650165</v>
      </c>
      <c r="T462" s="13">
        <f t="shared" si="58"/>
        <v>78.400000000000006</v>
      </c>
      <c r="U462" s="14">
        <f t="shared" si="59"/>
        <v>0</v>
      </c>
      <c r="V462" s="14">
        <f t="shared" si="60"/>
        <v>0</v>
      </c>
      <c r="W462" s="1">
        <f t="shared" si="61"/>
        <v>54</v>
      </c>
      <c r="X462" s="1" t="str">
        <f>IF(Table1[[#This Row],[World Rank]]&lt;=250,"Q1-Elite",IF(Table1[[#This Row],[World Rank]]&lt;=500,"Q2-Strong",IF(Table1[[#This Row],[World Rank]]&lt;=750,"Q3-Developing","Q4-Emerging")))</f>
        <v>Q2-Strong</v>
      </c>
    </row>
    <row r="463" spans="1:24" x14ac:dyDescent="0.2">
      <c r="A463" s="1">
        <v>462</v>
      </c>
      <c r="B463" s="1" t="s">
        <v>522</v>
      </c>
      <c r="C463" s="1" t="s">
        <v>93</v>
      </c>
      <c r="D463" s="1" t="s">
        <v>1124</v>
      </c>
      <c r="E463" s="1">
        <v>22</v>
      </c>
      <c r="F463" s="1">
        <v>667</v>
      </c>
      <c r="G463" s="1">
        <v>1001</v>
      </c>
      <c r="H463" s="1">
        <v>304</v>
      </c>
      <c r="I463" s="1">
        <v>523</v>
      </c>
      <c r="J463" s="1">
        <v>490</v>
      </c>
      <c r="K463" s="1">
        <v>506</v>
      </c>
      <c r="L463" s="1">
        <v>275</v>
      </c>
      <c r="M463" s="1">
        <v>74.2</v>
      </c>
      <c r="N463" s="1">
        <v>42.638426099999997</v>
      </c>
      <c r="O463" s="1">
        <v>12.674296999999999</v>
      </c>
      <c r="P463" s="14">
        <f t="shared" si="55"/>
        <v>51.1</v>
      </c>
      <c r="Q463" s="13">
        <v>20</v>
      </c>
      <c r="R463" s="16">
        <f t="shared" si="56"/>
        <v>0</v>
      </c>
      <c r="S463" s="14">
        <f t="shared" si="57"/>
        <v>0</v>
      </c>
      <c r="T463" s="13">
        <f t="shared" si="58"/>
        <v>47.8</v>
      </c>
      <c r="U463" s="14">
        <f t="shared" si="59"/>
        <v>49.5</v>
      </c>
      <c r="V463" s="14">
        <f t="shared" si="60"/>
        <v>72.599999999999994</v>
      </c>
      <c r="W463" s="1">
        <f t="shared" si="61"/>
        <v>53.900000000000006</v>
      </c>
      <c r="X463" s="1" t="str">
        <f>IF(Table1[[#This Row],[World Rank]]&lt;=250,"Q1-Elite",IF(Table1[[#This Row],[World Rank]]&lt;=500,"Q2-Strong",IF(Table1[[#This Row],[World Rank]]&lt;=750,"Q3-Developing","Q4-Emerging")))</f>
        <v>Q2-Strong</v>
      </c>
    </row>
    <row r="464" spans="1:24" x14ac:dyDescent="0.2">
      <c r="A464" s="1">
        <v>463</v>
      </c>
      <c r="B464" s="1" t="s">
        <v>523</v>
      </c>
      <c r="C464" s="1" t="s">
        <v>524</v>
      </c>
      <c r="D464" s="1" t="s">
        <v>1124</v>
      </c>
      <c r="E464" s="1">
        <v>1</v>
      </c>
      <c r="F464" s="1">
        <v>667</v>
      </c>
      <c r="G464" s="1">
        <v>1001</v>
      </c>
      <c r="H464" s="1">
        <v>304</v>
      </c>
      <c r="I464" s="1">
        <v>296</v>
      </c>
      <c r="J464" s="1">
        <v>549</v>
      </c>
      <c r="K464" s="1">
        <v>503</v>
      </c>
      <c r="L464" s="1">
        <v>460</v>
      </c>
      <c r="M464" s="1">
        <v>74.2</v>
      </c>
      <c r="N464" s="1">
        <v>45.365844299999999</v>
      </c>
      <c r="O464" s="1">
        <v>15.6575209</v>
      </c>
      <c r="P464" s="14">
        <f t="shared" si="55"/>
        <v>45.2</v>
      </c>
      <c r="Q464" s="13">
        <v>20</v>
      </c>
      <c r="R464" s="16">
        <f t="shared" si="56"/>
        <v>0</v>
      </c>
      <c r="S464" s="14">
        <f t="shared" si="57"/>
        <v>0</v>
      </c>
      <c r="T464" s="13">
        <f t="shared" si="58"/>
        <v>70.5</v>
      </c>
      <c r="U464" s="14">
        <f t="shared" si="59"/>
        <v>49.8</v>
      </c>
      <c r="V464" s="14">
        <f t="shared" si="60"/>
        <v>54.1</v>
      </c>
      <c r="W464" s="1">
        <f t="shared" si="61"/>
        <v>53.800000000000004</v>
      </c>
      <c r="X464" s="1" t="str">
        <f>IF(Table1[[#This Row],[World Rank]]&lt;=250,"Q1-Elite",IF(Table1[[#This Row],[World Rank]]&lt;=500,"Q2-Strong",IF(Table1[[#This Row],[World Rank]]&lt;=750,"Q3-Developing","Q4-Emerging")))</f>
        <v>Q2-Strong</v>
      </c>
    </row>
    <row r="465" spans="1:24" x14ac:dyDescent="0.2">
      <c r="A465" s="1">
        <v>464</v>
      </c>
      <c r="B465" s="1" t="s">
        <v>525</v>
      </c>
      <c r="C465" s="1" t="s">
        <v>72</v>
      </c>
      <c r="D465" s="1" t="s">
        <v>1124</v>
      </c>
      <c r="E465" s="1">
        <v>10</v>
      </c>
      <c r="F465" s="1">
        <v>657</v>
      </c>
      <c r="G465" s="1">
        <v>419</v>
      </c>
      <c r="H465" s="1">
        <v>304</v>
      </c>
      <c r="I465" s="1">
        <v>408</v>
      </c>
      <c r="J465" s="1">
        <v>380</v>
      </c>
      <c r="K465" s="1">
        <v>467</v>
      </c>
      <c r="L465" s="1">
        <v>673</v>
      </c>
      <c r="M465" s="1">
        <v>74.2</v>
      </c>
      <c r="N465" s="1">
        <v>44.133434999999999</v>
      </c>
      <c r="O465" s="1">
        <v>-70.822677999999996</v>
      </c>
      <c r="P465" s="14">
        <f t="shared" si="55"/>
        <v>62.1</v>
      </c>
      <c r="Q465" s="13">
        <v>20</v>
      </c>
      <c r="R465" s="16">
        <f t="shared" si="56"/>
        <v>58.199999999999996</v>
      </c>
      <c r="S465" s="14">
        <f t="shared" si="57"/>
        <v>0</v>
      </c>
      <c r="T465" s="13">
        <f t="shared" si="58"/>
        <v>59.3</v>
      </c>
      <c r="U465" s="14">
        <f t="shared" si="59"/>
        <v>53.400000000000006</v>
      </c>
      <c r="V465" s="14">
        <f t="shared" si="60"/>
        <v>32.800000000000004</v>
      </c>
      <c r="W465" s="1">
        <f t="shared" si="61"/>
        <v>53.7</v>
      </c>
      <c r="X465" s="1" t="str">
        <f>IF(Table1[[#This Row],[World Rank]]&lt;=250,"Q1-Elite",IF(Table1[[#This Row],[World Rank]]&lt;=500,"Q2-Strong",IF(Table1[[#This Row],[World Rank]]&lt;=750,"Q3-Developing","Q4-Emerging")))</f>
        <v>Q2-Strong</v>
      </c>
    </row>
    <row r="466" spans="1:24" x14ac:dyDescent="0.2">
      <c r="A466" s="1">
        <v>465</v>
      </c>
      <c r="B466" s="1" t="s">
        <v>526</v>
      </c>
      <c r="C466" s="1" t="s">
        <v>124</v>
      </c>
      <c r="D466" s="1" t="s">
        <v>1125</v>
      </c>
      <c r="E466" s="1">
        <v>31</v>
      </c>
      <c r="F466" s="1">
        <v>667</v>
      </c>
      <c r="G466" s="1">
        <v>1001</v>
      </c>
      <c r="H466" s="1">
        <v>304</v>
      </c>
      <c r="I466" s="1">
        <v>353</v>
      </c>
      <c r="J466" s="1">
        <v>486</v>
      </c>
      <c r="K466" s="1">
        <v>534</v>
      </c>
      <c r="L466" s="1">
        <v>460</v>
      </c>
      <c r="M466" s="1">
        <v>74.099999999999994</v>
      </c>
      <c r="N466" s="1">
        <v>30.047992000000001</v>
      </c>
      <c r="O466" s="1">
        <v>-94.335743300000004</v>
      </c>
      <c r="P466" s="14">
        <f t="shared" si="55"/>
        <v>51.5</v>
      </c>
      <c r="Q466" s="13">
        <v>20</v>
      </c>
      <c r="R466" s="16">
        <f t="shared" si="56"/>
        <v>0</v>
      </c>
      <c r="S466" s="14">
        <f t="shared" si="57"/>
        <v>0</v>
      </c>
      <c r="T466" s="13">
        <f t="shared" si="58"/>
        <v>64.8</v>
      </c>
      <c r="U466" s="14">
        <f t="shared" si="59"/>
        <v>46.7</v>
      </c>
      <c r="V466" s="14">
        <f t="shared" si="60"/>
        <v>54.1</v>
      </c>
      <c r="W466" s="1">
        <f t="shared" si="61"/>
        <v>53.6</v>
      </c>
      <c r="X466" s="1" t="str">
        <f>IF(Table1[[#This Row],[World Rank]]&lt;=250,"Q1-Elite",IF(Table1[[#This Row],[World Rank]]&lt;=500,"Q2-Strong",IF(Table1[[#This Row],[World Rank]]&lt;=750,"Q3-Developing","Q4-Emerging")))</f>
        <v>Q2-Strong</v>
      </c>
    </row>
    <row r="467" spans="1:24" x14ac:dyDescent="0.2">
      <c r="A467" s="1">
        <v>466</v>
      </c>
      <c r="B467" s="1" t="s">
        <v>527</v>
      </c>
      <c r="C467" s="1" t="s">
        <v>212</v>
      </c>
      <c r="D467" s="1" t="s">
        <v>1124</v>
      </c>
      <c r="E467" s="1">
        <v>5</v>
      </c>
      <c r="F467" s="1">
        <v>667</v>
      </c>
      <c r="G467" s="1">
        <v>1001</v>
      </c>
      <c r="H467" s="1">
        <v>304</v>
      </c>
      <c r="I467" s="1">
        <v>616</v>
      </c>
      <c r="J467" s="1">
        <v>502</v>
      </c>
      <c r="K467" s="1">
        <v>431</v>
      </c>
      <c r="L467" s="1">
        <v>275</v>
      </c>
      <c r="M467" s="1">
        <v>74.099999999999994</v>
      </c>
      <c r="N467" s="1">
        <v>47.593969999999999</v>
      </c>
      <c r="O467" s="1">
        <v>14.124560000000001</v>
      </c>
      <c r="P467" s="14">
        <f t="shared" si="55"/>
        <v>49.9</v>
      </c>
      <c r="Q467" s="13">
        <v>20</v>
      </c>
      <c r="R467" s="16">
        <f t="shared" si="56"/>
        <v>0</v>
      </c>
      <c r="S467" s="14">
        <f t="shared" si="57"/>
        <v>0</v>
      </c>
      <c r="T467" s="13">
        <f t="shared" si="58"/>
        <v>38.5</v>
      </c>
      <c r="U467" s="14">
        <f t="shared" si="59"/>
        <v>56.999999999999993</v>
      </c>
      <c r="V467" s="14">
        <f t="shared" si="60"/>
        <v>72.599999999999994</v>
      </c>
      <c r="W467" s="1">
        <f t="shared" si="61"/>
        <v>53.5</v>
      </c>
      <c r="X467" s="1" t="str">
        <f>IF(Table1[[#This Row],[World Rank]]&lt;=250,"Q1-Elite",IF(Table1[[#This Row],[World Rank]]&lt;=500,"Q2-Strong",IF(Table1[[#This Row],[World Rank]]&lt;=750,"Q3-Developing","Q4-Emerging")))</f>
        <v>Q2-Strong</v>
      </c>
    </row>
    <row r="468" spans="1:24" x14ac:dyDescent="0.2">
      <c r="A468" s="1">
        <v>467</v>
      </c>
      <c r="B468" s="1" t="s">
        <v>528</v>
      </c>
      <c r="C468" s="1" t="s">
        <v>145</v>
      </c>
      <c r="D468" s="1" t="s">
        <v>1125</v>
      </c>
      <c r="E468" s="1">
        <v>5</v>
      </c>
      <c r="F468" s="1">
        <v>667</v>
      </c>
      <c r="G468" s="1">
        <v>1001</v>
      </c>
      <c r="H468" s="1">
        <v>304</v>
      </c>
      <c r="I468" s="1">
        <v>359</v>
      </c>
      <c r="J468" s="1">
        <v>346</v>
      </c>
      <c r="K468" s="1">
        <v>485</v>
      </c>
      <c r="L468" s="1">
        <v>898</v>
      </c>
      <c r="M468" s="1">
        <v>74.099999999999994</v>
      </c>
      <c r="N468" s="1">
        <v>23.598322700000001</v>
      </c>
      <c r="O468" s="2" t="s">
        <v>146</v>
      </c>
      <c r="P468" s="14">
        <f t="shared" si="55"/>
        <v>65.5</v>
      </c>
      <c r="Q468" s="13">
        <v>20</v>
      </c>
      <c r="R468" s="16">
        <f t="shared" si="56"/>
        <v>0</v>
      </c>
      <c r="S468" s="14">
        <f t="shared" si="57"/>
        <v>0</v>
      </c>
      <c r="T468" s="13">
        <f t="shared" si="58"/>
        <v>64.2</v>
      </c>
      <c r="U468" s="14">
        <f t="shared" si="59"/>
        <v>51.6</v>
      </c>
      <c r="V468" s="14">
        <f t="shared" si="60"/>
        <v>10.299999999999999</v>
      </c>
      <c r="W468" s="1">
        <f t="shared" si="61"/>
        <v>53.400000000000006</v>
      </c>
      <c r="X468" s="1" t="str">
        <f>IF(Table1[[#This Row],[World Rank]]&lt;=250,"Q1-Elite",IF(Table1[[#This Row],[World Rank]]&lt;=500,"Q2-Strong",IF(Table1[[#This Row],[World Rank]]&lt;=750,"Q3-Developing","Q4-Emerging")))</f>
        <v>Q2-Strong</v>
      </c>
    </row>
    <row r="469" spans="1:24" x14ac:dyDescent="0.2">
      <c r="A469" s="1">
        <v>468</v>
      </c>
      <c r="B469" s="1" t="s">
        <v>529</v>
      </c>
      <c r="C469" s="1" t="s">
        <v>34</v>
      </c>
      <c r="D469" s="1" t="s">
        <v>1120</v>
      </c>
      <c r="E469" s="1">
        <v>20</v>
      </c>
      <c r="F469" s="1">
        <v>667</v>
      </c>
      <c r="G469" s="1">
        <v>1001</v>
      </c>
      <c r="H469" s="1">
        <v>304</v>
      </c>
      <c r="I469" s="1">
        <v>575</v>
      </c>
      <c r="J469" s="1">
        <v>483</v>
      </c>
      <c r="K469" s="1">
        <v>450</v>
      </c>
      <c r="L469" s="1">
        <v>304</v>
      </c>
      <c r="M469" s="1">
        <v>74.099999999999994</v>
      </c>
      <c r="N469" s="1">
        <v>61.066692199999999</v>
      </c>
      <c r="O469" s="1">
        <v>-107.99170700000001</v>
      </c>
      <c r="P469" s="14">
        <f t="shared" si="55"/>
        <v>51.800000000000004</v>
      </c>
      <c r="Q469" s="13">
        <v>20</v>
      </c>
      <c r="R469" s="16">
        <f t="shared" si="56"/>
        <v>0</v>
      </c>
      <c r="S469" s="14">
        <f t="shared" si="57"/>
        <v>0</v>
      </c>
      <c r="T469" s="13">
        <f t="shared" si="58"/>
        <v>42.6</v>
      </c>
      <c r="U469" s="14">
        <f t="shared" si="59"/>
        <v>55.1</v>
      </c>
      <c r="V469" s="14">
        <f t="shared" si="60"/>
        <v>69.699999999999989</v>
      </c>
      <c r="W469" s="1">
        <f t="shared" si="61"/>
        <v>53.300000000000004</v>
      </c>
      <c r="X469" s="1" t="str">
        <f>IF(Table1[[#This Row],[World Rank]]&lt;=250,"Q1-Elite",IF(Table1[[#This Row],[World Rank]]&lt;=500,"Q2-Strong",IF(Table1[[#This Row],[World Rank]]&lt;=750,"Q3-Developing","Q4-Emerging")))</f>
        <v>Q2-Strong</v>
      </c>
    </row>
    <row r="470" spans="1:24" x14ac:dyDescent="0.2">
      <c r="A470" s="1">
        <v>469</v>
      </c>
      <c r="B470" s="1" t="s">
        <v>530</v>
      </c>
      <c r="C470" s="1" t="s">
        <v>15</v>
      </c>
      <c r="D470" s="1" t="s">
        <v>1120</v>
      </c>
      <c r="E470" s="1">
        <v>130</v>
      </c>
      <c r="F470" s="1">
        <v>667</v>
      </c>
      <c r="G470" s="1">
        <v>1001</v>
      </c>
      <c r="H470" s="1">
        <v>304</v>
      </c>
      <c r="I470" s="1">
        <v>637</v>
      </c>
      <c r="J470" s="1">
        <v>469</v>
      </c>
      <c r="K470" s="1">
        <v>339</v>
      </c>
      <c r="L470" s="1">
        <v>405</v>
      </c>
      <c r="M470" s="1">
        <v>74.099999999999994</v>
      </c>
      <c r="N470" s="1">
        <v>39.783730400000003</v>
      </c>
      <c r="O470" s="1">
        <v>-100.445882</v>
      </c>
      <c r="P470" s="14">
        <f t="shared" si="55"/>
        <v>53.2</v>
      </c>
      <c r="Q470" s="13">
        <v>20</v>
      </c>
      <c r="R470" s="16">
        <f t="shared" si="56"/>
        <v>0</v>
      </c>
      <c r="S470" s="14">
        <f t="shared" si="57"/>
        <v>0</v>
      </c>
      <c r="T470" s="13">
        <f t="shared" si="58"/>
        <v>36.4</v>
      </c>
      <c r="U470" s="14">
        <f t="shared" si="59"/>
        <v>66.2</v>
      </c>
      <c r="V470" s="14">
        <f t="shared" si="60"/>
        <v>59.599999999999994</v>
      </c>
      <c r="W470" s="1">
        <f t="shared" si="61"/>
        <v>53.2</v>
      </c>
      <c r="X470" s="1" t="str">
        <f>IF(Table1[[#This Row],[World Rank]]&lt;=250,"Q1-Elite",IF(Table1[[#This Row],[World Rank]]&lt;=500,"Q2-Strong",IF(Table1[[#This Row],[World Rank]]&lt;=750,"Q3-Developing","Q4-Emerging")))</f>
        <v>Q2-Strong</v>
      </c>
    </row>
    <row r="471" spans="1:24" x14ac:dyDescent="0.2">
      <c r="A471" s="1">
        <v>470</v>
      </c>
      <c r="B471" s="1" t="s">
        <v>531</v>
      </c>
      <c r="C471" s="1" t="s">
        <v>93</v>
      </c>
      <c r="D471" s="1" t="s">
        <v>1124</v>
      </c>
      <c r="E471" s="1">
        <v>23</v>
      </c>
      <c r="F471" s="1">
        <v>667</v>
      </c>
      <c r="G471" s="1">
        <v>1001</v>
      </c>
      <c r="H471" s="1">
        <v>304</v>
      </c>
      <c r="I471" s="1">
        <v>594</v>
      </c>
      <c r="J471" s="1">
        <v>539</v>
      </c>
      <c r="K471" s="1">
        <v>423</v>
      </c>
      <c r="L471" s="1">
        <v>275</v>
      </c>
      <c r="M471" s="1">
        <v>74.099999999999994</v>
      </c>
      <c r="N471" s="1">
        <v>42.638426099999997</v>
      </c>
      <c r="O471" s="1">
        <v>12.674296999999999</v>
      </c>
      <c r="P471" s="14">
        <f t="shared" si="55"/>
        <v>46.2</v>
      </c>
      <c r="Q471" s="13">
        <v>20</v>
      </c>
      <c r="R471" s="16">
        <f t="shared" si="56"/>
        <v>0</v>
      </c>
      <c r="S471" s="14">
        <f t="shared" si="57"/>
        <v>0</v>
      </c>
      <c r="T471" s="13">
        <f t="shared" si="58"/>
        <v>40.699999999999996</v>
      </c>
      <c r="U471" s="14">
        <f t="shared" si="59"/>
        <v>57.8</v>
      </c>
      <c r="V471" s="14">
        <f t="shared" si="60"/>
        <v>72.599999999999994</v>
      </c>
      <c r="W471" s="1">
        <f t="shared" si="61"/>
        <v>53.1</v>
      </c>
      <c r="X471" s="1" t="str">
        <f>IF(Table1[[#This Row],[World Rank]]&lt;=250,"Q1-Elite",IF(Table1[[#This Row],[World Rank]]&lt;=500,"Q2-Strong",IF(Table1[[#This Row],[World Rank]]&lt;=750,"Q3-Developing","Q4-Emerging")))</f>
        <v>Q2-Strong</v>
      </c>
    </row>
    <row r="472" spans="1:24" x14ac:dyDescent="0.2">
      <c r="A472" s="1">
        <v>471</v>
      </c>
      <c r="B472" s="1" t="s">
        <v>532</v>
      </c>
      <c r="C472" s="1" t="s">
        <v>533</v>
      </c>
      <c r="D472" s="1" t="s">
        <v>1125</v>
      </c>
      <c r="E472" s="1">
        <v>1</v>
      </c>
      <c r="F472" s="1">
        <v>667</v>
      </c>
      <c r="G472" s="1">
        <v>1001</v>
      </c>
      <c r="H472" s="1">
        <v>304</v>
      </c>
      <c r="I472" s="1">
        <v>424</v>
      </c>
      <c r="J472" s="1">
        <v>460</v>
      </c>
      <c r="K472" s="1">
        <v>312</v>
      </c>
      <c r="L472" s="1">
        <v>898</v>
      </c>
      <c r="M472" s="1">
        <v>74.099999999999994</v>
      </c>
      <c r="N472" s="1">
        <v>13.03876215</v>
      </c>
      <c r="O472" s="2" t="s">
        <v>534</v>
      </c>
      <c r="P472" s="14">
        <f t="shared" si="55"/>
        <v>54.1</v>
      </c>
      <c r="Q472" s="13">
        <v>20</v>
      </c>
      <c r="R472" s="16">
        <f t="shared" si="56"/>
        <v>0</v>
      </c>
      <c r="S472" s="14">
        <f t="shared" si="57"/>
        <v>0</v>
      </c>
      <c r="T472" s="13">
        <f t="shared" si="58"/>
        <v>57.699999999999996</v>
      </c>
      <c r="U472" s="14">
        <f t="shared" si="59"/>
        <v>68.899999999999991</v>
      </c>
      <c r="V472" s="14">
        <f t="shared" si="60"/>
        <v>10.299999999999999</v>
      </c>
      <c r="W472" s="1">
        <f t="shared" si="61"/>
        <v>53</v>
      </c>
      <c r="X472" s="1" t="str">
        <f>IF(Table1[[#This Row],[World Rank]]&lt;=250,"Q1-Elite",IF(Table1[[#This Row],[World Rank]]&lt;=500,"Q2-Strong",IF(Table1[[#This Row],[World Rank]]&lt;=750,"Q3-Developing","Q4-Emerging")))</f>
        <v>Q2-Strong</v>
      </c>
    </row>
    <row r="473" spans="1:24" x14ac:dyDescent="0.2">
      <c r="A473" s="1">
        <v>472</v>
      </c>
      <c r="B473" s="1" t="s">
        <v>535</v>
      </c>
      <c r="C473" s="1" t="s">
        <v>118</v>
      </c>
      <c r="D473" s="1" t="s">
        <v>1124</v>
      </c>
      <c r="E473" s="1">
        <v>15</v>
      </c>
      <c r="F473" s="1">
        <v>667</v>
      </c>
      <c r="G473" s="1">
        <v>1001</v>
      </c>
      <c r="H473" s="1">
        <v>304</v>
      </c>
      <c r="I473" s="1">
        <v>374</v>
      </c>
      <c r="J473" s="1">
        <v>371</v>
      </c>
      <c r="K473" s="1">
        <v>575</v>
      </c>
      <c r="L473" s="1">
        <v>673</v>
      </c>
      <c r="M473" s="1">
        <v>74.099999999999994</v>
      </c>
      <c r="N473" s="1">
        <v>39.326068499999998</v>
      </c>
      <c r="O473" s="1">
        <v>-4.8379791000000001</v>
      </c>
      <c r="P473" s="14">
        <f t="shared" si="55"/>
        <v>63</v>
      </c>
      <c r="Q473" s="13">
        <v>20</v>
      </c>
      <c r="R473" s="16">
        <f t="shared" si="56"/>
        <v>0</v>
      </c>
      <c r="S473" s="14">
        <f t="shared" si="57"/>
        <v>0</v>
      </c>
      <c r="T473" s="13">
        <f t="shared" si="58"/>
        <v>62.7</v>
      </c>
      <c r="U473" s="14">
        <f t="shared" si="59"/>
        <v>42.6</v>
      </c>
      <c r="V473" s="14">
        <f t="shared" si="60"/>
        <v>32.800000000000004</v>
      </c>
      <c r="W473" s="1">
        <f t="shared" si="61"/>
        <v>52.900000000000006</v>
      </c>
      <c r="X473" s="1" t="str">
        <f>IF(Table1[[#This Row],[World Rank]]&lt;=250,"Q1-Elite",IF(Table1[[#This Row],[World Rank]]&lt;=500,"Q2-Strong",IF(Table1[[#This Row],[World Rank]]&lt;=750,"Q3-Developing","Q4-Emerging")))</f>
        <v>Q2-Strong</v>
      </c>
    </row>
    <row r="474" spans="1:24" x14ac:dyDescent="0.2">
      <c r="A474" s="1">
        <v>473</v>
      </c>
      <c r="B474" s="1" t="s">
        <v>536</v>
      </c>
      <c r="C474" s="1" t="s">
        <v>269</v>
      </c>
      <c r="D474" s="1" t="s">
        <v>1124</v>
      </c>
      <c r="E474" s="1">
        <v>3</v>
      </c>
      <c r="F474" s="1">
        <v>526</v>
      </c>
      <c r="G474" s="1">
        <v>1001</v>
      </c>
      <c r="H474" s="1">
        <v>304</v>
      </c>
      <c r="I474" s="1">
        <v>518</v>
      </c>
      <c r="J474" s="1">
        <v>452</v>
      </c>
      <c r="K474" s="1">
        <v>447</v>
      </c>
      <c r="L474" s="1">
        <v>405</v>
      </c>
      <c r="M474" s="1">
        <v>74.099999999999994</v>
      </c>
      <c r="N474" s="1">
        <v>52.865195999999997</v>
      </c>
      <c r="O474" s="1">
        <v>-7.9794599000000002</v>
      </c>
      <c r="P474" s="14">
        <f t="shared" si="55"/>
        <v>54.900000000000006</v>
      </c>
      <c r="Q474" s="13">
        <f>((667 - F474) / 666) * 100</f>
        <v>21.171171171171171</v>
      </c>
      <c r="R474" s="16">
        <f t="shared" si="56"/>
        <v>0</v>
      </c>
      <c r="S474" s="14">
        <f t="shared" si="57"/>
        <v>0</v>
      </c>
      <c r="T474" s="13">
        <f t="shared" si="58"/>
        <v>48.3</v>
      </c>
      <c r="U474" s="14">
        <f t="shared" si="59"/>
        <v>55.400000000000006</v>
      </c>
      <c r="V474" s="14">
        <f t="shared" si="60"/>
        <v>59.599999999999994</v>
      </c>
      <c r="W474" s="1">
        <f t="shared" si="61"/>
        <v>52.800000000000004</v>
      </c>
      <c r="X474" s="1" t="str">
        <f>IF(Table1[[#This Row],[World Rank]]&lt;=250,"Q1-Elite",IF(Table1[[#This Row],[World Rank]]&lt;=500,"Q2-Strong",IF(Table1[[#This Row],[World Rank]]&lt;=750,"Q3-Developing","Q4-Emerging")))</f>
        <v>Q2-Strong</v>
      </c>
    </row>
    <row r="475" spans="1:24" x14ac:dyDescent="0.2">
      <c r="A475" s="1">
        <v>474</v>
      </c>
      <c r="B475" s="1" t="s">
        <v>537</v>
      </c>
      <c r="C475" s="1" t="s">
        <v>68</v>
      </c>
      <c r="D475" s="1" t="s">
        <v>1124</v>
      </c>
      <c r="E475" s="1">
        <v>37</v>
      </c>
      <c r="F475" s="1">
        <v>667</v>
      </c>
      <c r="G475" s="1">
        <v>1001</v>
      </c>
      <c r="H475" s="1">
        <v>304</v>
      </c>
      <c r="I475" s="1">
        <v>449</v>
      </c>
      <c r="J475" s="1">
        <v>454</v>
      </c>
      <c r="K475" s="1">
        <v>555</v>
      </c>
      <c r="L475" s="1">
        <v>405</v>
      </c>
      <c r="M475" s="1">
        <v>74</v>
      </c>
      <c r="N475" s="1">
        <v>40.420347900000003</v>
      </c>
      <c r="O475" s="1">
        <v>-79.116698299999996</v>
      </c>
      <c r="P475" s="14">
        <f t="shared" si="55"/>
        <v>54.7</v>
      </c>
      <c r="Q475" s="13">
        <v>20</v>
      </c>
      <c r="R475" s="16">
        <f t="shared" si="56"/>
        <v>0</v>
      </c>
      <c r="S475" s="14">
        <f t="shared" si="57"/>
        <v>0</v>
      </c>
      <c r="T475" s="13">
        <f t="shared" si="58"/>
        <v>55.2</v>
      </c>
      <c r="U475" s="14">
        <f t="shared" si="59"/>
        <v>44.6</v>
      </c>
      <c r="V475" s="14">
        <f t="shared" si="60"/>
        <v>59.599999999999994</v>
      </c>
      <c r="W475" s="1">
        <f t="shared" si="61"/>
        <v>52.7</v>
      </c>
      <c r="X475" s="1" t="str">
        <f>IF(Table1[[#This Row],[World Rank]]&lt;=250,"Q1-Elite",IF(Table1[[#This Row],[World Rank]]&lt;=500,"Q2-Strong",IF(Table1[[#This Row],[World Rank]]&lt;=750,"Q3-Developing","Q4-Emerging")))</f>
        <v>Q2-Strong</v>
      </c>
    </row>
    <row r="476" spans="1:24" x14ac:dyDescent="0.2">
      <c r="A476" s="1">
        <v>475</v>
      </c>
      <c r="B476" s="1" t="s">
        <v>538</v>
      </c>
      <c r="C476" s="1" t="s">
        <v>93</v>
      </c>
      <c r="D476" s="1" t="s">
        <v>1124</v>
      </c>
      <c r="E476" s="1">
        <v>24</v>
      </c>
      <c r="F476" s="1">
        <v>667</v>
      </c>
      <c r="G476" s="1">
        <v>776</v>
      </c>
      <c r="H476" s="1">
        <v>304</v>
      </c>
      <c r="I476" s="1">
        <v>516</v>
      </c>
      <c r="J476" s="1">
        <v>481</v>
      </c>
      <c r="K476" s="1">
        <v>533</v>
      </c>
      <c r="L476" s="1">
        <v>327</v>
      </c>
      <c r="M476" s="1">
        <v>74</v>
      </c>
      <c r="N476" s="1">
        <v>42.638426099999997</v>
      </c>
      <c r="O476" s="1">
        <v>12.674296999999999</v>
      </c>
      <c r="P476" s="14">
        <f t="shared" si="55"/>
        <v>52</v>
      </c>
      <c r="Q476" s="13">
        <v>20</v>
      </c>
      <c r="R476" s="16">
        <f t="shared" si="56"/>
        <v>22.5</v>
      </c>
      <c r="S476" s="14">
        <f t="shared" si="57"/>
        <v>0</v>
      </c>
      <c r="T476" s="13">
        <f t="shared" si="58"/>
        <v>48.5</v>
      </c>
      <c r="U476" s="14">
        <f t="shared" si="59"/>
        <v>46.800000000000004</v>
      </c>
      <c r="V476" s="14">
        <f t="shared" si="60"/>
        <v>67.400000000000006</v>
      </c>
      <c r="W476" s="1">
        <f t="shared" si="61"/>
        <v>52.6</v>
      </c>
      <c r="X476" s="1" t="str">
        <f>IF(Table1[[#This Row],[World Rank]]&lt;=250,"Q1-Elite",IF(Table1[[#This Row],[World Rank]]&lt;=500,"Q2-Strong",IF(Table1[[#This Row],[World Rank]]&lt;=750,"Q3-Developing","Q4-Emerging")))</f>
        <v>Q2-Strong</v>
      </c>
    </row>
    <row r="477" spans="1:24" x14ac:dyDescent="0.2">
      <c r="A477" s="1">
        <v>476</v>
      </c>
      <c r="B477" s="1" t="s">
        <v>539</v>
      </c>
      <c r="C477" s="1" t="s">
        <v>540</v>
      </c>
      <c r="D477" s="1" t="s">
        <v>1124</v>
      </c>
      <c r="E477" s="1">
        <v>1</v>
      </c>
      <c r="F477" s="1">
        <v>667</v>
      </c>
      <c r="G477" s="1">
        <v>1001</v>
      </c>
      <c r="H477" s="1">
        <v>304</v>
      </c>
      <c r="I477" s="1">
        <v>770</v>
      </c>
      <c r="J477" s="1">
        <v>597</v>
      </c>
      <c r="K477" s="1">
        <v>257</v>
      </c>
      <c r="L477" s="1">
        <v>327</v>
      </c>
      <c r="M477" s="1">
        <v>74</v>
      </c>
      <c r="N477" s="1">
        <v>64.984182099999998</v>
      </c>
      <c r="O477" s="1">
        <v>-18.105901299999999</v>
      </c>
      <c r="P477" s="14">
        <f t="shared" si="55"/>
        <v>40.400000000000006</v>
      </c>
      <c r="Q477" s="13">
        <v>20</v>
      </c>
      <c r="R477" s="16">
        <f t="shared" si="56"/>
        <v>0</v>
      </c>
      <c r="S477" s="14">
        <f t="shared" si="57"/>
        <v>0</v>
      </c>
      <c r="T477" s="13">
        <f t="shared" si="58"/>
        <v>23.1</v>
      </c>
      <c r="U477" s="14">
        <f t="shared" si="59"/>
        <v>74.400000000000006</v>
      </c>
      <c r="V477" s="14">
        <f t="shared" si="60"/>
        <v>67.400000000000006</v>
      </c>
      <c r="W477" s="1">
        <f t="shared" si="61"/>
        <v>52.5</v>
      </c>
      <c r="X477" s="1" t="str">
        <f>IF(Table1[[#This Row],[World Rank]]&lt;=250,"Q1-Elite",IF(Table1[[#This Row],[World Rank]]&lt;=500,"Q2-Strong",IF(Table1[[#This Row],[World Rank]]&lt;=750,"Q3-Developing","Q4-Emerging")))</f>
        <v>Q2-Strong</v>
      </c>
    </row>
    <row r="478" spans="1:24" x14ac:dyDescent="0.2">
      <c r="A478" s="1">
        <v>477</v>
      </c>
      <c r="B478" s="1" t="s">
        <v>541</v>
      </c>
      <c r="C478" s="1" t="s">
        <v>68</v>
      </c>
      <c r="D478" s="1" t="s">
        <v>1124</v>
      </c>
      <c r="E478" s="1">
        <v>38</v>
      </c>
      <c r="F478" s="1">
        <v>667</v>
      </c>
      <c r="G478" s="1">
        <v>1001</v>
      </c>
      <c r="H478" s="1">
        <v>304</v>
      </c>
      <c r="I478" s="1">
        <v>667</v>
      </c>
      <c r="J478" s="1">
        <v>523</v>
      </c>
      <c r="K478" s="1">
        <v>362</v>
      </c>
      <c r="L478" s="1">
        <v>327</v>
      </c>
      <c r="M478" s="1">
        <v>74</v>
      </c>
      <c r="N478" s="1">
        <v>40.420347900000003</v>
      </c>
      <c r="O478" s="1">
        <v>-79.116698299999996</v>
      </c>
      <c r="P478" s="14">
        <f t="shared" si="55"/>
        <v>47.8</v>
      </c>
      <c r="Q478" s="13">
        <v>20</v>
      </c>
      <c r="R478" s="16">
        <f t="shared" si="56"/>
        <v>0</v>
      </c>
      <c r="S478" s="14">
        <f t="shared" si="57"/>
        <v>0</v>
      </c>
      <c r="T478" s="13">
        <f t="shared" si="58"/>
        <v>33.4</v>
      </c>
      <c r="U478" s="14">
        <f t="shared" si="59"/>
        <v>63.9</v>
      </c>
      <c r="V478" s="14">
        <f t="shared" si="60"/>
        <v>67.400000000000006</v>
      </c>
      <c r="W478" s="1">
        <f t="shared" si="61"/>
        <v>52.400000000000006</v>
      </c>
      <c r="X478" s="1" t="str">
        <f>IF(Table1[[#This Row],[World Rank]]&lt;=250,"Q1-Elite",IF(Table1[[#This Row],[World Rank]]&lt;=500,"Q2-Strong",IF(Table1[[#This Row],[World Rank]]&lt;=750,"Q3-Developing","Q4-Emerging")))</f>
        <v>Q2-Strong</v>
      </c>
    </row>
    <row r="479" spans="1:24" x14ac:dyDescent="0.2">
      <c r="A479" s="1">
        <v>478</v>
      </c>
      <c r="B479" s="1" t="s">
        <v>542</v>
      </c>
      <c r="C479" s="1" t="s">
        <v>15</v>
      </c>
      <c r="D479" s="1" t="s">
        <v>1120</v>
      </c>
      <c r="E479" s="1">
        <v>131</v>
      </c>
      <c r="F479" s="1">
        <v>600</v>
      </c>
      <c r="G479" s="1">
        <v>260</v>
      </c>
      <c r="H479" s="1">
        <v>304</v>
      </c>
      <c r="I479" s="1">
        <v>501</v>
      </c>
      <c r="J479" s="1">
        <v>467</v>
      </c>
      <c r="K479" s="1">
        <v>487</v>
      </c>
      <c r="L479" s="1">
        <v>460</v>
      </c>
      <c r="M479" s="1">
        <v>74</v>
      </c>
      <c r="N479" s="1">
        <v>39.783730400000003</v>
      </c>
      <c r="O479" s="1">
        <v>-100.445882</v>
      </c>
      <c r="P479" s="14">
        <f t="shared" si="55"/>
        <v>53.400000000000006</v>
      </c>
      <c r="Q479" s="13">
        <v>20</v>
      </c>
      <c r="R479" s="16">
        <f t="shared" si="56"/>
        <v>74.099999999999994</v>
      </c>
      <c r="S479" s="14">
        <f t="shared" si="57"/>
        <v>0</v>
      </c>
      <c r="T479" s="13">
        <f t="shared" si="58"/>
        <v>50</v>
      </c>
      <c r="U479" s="14">
        <f t="shared" si="59"/>
        <v>51.4</v>
      </c>
      <c r="V479" s="14">
        <f t="shared" si="60"/>
        <v>54.1</v>
      </c>
      <c r="W479" s="1">
        <f t="shared" si="61"/>
        <v>52.300000000000004</v>
      </c>
      <c r="X479" s="1" t="str">
        <f>IF(Table1[[#This Row],[World Rank]]&lt;=250,"Q1-Elite",IF(Table1[[#This Row],[World Rank]]&lt;=500,"Q2-Strong",IF(Table1[[#This Row],[World Rank]]&lt;=750,"Q3-Developing","Q4-Emerging")))</f>
        <v>Q2-Strong</v>
      </c>
    </row>
    <row r="480" spans="1:24" x14ac:dyDescent="0.2">
      <c r="A480" s="1">
        <v>479</v>
      </c>
      <c r="B480" s="1" t="s">
        <v>543</v>
      </c>
      <c r="C480" s="1" t="s">
        <v>93</v>
      </c>
      <c r="D480" s="1" t="s">
        <v>1124</v>
      </c>
      <c r="E480" s="1">
        <v>25</v>
      </c>
      <c r="F480" s="1">
        <v>667</v>
      </c>
      <c r="G480" s="1">
        <v>1001</v>
      </c>
      <c r="H480" s="1">
        <v>304</v>
      </c>
      <c r="I480" s="1">
        <v>565</v>
      </c>
      <c r="J480" s="1">
        <v>485</v>
      </c>
      <c r="K480" s="1">
        <v>474</v>
      </c>
      <c r="L480" s="1">
        <v>405</v>
      </c>
      <c r="M480" s="1">
        <v>74</v>
      </c>
      <c r="N480" s="1">
        <v>42.638426099999997</v>
      </c>
      <c r="O480" s="1">
        <v>12.674296999999999</v>
      </c>
      <c r="P480" s="14">
        <f t="shared" si="55"/>
        <v>51.6</v>
      </c>
      <c r="Q480" s="13">
        <v>20</v>
      </c>
      <c r="R480" s="16">
        <f t="shared" si="56"/>
        <v>0</v>
      </c>
      <c r="S480" s="14">
        <f t="shared" si="57"/>
        <v>0</v>
      </c>
      <c r="T480" s="13">
        <f t="shared" si="58"/>
        <v>43.6</v>
      </c>
      <c r="U480" s="14">
        <f t="shared" si="59"/>
        <v>52.7</v>
      </c>
      <c r="V480" s="14">
        <f t="shared" si="60"/>
        <v>59.599999999999994</v>
      </c>
      <c r="W480" s="1">
        <f t="shared" si="61"/>
        <v>52.2</v>
      </c>
      <c r="X480" s="1" t="str">
        <f>IF(Table1[[#This Row],[World Rank]]&lt;=250,"Q1-Elite",IF(Table1[[#This Row],[World Rank]]&lt;=500,"Q2-Strong",IF(Table1[[#This Row],[World Rank]]&lt;=750,"Q3-Developing","Q4-Emerging")))</f>
        <v>Q2-Strong</v>
      </c>
    </row>
    <row r="481" spans="1:24" x14ac:dyDescent="0.2">
      <c r="A481" s="1">
        <v>480</v>
      </c>
      <c r="B481" s="1" t="s">
        <v>544</v>
      </c>
      <c r="C481" s="1" t="s">
        <v>15</v>
      </c>
      <c r="D481" s="1" t="s">
        <v>1120</v>
      </c>
      <c r="E481" s="1">
        <v>132</v>
      </c>
      <c r="F481" s="1">
        <v>667</v>
      </c>
      <c r="G481" s="1">
        <v>664</v>
      </c>
      <c r="H481" s="1">
        <v>304</v>
      </c>
      <c r="I481" s="1">
        <v>554</v>
      </c>
      <c r="J481" s="1">
        <v>449</v>
      </c>
      <c r="K481" s="1">
        <v>453</v>
      </c>
      <c r="L481" s="1">
        <v>405</v>
      </c>
      <c r="M481" s="1">
        <v>74</v>
      </c>
      <c r="N481" s="1">
        <v>39.783730400000003</v>
      </c>
      <c r="O481" s="1">
        <v>-100.445882</v>
      </c>
      <c r="P481" s="14">
        <f t="shared" si="55"/>
        <v>55.2</v>
      </c>
      <c r="Q481" s="13">
        <v>20</v>
      </c>
      <c r="R481" s="16">
        <f t="shared" si="56"/>
        <v>33.700000000000003</v>
      </c>
      <c r="S481" s="14">
        <f t="shared" si="57"/>
        <v>0</v>
      </c>
      <c r="T481" s="13">
        <f t="shared" si="58"/>
        <v>44.7</v>
      </c>
      <c r="U481" s="14">
        <f t="shared" si="59"/>
        <v>54.800000000000004</v>
      </c>
      <c r="V481" s="14">
        <f t="shared" si="60"/>
        <v>59.599999999999994</v>
      </c>
      <c r="W481" s="1">
        <f t="shared" si="61"/>
        <v>52.1</v>
      </c>
      <c r="X481" s="1" t="str">
        <f>IF(Table1[[#This Row],[World Rank]]&lt;=250,"Q1-Elite",IF(Table1[[#This Row],[World Rank]]&lt;=500,"Q2-Strong",IF(Table1[[#This Row],[World Rank]]&lt;=750,"Q3-Developing","Q4-Emerging")))</f>
        <v>Q2-Strong</v>
      </c>
    </row>
    <row r="482" spans="1:24" x14ac:dyDescent="0.2">
      <c r="A482" s="1">
        <v>481</v>
      </c>
      <c r="B482" s="1" t="s">
        <v>545</v>
      </c>
      <c r="C482" s="1" t="s">
        <v>15</v>
      </c>
      <c r="D482" s="1" t="s">
        <v>1120</v>
      </c>
      <c r="E482" s="1">
        <v>133</v>
      </c>
      <c r="F482" s="1">
        <v>332</v>
      </c>
      <c r="G482" s="1">
        <v>27</v>
      </c>
      <c r="H482" s="1">
        <v>304</v>
      </c>
      <c r="I482" s="1">
        <v>976</v>
      </c>
      <c r="J482" s="1">
        <v>735</v>
      </c>
      <c r="K482" s="1">
        <v>605</v>
      </c>
      <c r="L482" s="1">
        <v>460</v>
      </c>
      <c r="M482" s="1">
        <v>74</v>
      </c>
      <c r="N482" s="1">
        <v>39.783730400000003</v>
      </c>
      <c r="O482" s="1">
        <v>-100.445882</v>
      </c>
      <c r="P482" s="14">
        <f t="shared" si="55"/>
        <v>26.6</v>
      </c>
      <c r="Q482" s="13">
        <f>((667 - F482) / 666) * 100</f>
        <v>50.300300300300307</v>
      </c>
      <c r="R482" s="16">
        <f t="shared" si="56"/>
        <v>97.399999999999991</v>
      </c>
      <c r="S482" s="14">
        <f t="shared" si="57"/>
        <v>0</v>
      </c>
      <c r="T482" s="13">
        <f t="shared" si="58"/>
        <v>2.5</v>
      </c>
      <c r="U482" s="14">
        <f t="shared" si="59"/>
        <v>39.6</v>
      </c>
      <c r="V482" s="14">
        <f t="shared" si="60"/>
        <v>54.1</v>
      </c>
      <c r="W482" s="1">
        <f t="shared" si="61"/>
        <v>52</v>
      </c>
      <c r="X482" s="1" t="str">
        <f>IF(Table1[[#This Row],[World Rank]]&lt;=250,"Q1-Elite",IF(Table1[[#This Row],[World Rank]]&lt;=500,"Q2-Strong",IF(Table1[[#This Row],[World Rank]]&lt;=750,"Q3-Developing","Q4-Emerging")))</f>
        <v>Q2-Strong</v>
      </c>
    </row>
    <row r="483" spans="1:24" x14ac:dyDescent="0.2">
      <c r="A483" s="1">
        <v>482</v>
      </c>
      <c r="B483" s="1" t="s">
        <v>546</v>
      </c>
      <c r="C483" s="1" t="s">
        <v>28</v>
      </c>
      <c r="D483" s="1" t="s">
        <v>1125</v>
      </c>
      <c r="E483" s="1">
        <v>15</v>
      </c>
      <c r="F483" s="1">
        <v>667</v>
      </c>
      <c r="G483" s="1">
        <v>1001</v>
      </c>
      <c r="H483" s="1">
        <v>304</v>
      </c>
      <c r="I483" s="1">
        <v>415</v>
      </c>
      <c r="J483" s="1">
        <v>432</v>
      </c>
      <c r="K483" s="1">
        <v>374</v>
      </c>
      <c r="L483" s="1">
        <v>898</v>
      </c>
      <c r="M483" s="1">
        <v>74</v>
      </c>
      <c r="N483" s="1">
        <v>36.5748441</v>
      </c>
      <c r="O483" s="1">
        <v>139.23941790000001</v>
      </c>
      <c r="P483" s="14">
        <f t="shared" si="55"/>
        <v>56.899999999999991</v>
      </c>
      <c r="Q483" s="13">
        <v>20</v>
      </c>
      <c r="R483" s="16">
        <f t="shared" si="56"/>
        <v>0</v>
      </c>
      <c r="S483" s="14">
        <f t="shared" si="57"/>
        <v>0</v>
      </c>
      <c r="T483" s="13">
        <f t="shared" si="58"/>
        <v>58.599999999999994</v>
      </c>
      <c r="U483" s="14">
        <f t="shared" si="59"/>
        <v>62.7</v>
      </c>
      <c r="V483" s="14">
        <f t="shared" si="60"/>
        <v>10.299999999999999</v>
      </c>
      <c r="W483" s="1">
        <f t="shared" si="61"/>
        <v>51.9</v>
      </c>
      <c r="X483" s="1" t="str">
        <f>IF(Table1[[#This Row],[World Rank]]&lt;=250,"Q1-Elite",IF(Table1[[#This Row],[World Rank]]&lt;=500,"Q2-Strong",IF(Table1[[#This Row],[World Rank]]&lt;=750,"Q3-Developing","Q4-Emerging")))</f>
        <v>Q2-Strong</v>
      </c>
    </row>
    <row r="484" spans="1:24" x14ac:dyDescent="0.2">
      <c r="A484" s="1">
        <v>483</v>
      </c>
      <c r="B484" s="1" t="s">
        <v>547</v>
      </c>
      <c r="C484" s="1" t="s">
        <v>15</v>
      </c>
      <c r="D484" s="1" t="s">
        <v>1120</v>
      </c>
      <c r="E484" s="1">
        <v>134</v>
      </c>
      <c r="F484" s="1">
        <v>667</v>
      </c>
      <c r="G484" s="1">
        <v>1001</v>
      </c>
      <c r="H484" s="1">
        <v>304</v>
      </c>
      <c r="I484" s="1">
        <v>649</v>
      </c>
      <c r="J484" s="1">
        <v>509</v>
      </c>
      <c r="K484" s="1">
        <v>345</v>
      </c>
      <c r="L484" s="1">
        <v>405</v>
      </c>
      <c r="M484" s="1">
        <v>73.900000000000006</v>
      </c>
      <c r="N484" s="1">
        <v>39.783730400000003</v>
      </c>
      <c r="O484" s="1">
        <v>-100.445882</v>
      </c>
      <c r="P484" s="14">
        <f t="shared" si="55"/>
        <v>49.2</v>
      </c>
      <c r="Q484" s="13">
        <v>20</v>
      </c>
      <c r="R484" s="16">
        <f t="shared" si="56"/>
        <v>0</v>
      </c>
      <c r="S484" s="14">
        <f t="shared" si="57"/>
        <v>0</v>
      </c>
      <c r="T484" s="13">
        <f t="shared" si="58"/>
        <v>35.199999999999996</v>
      </c>
      <c r="U484" s="14">
        <f t="shared" si="59"/>
        <v>65.600000000000009</v>
      </c>
      <c r="V484" s="14">
        <f t="shared" si="60"/>
        <v>59.599999999999994</v>
      </c>
      <c r="W484" s="1">
        <f t="shared" si="61"/>
        <v>51.800000000000004</v>
      </c>
      <c r="X484" s="1" t="str">
        <f>IF(Table1[[#This Row],[World Rank]]&lt;=250,"Q1-Elite",IF(Table1[[#This Row],[World Rank]]&lt;=500,"Q2-Strong",IF(Table1[[#This Row],[World Rank]]&lt;=750,"Q3-Developing","Q4-Emerging")))</f>
        <v>Q2-Strong</v>
      </c>
    </row>
    <row r="485" spans="1:24" x14ac:dyDescent="0.2">
      <c r="A485" s="1">
        <v>484</v>
      </c>
      <c r="B485" s="1" t="s">
        <v>548</v>
      </c>
      <c r="C485" s="1" t="s">
        <v>124</v>
      </c>
      <c r="D485" s="1" t="s">
        <v>1125</v>
      </c>
      <c r="E485" s="1">
        <v>32</v>
      </c>
      <c r="F485" s="1">
        <v>667</v>
      </c>
      <c r="G485" s="1">
        <v>720</v>
      </c>
      <c r="H485" s="1">
        <v>304</v>
      </c>
      <c r="I485" s="1">
        <v>291</v>
      </c>
      <c r="J485" s="1">
        <v>393</v>
      </c>
      <c r="K485" s="1">
        <v>952</v>
      </c>
      <c r="L485" s="1">
        <v>673</v>
      </c>
      <c r="M485" s="1">
        <v>73.900000000000006</v>
      </c>
      <c r="N485" s="1">
        <v>30.047992000000001</v>
      </c>
      <c r="O485" s="1">
        <v>-94.335743300000004</v>
      </c>
      <c r="P485" s="14">
        <f t="shared" si="55"/>
        <v>60.8</v>
      </c>
      <c r="Q485" s="13">
        <v>20</v>
      </c>
      <c r="R485" s="16">
        <f t="shared" si="56"/>
        <v>28.1</v>
      </c>
      <c r="S485" s="14">
        <f t="shared" si="57"/>
        <v>0</v>
      </c>
      <c r="T485" s="13">
        <f t="shared" si="58"/>
        <v>71</v>
      </c>
      <c r="U485" s="14">
        <f t="shared" si="59"/>
        <v>4.9000000000000004</v>
      </c>
      <c r="V485" s="14">
        <f t="shared" si="60"/>
        <v>32.800000000000004</v>
      </c>
      <c r="W485" s="1">
        <f t="shared" si="61"/>
        <v>51.7</v>
      </c>
      <c r="X485" s="1" t="str">
        <f>IF(Table1[[#This Row],[World Rank]]&lt;=250,"Q1-Elite",IF(Table1[[#This Row],[World Rank]]&lt;=500,"Q2-Strong",IF(Table1[[#This Row],[World Rank]]&lt;=750,"Q3-Developing","Q4-Emerging")))</f>
        <v>Q2-Strong</v>
      </c>
    </row>
    <row r="486" spans="1:24" x14ac:dyDescent="0.2">
      <c r="A486" s="1">
        <v>485</v>
      </c>
      <c r="B486" s="1" t="s">
        <v>549</v>
      </c>
      <c r="C486" s="1" t="s">
        <v>124</v>
      </c>
      <c r="D486" s="1" t="s">
        <v>1125</v>
      </c>
      <c r="E486" s="1">
        <v>33</v>
      </c>
      <c r="F486" s="1">
        <v>667</v>
      </c>
      <c r="G486" s="1">
        <v>803</v>
      </c>
      <c r="H486" s="1">
        <v>304</v>
      </c>
      <c r="I486" s="1">
        <v>232</v>
      </c>
      <c r="J486" s="1">
        <v>323</v>
      </c>
      <c r="K486" s="1">
        <v>965</v>
      </c>
      <c r="L486" s="1">
        <v>1001</v>
      </c>
      <c r="M486" s="1">
        <v>73.900000000000006</v>
      </c>
      <c r="N486" s="1">
        <v>30.047992000000001</v>
      </c>
      <c r="O486" s="1">
        <v>-94.335743300000004</v>
      </c>
      <c r="P486" s="14">
        <f t="shared" si="55"/>
        <v>67.800000000000011</v>
      </c>
      <c r="Q486" s="13">
        <v>20</v>
      </c>
      <c r="R486" s="16">
        <f t="shared" si="56"/>
        <v>19.8</v>
      </c>
      <c r="S486" s="14">
        <f t="shared" si="57"/>
        <v>0</v>
      </c>
      <c r="T486" s="13">
        <f t="shared" si="58"/>
        <v>76.900000000000006</v>
      </c>
      <c r="U486" s="14">
        <f t="shared" si="59"/>
        <v>3.5999999999999996</v>
      </c>
      <c r="V486" s="14">
        <f t="shared" si="60"/>
        <v>0</v>
      </c>
      <c r="W486" s="1">
        <f t="shared" si="61"/>
        <v>51.6</v>
      </c>
      <c r="X486" s="1" t="str">
        <f>IF(Table1[[#This Row],[World Rank]]&lt;=250,"Q1-Elite",IF(Table1[[#This Row],[World Rank]]&lt;=500,"Q2-Strong",IF(Table1[[#This Row],[World Rank]]&lt;=750,"Q3-Developing","Q4-Emerging")))</f>
        <v>Q2-Strong</v>
      </c>
    </row>
    <row r="487" spans="1:24" x14ac:dyDescent="0.2">
      <c r="A487" s="1">
        <v>486</v>
      </c>
      <c r="B487" s="1" t="s">
        <v>550</v>
      </c>
      <c r="C487" s="1" t="s">
        <v>15</v>
      </c>
      <c r="D487" s="1" t="s">
        <v>1120</v>
      </c>
      <c r="E487" s="1">
        <v>135</v>
      </c>
      <c r="F487" s="1">
        <v>497</v>
      </c>
      <c r="G487" s="1">
        <v>456</v>
      </c>
      <c r="H487" s="1">
        <v>304</v>
      </c>
      <c r="I487" s="1">
        <v>648</v>
      </c>
      <c r="J487" s="1">
        <v>511</v>
      </c>
      <c r="K487" s="1">
        <v>366</v>
      </c>
      <c r="L487" s="1">
        <v>405</v>
      </c>
      <c r="M487" s="1">
        <v>73.900000000000006</v>
      </c>
      <c r="N487" s="1">
        <v>39.783730400000003</v>
      </c>
      <c r="O487" s="1">
        <v>-100.445882</v>
      </c>
      <c r="P487" s="14">
        <f t="shared" si="55"/>
        <v>49</v>
      </c>
      <c r="Q487" s="13">
        <f>((667 - F487) / 666) * 100</f>
        <v>25.525525525525527</v>
      </c>
      <c r="R487" s="16">
        <f t="shared" si="56"/>
        <v>54.500000000000007</v>
      </c>
      <c r="S487" s="14">
        <f t="shared" si="57"/>
        <v>0</v>
      </c>
      <c r="T487" s="13">
        <f t="shared" si="58"/>
        <v>35.299999999999997</v>
      </c>
      <c r="U487" s="14">
        <f t="shared" si="59"/>
        <v>63.5</v>
      </c>
      <c r="V487" s="14">
        <f t="shared" si="60"/>
        <v>59.599999999999994</v>
      </c>
      <c r="W487" s="1">
        <f t="shared" si="61"/>
        <v>51.5</v>
      </c>
      <c r="X487" s="1" t="str">
        <f>IF(Table1[[#This Row],[World Rank]]&lt;=250,"Q1-Elite",IF(Table1[[#This Row],[World Rank]]&lt;=500,"Q2-Strong",IF(Table1[[#This Row],[World Rank]]&lt;=750,"Q3-Developing","Q4-Emerging")))</f>
        <v>Q2-Strong</v>
      </c>
    </row>
    <row r="488" spans="1:24" x14ac:dyDescent="0.2">
      <c r="A488" s="1">
        <v>487</v>
      </c>
      <c r="B488" s="1" t="s">
        <v>551</v>
      </c>
      <c r="C488" s="1" t="s">
        <v>48</v>
      </c>
      <c r="D488" s="1" t="s">
        <v>1124</v>
      </c>
      <c r="E488" s="1">
        <v>24</v>
      </c>
      <c r="F488" s="1">
        <v>667</v>
      </c>
      <c r="G488" s="1">
        <v>505</v>
      </c>
      <c r="H488" s="1">
        <v>304</v>
      </c>
      <c r="I488" s="1">
        <v>632</v>
      </c>
      <c r="J488" s="1">
        <v>484</v>
      </c>
      <c r="K488" s="1">
        <v>359</v>
      </c>
      <c r="L488" s="1">
        <v>460</v>
      </c>
      <c r="M488" s="1">
        <v>73.900000000000006</v>
      </c>
      <c r="N488" s="1">
        <v>46.603354000000003</v>
      </c>
      <c r="O488" s="1">
        <v>1.8883335000000001</v>
      </c>
      <c r="P488" s="14">
        <f t="shared" si="55"/>
        <v>51.7</v>
      </c>
      <c r="Q488" s="13">
        <v>20</v>
      </c>
      <c r="R488" s="16">
        <f t="shared" si="56"/>
        <v>49.6</v>
      </c>
      <c r="S488" s="14">
        <f t="shared" si="57"/>
        <v>0</v>
      </c>
      <c r="T488" s="13">
        <f t="shared" si="58"/>
        <v>36.9</v>
      </c>
      <c r="U488" s="14">
        <f t="shared" si="59"/>
        <v>64.2</v>
      </c>
      <c r="V488" s="14">
        <f t="shared" si="60"/>
        <v>54.1</v>
      </c>
      <c r="W488" s="1">
        <f t="shared" si="61"/>
        <v>51.4</v>
      </c>
      <c r="X488" s="1" t="str">
        <f>IF(Table1[[#This Row],[World Rank]]&lt;=250,"Q1-Elite",IF(Table1[[#This Row],[World Rank]]&lt;=500,"Q2-Strong",IF(Table1[[#This Row],[World Rank]]&lt;=750,"Q3-Developing","Q4-Emerging")))</f>
        <v>Q2-Strong</v>
      </c>
    </row>
    <row r="489" spans="1:24" x14ac:dyDescent="0.2">
      <c r="A489" s="1">
        <v>488</v>
      </c>
      <c r="B489" s="1" t="s">
        <v>552</v>
      </c>
      <c r="C489" s="1" t="s">
        <v>533</v>
      </c>
      <c r="D489" s="1" t="s">
        <v>1125</v>
      </c>
      <c r="E489" s="1">
        <v>2</v>
      </c>
      <c r="F489" s="1">
        <v>667</v>
      </c>
      <c r="G489" s="1">
        <v>117</v>
      </c>
      <c r="H489" s="1">
        <v>304</v>
      </c>
      <c r="I489" s="1">
        <v>435</v>
      </c>
      <c r="J489" s="1">
        <v>582</v>
      </c>
      <c r="K489" s="1">
        <v>645</v>
      </c>
      <c r="L489" s="1">
        <v>460</v>
      </c>
      <c r="M489" s="1">
        <v>73.900000000000006</v>
      </c>
      <c r="N489" s="1">
        <v>13.03876215</v>
      </c>
      <c r="O489" s="2" t="s">
        <v>534</v>
      </c>
      <c r="P489" s="14">
        <f t="shared" si="55"/>
        <v>41.9</v>
      </c>
      <c r="Q489" s="13">
        <v>20</v>
      </c>
      <c r="R489" s="16">
        <f t="shared" si="56"/>
        <v>88.4</v>
      </c>
      <c r="S489" s="14">
        <f t="shared" si="57"/>
        <v>0</v>
      </c>
      <c r="T489" s="13">
        <f t="shared" si="58"/>
        <v>56.599999999999994</v>
      </c>
      <c r="U489" s="14">
        <f t="shared" si="59"/>
        <v>35.6</v>
      </c>
      <c r="V489" s="14">
        <f t="shared" si="60"/>
        <v>54.1</v>
      </c>
      <c r="W489" s="1">
        <f t="shared" si="61"/>
        <v>51.300000000000004</v>
      </c>
      <c r="X489" s="1" t="str">
        <f>IF(Table1[[#This Row],[World Rank]]&lt;=250,"Q1-Elite",IF(Table1[[#This Row],[World Rank]]&lt;=500,"Q2-Strong",IF(Table1[[#This Row],[World Rank]]&lt;=750,"Q3-Developing","Q4-Emerging")))</f>
        <v>Q2-Strong</v>
      </c>
    </row>
    <row r="490" spans="1:24" x14ac:dyDescent="0.2">
      <c r="A490" s="1">
        <v>489</v>
      </c>
      <c r="B490" s="1" t="s">
        <v>553</v>
      </c>
      <c r="C490" s="1" t="s">
        <v>103</v>
      </c>
      <c r="D490" s="1" t="s">
        <v>1124</v>
      </c>
      <c r="E490" s="1">
        <v>4</v>
      </c>
      <c r="F490" s="1">
        <v>667</v>
      </c>
      <c r="G490" s="1">
        <v>1001</v>
      </c>
      <c r="H490" s="1">
        <v>304</v>
      </c>
      <c r="I490" s="1">
        <v>541</v>
      </c>
      <c r="J490" s="1">
        <v>456</v>
      </c>
      <c r="K490" s="1">
        <v>387</v>
      </c>
      <c r="L490" s="1">
        <v>541</v>
      </c>
      <c r="M490" s="1">
        <v>73.900000000000006</v>
      </c>
      <c r="N490" s="1">
        <v>64.573153700000006</v>
      </c>
      <c r="O490" s="2" t="s">
        <v>104</v>
      </c>
      <c r="P490" s="14">
        <f t="shared" si="55"/>
        <v>54.500000000000007</v>
      </c>
      <c r="Q490" s="13">
        <v>20</v>
      </c>
      <c r="R490" s="16">
        <f t="shared" si="56"/>
        <v>0</v>
      </c>
      <c r="S490" s="14">
        <f t="shared" si="57"/>
        <v>0</v>
      </c>
      <c r="T490" s="13">
        <f t="shared" si="58"/>
        <v>46</v>
      </c>
      <c r="U490" s="14">
        <f t="shared" si="59"/>
        <v>61.4</v>
      </c>
      <c r="V490" s="14">
        <f t="shared" si="60"/>
        <v>46</v>
      </c>
      <c r="W490" s="1">
        <f t="shared" si="61"/>
        <v>51.2</v>
      </c>
      <c r="X490" s="1" t="str">
        <f>IF(Table1[[#This Row],[World Rank]]&lt;=250,"Q1-Elite",IF(Table1[[#This Row],[World Rank]]&lt;=500,"Q2-Strong",IF(Table1[[#This Row],[World Rank]]&lt;=750,"Q3-Developing","Q4-Emerging")))</f>
        <v>Q2-Strong</v>
      </c>
    </row>
    <row r="491" spans="1:24" x14ac:dyDescent="0.2">
      <c r="A491" s="1">
        <v>490</v>
      </c>
      <c r="B491" s="1" t="s">
        <v>554</v>
      </c>
      <c r="C491" s="1" t="s">
        <v>555</v>
      </c>
      <c r="D491" s="1" t="s">
        <v>1124</v>
      </c>
      <c r="E491" s="1">
        <v>1</v>
      </c>
      <c r="F491" s="1">
        <v>521</v>
      </c>
      <c r="G491" s="1">
        <v>1001</v>
      </c>
      <c r="H491" s="1">
        <v>304</v>
      </c>
      <c r="I491" s="1">
        <v>590</v>
      </c>
      <c r="J491" s="1">
        <v>577</v>
      </c>
      <c r="K491" s="1">
        <v>272</v>
      </c>
      <c r="L491" s="1">
        <v>541</v>
      </c>
      <c r="M491" s="1">
        <v>73.900000000000006</v>
      </c>
      <c r="N491" s="1">
        <v>58.752377799999998</v>
      </c>
      <c r="O491" s="1">
        <v>25.3319078</v>
      </c>
      <c r="P491" s="14">
        <f t="shared" si="55"/>
        <v>42.4</v>
      </c>
      <c r="Q491" s="13">
        <f>((667 - F491) / 666) * 100</f>
        <v>21.921921921921921</v>
      </c>
      <c r="R491" s="16">
        <f t="shared" si="56"/>
        <v>0</v>
      </c>
      <c r="S491" s="14">
        <f t="shared" si="57"/>
        <v>0</v>
      </c>
      <c r="T491" s="13">
        <f t="shared" si="58"/>
        <v>41.099999999999994</v>
      </c>
      <c r="U491" s="14">
        <f t="shared" si="59"/>
        <v>72.899999999999991</v>
      </c>
      <c r="V491" s="14">
        <f t="shared" si="60"/>
        <v>46</v>
      </c>
      <c r="W491" s="1">
        <f t="shared" si="61"/>
        <v>51.1</v>
      </c>
      <c r="X491" s="1" t="str">
        <f>IF(Table1[[#This Row],[World Rank]]&lt;=250,"Q1-Elite",IF(Table1[[#This Row],[World Rank]]&lt;=500,"Q2-Strong",IF(Table1[[#This Row],[World Rank]]&lt;=750,"Q3-Developing","Q4-Emerging")))</f>
        <v>Q2-Strong</v>
      </c>
    </row>
    <row r="492" spans="1:24" x14ac:dyDescent="0.2">
      <c r="A492" s="1">
        <v>491</v>
      </c>
      <c r="B492" s="1" t="s">
        <v>556</v>
      </c>
      <c r="C492" s="1" t="s">
        <v>15</v>
      </c>
      <c r="D492" s="1" t="s">
        <v>1120</v>
      </c>
      <c r="E492" s="1">
        <v>136</v>
      </c>
      <c r="F492" s="1">
        <v>299</v>
      </c>
      <c r="G492" s="1">
        <v>246</v>
      </c>
      <c r="H492" s="1">
        <v>304</v>
      </c>
      <c r="I492" s="1">
        <v>580</v>
      </c>
      <c r="J492" s="1">
        <v>536</v>
      </c>
      <c r="K492" s="1">
        <v>531</v>
      </c>
      <c r="L492" s="1">
        <v>327</v>
      </c>
      <c r="M492" s="1">
        <v>73.900000000000006</v>
      </c>
      <c r="N492" s="1">
        <v>39.783730400000003</v>
      </c>
      <c r="O492" s="1">
        <v>-100.445882</v>
      </c>
      <c r="P492" s="14">
        <f t="shared" si="55"/>
        <v>46.5</v>
      </c>
      <c r="Q492" s="13">
        <f>((667 - F492) / 666) * 100</f>
        <v>55.25525525525525</v>
      </c>
      <c r="R492" s="16">
        <f t="shared" si="56"/>
        <v>75.5</v>
      </c>
      <c r="S492" s="14">
        <f t="shared" si="57"/>
        <v>0</v>
      </c>
      <c r="T492" s="13">
        <f t="shared" si="58"/>
        <v>42.1</v>
      </c>
      <c r="U492" s="14">
        <f t="shared" si="59"/>
        <v>47</v>
      </c>
      <c r="V492" s="14">
        <f t="shared" si="60"/>
        <v>67.400000000000006</v>
      </c>
      <c r="W492" s="1">
        <f t="shared" si="61"/>
        <v>51</v>
      </c>
      <c r="X492" s="1" t="str">
        <f>IF(Table1[[#This Row],[World Rank]]&lt;=250,"Q1-Elite",IF(Table1[[#This Row],[World Rank]]&lt;=500,"Q2-Strong",IF(Table1[[#This Row],[World Rank]]&lt;=750,"Q3-Developing","Q4-Emerging")))</f>
        <v>Q2-Strong</v>
      </c>
    </row>
    <row r="493" spans="1:24" x14ac:dyDescent="0.2">
      <c r="A493" s="1">
        <v>492</v>
      </c>
      <c r="B493" s="1" t="s">
        <v>557</v>
      </c>
      <c r="C493" s="1" t="s">
        <v>66</v>
      </c>
      <c r="D493" s="1" t="s">
        <v>1125</v>
      </c>
      <c r="E493" s="1">
        <v>6</v>
      </c>
      <c r="F493" s="1">
        <v>533</v>
      </c>
      <c r="G493" s="1">
        <v>840</v>
      </c>
      <c r="H493" s="1">
        <v>304</v>
      </c>
      <c r="I493" s="1">
        <v>512</v>
      </c>
      <c r="J493" s="1">
        <v>438</v>
      </c>
      <c r="K493" s="1">
        <v>379</v>
      </c>
      <c r="L493" s="1">
        <v>673</v>
      </c>
      <c r="M493" s="1">
        <v>73.8</v>
      </c>
      <c r="N493" s="1">
        <v>39.3181528</v>
      </c>
      <c r="O493" s="1">
        <v>-79.810901400000006</v>
      </c>
      <c r="P493" s="14">
        <f t="shared" si="55"/>
        <v>56.3</v>
      </c>
      <c r="Q493" s="13">
        <f>((667 - F493) / 666) * 100</f>
        <v>20.12012012012012</v>
      </c>
      <c r="R493" s="16">
        <f t="shared" si="56"/>
        <v>16.100000000000001</v>
      </c>
      <c r="S493" s="14">
        <f t="shared" si="57"/>
        <v>0</v>
      </c>
      <c r="T493" s="13">
        <f t="shared" si="58"/>
        <v>48.9</v>
      </c>
      <c r="U493" s="14">
        <f t="shared" si="59"/>
        <v>62.2</v>
      </c>
      <c r="V493" s="14">
        <f t="shared" si="60"/>
        <v>32.800000000000004</v>
      </c>
      <c r="W493" s="1">
        <f t="shared" si="61"/>
        <v>50.9</v>
      </c>
      <c r="X493" s="1" t="str">
        <f>IF(Table1[[#This Row],[World Rank]]&lt;=250,"Q1-Elite",IF(Table1[[#This Row],[World Rank]]&lt;=500,"Q2-Strong",IF(Table1[[#This Row],[World Rank]]&lt;=750,"Q3-Developing","Q4-Emerging")))</f>
        <v>Q2-Strong</v>
      </c>
    </row>
    <row r="494" spans="1:24" x14ac:dyDescent="0.2">
      <c r="A494" s="1">
        <v>493</v>
      </c>
      <c r="B494" s="1" t="s">
        <v>558</v>
      </c>
      <c r="C494" s="1" t="s">
        <v>81</v>
      </c>
      <c r="D494" s="1" t="s">
        <v>1121</v>
      </c>
      <c r="E494" s="1">
        <v>18</v>
      </c>
      <c r="F494" s="1">
        <v>253</v>
      </c>
      <c r="G494" s="1">
        <v>1001</v>
      </c>
      <c r="H494" s="1">
        <v>304</v>
      </c>
      <c r="I494" s="1">
        <v>511</v>
      </c>
      <c r="J494" s="1">
        <v>476</v>
      </c>
      <c r="K494" s="1">
        <v>406</v>
      </c>
      <c r="L494" s="1">
        <v>541</v>
      </c>
      <c r="M494" s="1">
        <v>73.8</v>
      </c>
      <c r="N494" s="1">
        <v>-24.776108600000001</v>
      </c>
      <c r="O494" s="1">
        <v>134.755</v>
      </c>
      <c r="P494" s="14">
        <f t="shared" si="55"/>
        <v>52.5</v>
      </c>
      <c r="Q494" s="13">
        <f>((667 - F494) / 666) * 100</f>
        <v>62.162162162162161</v>
      </c>
      <c r="R494" s="16">
        <f t="shared" si="56"/>
        <v>0</v>
      </c>
      <c r="S494" s="14">
        <f t="shared" si="57"/>
        <v>0</v>
      </c>
      <c r="T494" s="13">
        <f t="shared" si="58"/>
        <v>49</v>
      </c>
      <c r="U494" s="14">
        <f t="shared" si="59"/>
        <v>59.5</v>
      </c>
      <c r="V494" s="14">
        <f t="shared" si="60"/>
        <v>46</v>
      </c>
      <c r="W494" s="1">
        <f t="shared" si="61"/>
        <v>50.8</v>
      </c>
      <c r="X494" s="1" t="str">
        <f>IF(Table1[[#This Row],[World Rank]]&lt;=250,"Q1-Elite",IF(Table1[[#This Row],[World Rank]]&lt;=500,"Q2-Strong",IF(Table1[[#This Row],[World Rank]]&lt;=750,"Q3-Developing","Q4-Emerging")))</f>
        <v>Q2-Strong</v>
      </c>
    </row>
    <row r="495" spans="1:24" x14ac:dyDescent="0.2">
      <c r="A495" s="1">
        <v>494</v>
      </c>
      <c r="B495" s="1" t="s">
        <v>559</v>
      </c>
      <c r="C495" s="1" t="s">
        <v>68</v>
      </c>
      <c r="D495" s="1" t="s">
        <v>1124</v>
      </c>
      <c r="E495" s="1">
        <v>39</v>
      </c>
      <c r="F495" s="1">
        <v>667</v>
      </c>
      <c r="G495" s="1">
        <v>531</v>
      </c>
      <c r="H495" s="1">
        <v>304</v>
      </c>
      <c r="I495" s="1">
        <v>464</v>
      </c>
      <c r="J495" s="1">
        <v>420</v>
      </c>
      <c r="K495" s="1">
        <v>469</v>
      </c>
      <c r="L495" s="1">
        <v>673</v>
      </c>
      <c r="M495" s="1">
        <v>73.8</v>
      </c>
      <c r="N495" s="1">
        <v>40.420347900000003</v>
      </c>
      <c r="O495" s="1">
        <v>-79.116698299999996</v>
      </c>
      <c r="P495" s="14">
        <f t="shared" si="55"/>
        <v>58.099999999999994</v>
      </c>
      <c r="Q495" s="13">
        <v>20</v>
      </c>
      <c r="R495" s="16">
        <f t="shared" si="56"/>
        <v>47</v>
      </c>
      <c r="S495" s="14">
        <f t="shared" si="57"/>
        <v>0</v>
      </c>
      <c r="T495" s="13">
        <f t="shared" si="58"/>
        <v>53.7</v>
      </c>
      <c r="U495" s="14">
        <f t="shared" si="59"/>
        <v>53.2</v>
      </c>
      <c r="V495" s="14">
        <f t="shared" si="60"/>
        <v>32.800000000000004</v>
      </c>
      <c r="W495" s="1">
        <f t="shared" si="61"/>
        <v>50.7</v>
      </c>
      <c r="X495" s="1" t="str">
        <f>IF(Table1[[#This Row],[World Rank]]&lt;=250,"Q1-Elite",IF(Table1[[#This Row],[World Rank]]&lt;=500,"Q2-Strong",IF(Table1[[#This Row],[World Rank]]&lt;=750,"Q3-Developing","Q4-Emerging")))</f>
        <v>Q2-Strong</v>
      </c>
    </row>
    <row r="496" spans="1:24" x14ac:dyDescent="0.2">
      <c r="A496" s="1">
        <v>495</v>
      </c>
      <c r="B496" s="1" t="s">
        <v>560</v>
      </c>
      <c r="C496" s="1" t="s">
        <v>15</v>
      </c>
      <c r="D496" s="1" t="s">
        <v>1120</v>
      </c>
      <c r="E496" s="1">
        <v>137</v>
      </c>
      <c r="F496" s="1">
        <v>667</v>
      </c>
      <c r="G496" s="1">
        <v>980</v>
      </c>
      <c r="H496" s="1">
        <v>304</v>
      </c>
      <c r="I496" s="1">
        <v>492</v>
      </c>
      <c r="J496" s="1">
        <v>465</v>
      </c>
      <c r="K496" s="1">
        <v>583</v>
      </c>
      <c r="L496" s="1">
        <v>405</v>
      </c>
      <c r="M496" s="1">
        <v>73.8</v>
      </c>
      <c r="N496" s="1">
        <v>39.783730400000003</v>
      </c>
      <c r="O496" s="1">
        <v>-100.445882</v>
      </c>
      <c r="P496" s="14">
        <f t="shared" si="55"/>
        <v>53.6</v>
      </c>
      <c r="Q496" s="13">
        <v>20</v>
      </c>
      <c r="R496" s="16">
        <f t="shared" si="56"/>
        <v>2.1</v>
      </c>
      <c r="S496" s="14">
        <f t="shared" si="57"/>
        <v>0</v>
      </c>
      <c r="T496" s="13">
        <f t="shared" si="58"/>
        <v>50.9</v>
      </c>
      <c r="U496" s="14">
        <f t="shared" si="59"/>
        <v>41.8</v>
      </c>
      <c r="V496" s="14">
        <f t="shared" si="60"/>
        <v>59.599999999999994</v>
      </c>
      <c r="W496" s="1">
        <f t="shared" si="61"/>
        <v>50.6</v>
      </c>
      <c r="X496" s="1" t="str">
        <f>IF(Table1[[#This Row],[World Rank]]&lt;=250,"Q1-Elite",IF(Table1[[#This Row],[World Rank]]&lt;=500,"Q2-Strong",IF(Table1[[#This Row],[World Rank]]&lt;=750,"Q3-Developing","Q4-Emerging")))</f>
        <v>Q2-Strong</v>
      </c>
    </row>
    <row r="497" spans="1:24" x14ac:dyDescent="0.2">
      <c r="A497" s="1">
        <v>496</v>
      </c>
      <c r="B497" s="1" t="s">
        <v>561</v>
      </c>
      <c r="C497" s="1" t="s">
        <v>124</v>
      </c>
      <c r="D497" s="1" t="s">
        <v>1125</v>
      </c>
      <c r="E497" s="1">
        <v>34</v>
      </c>
      <c r="F497" s="1">
        <v>667</v>
      </c>
      <c r="G497" s="1">
        <v>542</v>
      </c>
      <c r="H497" s="1">
        <v>304</v>
      </c>
      <c r="I497" s="1">
        <v>365</v>
      </c>
      <c r="J497" s="1">
        <v>400</v>
      </c>
      <c r="K497" s="1">
        <v>1001</v>
      </c>
      <c r="L497" s="1">
        <v>541</v>
      </c>
      <c r="M497" s="1">
        <v>73.8</v>
      </c>
      <c r="N497" s="1">
        <v>30.047992000000001</v>
      </c>
      <c r="O497" s="1">
        <v>-94.335743300000004</v>
      </c>
      <c r="P497" s="14">
        <f t="shared" si="55"/>
        <v>60.099999999999994</v>
      </c>
      <c r="Q497" s="13">
        <v>20</v>
      </c>
      <c r="R497" s="16">
        <f t="shared" si="56"/>
        <v>45.9</v>
      </c>
      <c r="S497" s="14">
        <f t="shared" si="57"/>
        <v>0</v>
      </c>
      <c r="T497" s="13">
        <f t="shared" si="58"/>
        <v>63.6</v>
      </c>
      <c r="U497" s="14">
        <f t="shared" si="59"/>
        <v>0</v>
      </c>
      <c r="V497" s="14">
        <f t="shared" si="60"/>
        <v>46</v>
      </c>
      <c r="W497" s="1">
        <f t="shared" si="61"/>
        <v>50.5</v>
      </c>
      <c r="X497" s="1" t="str">
        <f>IF(Table1[[#This Row],[World Rank]]&lt;=250,"Q1-Elite",IF(Table1[[#This Row],[World Rank]]&lt;=500,"Q2-Strong",IF(Table1[[#This Row],[World Rank]]&lt;=750,"Q3-Developing","Q4-Emerging")))</f>
        <v>Q2-Strong</v>
      </c>
    </row>
    <row r="498" spans="1:24" x14ac:dyDescent="0.2">
      <c r="A498" s="1">
        <v>497</v>
      </c>
      <c r="B498" s="1" t="s">
        <v>562</v>
      </c>
      <c r="C498" s="1" t="s">
        <v>124</v>
      </c>
      <c r="D498" s="1" t="s">
        <v>1125</v>
      </c>
      <c r="E498" s="1">
        <v>35</v>
      </c>
      <c r="F498" s="1">
        <v>667</v>
      </c>
      <c r="G498" s="1">
        <v>1001</v>
      </c>
      <c r="H498" s="1">
        <v>304</v>
      </c>
      <c r="I498" s="1">
        <v>300</v>
      </c>
      <c r="J498" s="1">
        <v>362</v>
      </c>
      <c r="K498" s="1">
        <v>829</v>
      </c>
      <c r="L498" s="1">
        <v>898</v>
      </c>
      <c r="M498" s="1">
        <v>73.8</v>
      </c>
      <c r="N498" s="1">
        <v>30.047992000000001</v>
      </c>
      <c r="O498" s="1">
        <v>-94.335743300000004</v>
      </c>
      <c r="P498" s="14">
        <f t="shared" si="55"/>
        <v>63.9</v>
      </c>
      <c r="Q498" s="13">
        <v>20</v>
      </c>
      <c r="R498" s="16">
        <f t="shared" si="56"/>
        <v>0</v>
      </c>
      <c r="S498" s="14">
        <f t="shared" si="57"/>
        <v>0</v>
      </c>
      <c r="T498" s="13">
        <f t="shared" si="58"/>
        <v>70.099999999999994</v>
      </c>
      <c r="U498" s="14">
        <f t="shared" si="59"/>
        <v>17.2</v>
      </c>
      <c r="V498" s="14">
        <f t="shared" si="60"/>
        <v>10.299999999999999</v>
      </c>
      <c r="W498" s="1">
        <f t="shared" si="61"/>
        <v>50.4</v>
      </c>
      <c r="X498" s="1" t="str">
        <f>IF(Table1[[#This Row],[World Rank]]&lt;=250,"Q1-Elite",IF(Table1[[#This Row],[World Rank]]&lt;=500,"Q2-Strong",IF(Table1[[#This Row],[World Rank]]&lt;=750,"Q3-Developing","Q4-Emerging")))</f>
        <v>Q2-Strong</v>
      </c>
    </row>
    <row r="499" spans="1:24" x14ac:dyDescent="0.2">
      <c r="A499" s="1">
        <v>498</v>
      </c>
      <c r="B499" s="1" t="s">
        <v>563</v>
      </c>
      <c r="C499" s="1" t="s">
        <v>19</v>
      </c>
      <c r="D499" s="1" t="s">
        <v>1124</v>
      </c>
      <c r="E499" s="1">
        <v>36</v>
      </c>
      <c r="F499" s="1">
        <v>667</v>
      </c>
      <c r="G499" s="1">
        <v>1001</v>
      </c>
      <c r="H499" s="1">
        <v>194</v>
      </c>
      <c r="I499" s="1">
        <v>788</v>
      </c>
      <c r="J499" s="1">
        <v>701</v>
      </c>
      <c r="K499" s="1">
        <v>432</v>
      </c>
      <c r="L499" s="1">
        <v>541</v>
      </c>
      <c r="M499" s="1">
        <v>73.8</v>
      </c>
      <c r="N499" s="1">
        <v>54.702354499999998</v>
      </c>
      <c r="O499" s="1">
        <v>-3.2765753000000002</v>
      </c>
      <c r="P499" s="14">
        <f t="shared" si="55"/>
        <v>30</v>
      </c>
      <c r="Q499" s="13">
        <v>20</v>
      </c>
      <c r="R499" s="16">
        <f t="shared" si="56"/>
        <v>0</v>
      </c>
      <c r="S499" s="14">
        <f t="shared" si="57"/>
        <v>36.303630363036305</v>
      </c>
      <c r="T499" s="13">
        <f t="shared" si="58"/>
        <v>21.3</v>
      </c>
      <c r="U499" s="14">
        <f t="shared" si="59"/>
        <v>56.899999999999991</v>
      </c>
      <c r="V499" s="14">
        <f t="shared" si="60"/>
        <v>46</v>
      </c>
      <c r="W499" s="1">
        <f t="shared" si="61"/>
        <v>50.3</v>
      </c>
      <c r="X499" s="1" t="str">
        <f>IF(Table1[[#This Row],[World Rank]]&lt;=250,"Q1-Elite",IF(Table1[[#This Row],[World Rank]]&lt;=500,"Q2-Strong",IF(Table1[[#This Row],[World Rank]]&lt;=750,"Q3-Developing","Q4-Emerging")))</f>
        <v>Q2-Strong</v>
      </c>
    </row>
    <row r="500" spans="1:24" x14ac:dyDescent="0.2">
      <c r="A500" s="1">
        <v>499</v>
      </c>
      <c r="B500" s="1" t="s">
        <v>564</v>
      </c>
      <c r="C500" s="1" t="s">
        <v>15</v>
      </c>
      <c r="D500" s="1" t="s">
        <v>1120</v>
      </c>
      <c r="E500" s="1">
        <v>138</v>
      </c>
      <c r="F500" s="1">
        <v>667</v>
      </c>
      <c r="G500" s="1">
        <v>559</v>
      </c>
      <c r="H500" s="1">
        <v>304</v>
      </c>
      <c r="I500" s="1">
        <v>715</v>
      </c>
      <c r="J500" s="1">
        <v>561</v>
      </c>
      <c r="K500" s="1">
        <v>344</v>
      </c>
      <c r="L500" s="1">
        <v>363</v>
      </c>
      <c r="M500" s="1">
        <v>73.8</v>
      </c>
      <c r="N500" s="1">
        <v>39.783730400000003</v>
      </c>
      <c r="O500" s="1">
        <v>-100.445882</v>
      </c>
      <c r="P500" s="14">
        <f t="shared" si="55"/>
        <v>44</v>
      </c>
      <c r="Q500" s="13">
        <v>20</v>
      </c>
      <c r="R500" s="16">
        <f t="shared" si="56"/>
        <v>44.2</v>
      </c>
      <c r="S500" s="14">
        <f t="shared" si="57"/>
        <v>0</v>
      </c>
      <c r="T500" s="13">
        <f t="shared" si="58"/>
        <v>28.599999999999998</v>
      </c>
      <c r="U500" s="14">
        <f t="shared" si="59"/>
        <v>65.7</v>
      </c>
      <c r="V500" s="14">
        <f t="shared" si="60"/>
        <v>63.800000000000004</v>
      </c>
      <c r="W500" s="1">
        <f t="shared" si="61"/>
        <v>50.2</v>
      </c>
      <c r="X500" s="1" t="str">
        <f>IF(Table1[[#This Row],[World Rank]]&lt;=250,"Q1-Elite",IF(Table1[[#This Row],[World Rank]]&lt;=500,"Q2-Strong",IF(Table1[[#This Row],[World Rank]]&lt;=750,"Q3-Developing","Q4-Emerging")))</f>
        <v>Q2-Strong</v>
      </c>
    </row>
    <row r="501" spans="1:24" x14ac:dyDescent="0.2">
      <c r="A501" s="1">
        <v>500</v>
      </c>
      <c r="B501" s="1" t="s">
        <v>565</v>
      </c>
      <c r="C501" s="1" t="s">
        <v>15</v>
      </c>
      <c r="D501" s="1" t="s">
        <v>1120</v>
      </c>
      <c r="E501" s="1">
        <v>139</v>
      </c>
      <c r="F501" s="1">
        <v>289</v>
      </c>
      <c r="G501" s="1">
        <v>48</v>
      </c>
      <c r="H501" s="1">
        <v>304</v>
      </c>
      <c r="I501" s="1">
        <v>891</v>
      </c>
      <c r="J501" s="1">
        <v>695</v>
      </c>
      <c r="K501" s="1">
        <v>500</v>
      </c>
      <c r="L501" s="1">
        <v>405</v>
      </c>
      <c r="M501" s="1">
        <v>73.8</v>
      </c>
      <c r="N501" s="1">
        <v>39.783730400000003</v>
      </c>
      <c r="O501" s="1">
        <v>-100.445882</v>
      </c>
      <c r="P501" s="14">
        <f t="shared" si="55"/>
        <v>30.599999999999998</v>
      </c>
      <c r="Q501" s="13">
        <f>((667 - F501) / 666) * 100</f>
        <v>56.756756756756758</v>
      </c>
      <c r="R501" s="16">
        <f t="shared" si="56"/>
        <v>95.3</v>
      </c>
      <c r="S501" s="14">
        <f t="shared" si="57"/>
        <v>0</v>
      </c>
      <c r="T501" s="13">
        <f t="shared" si="58"/>
        <v>11</v>
      </c>
      <c r="U501" s="14">
        <f t="shared" si="59"/>
        <v>50.1</v>
      </c>
      <c r="V501" s="14">
        <f t="shared" si="60"/>
        <v>59.599999999999994</v>
      </c>
      <c r="W501" s="1">
        <f t="shared" si="61"/>
        <v>50.1</v>
      </c>
      <c r="X501" s="1" t="str">
        <f>IF(Table1[[#This Row],[World Rank]]&lt;=250,"Q1-Elite",IF(Table1[[#This Row],[World Rank]]&lt;=500,"Q2-Strong",IF(Table1[[#This Row],[World Rank]]&lt;=750,"Q3-Developing","Q4-Emerging")))</f>
        <v>Q2-Strong</v>
      </c>
    </row>
    <row r="502" spans="1:24" x14ac:dyDescent="0.2">
      <c r="A502" s="1">
        <v>501</v>
      </c>
      <c r="B502" s="1" t="s">
        <v>566</v>
      </c>
      <c r="C502" s="1" t="s">
        <v>145</v>
      </c>
      <c r="D502" s="1" t="s">
        <v>1125</v>
      </c>
      <c r="E502" s="1">
        <v>6</v>
      </c>
      <c r="F502" s="1">
        <v>402</v>
      </c>
      <c r="G502" s="1">
        <v>1001</v>
      </c>
      <c r="H502" s="1">
        <v>304</v>
      </c>
      <c r="I502" s="1">
        <v>451</v>
      </c>
      <c r="J502" s="1">
        <v>444</v>
      </c>
      <c r="K502" s="1">
        <v>455</v>
      </c>
      <c r="L502" s="1">
        <v>673</v>
      </c>
      <c r="M502" s="1">
        <v>73.7</v>
      </c>
      <c r="N502" s="1">
        <v>23.598322700000001</v>
      </c>
      <c r="O502" s="2" t="s">
        <v>146</v>
      </c>
      <c r="P502" s="14">
        <f t="shared" si="55"/>
        <v>55.7</v>
      </c>
      <c r="Q502" s="13">
        <f>((667 - F502) / 666) * 100</f>
        <v>39.789789789789793</v>
      </c>
      <c r="R502" s="16">
        <f t="shared" si="56"/>
        <v>0</v>
      </c>
      <c r="S502" s="14">
        <f t="shared" si="57"/>
        <v>0</v>
      </c>
      <c r="T502" s="13">
        <f t="shared" si="58"/>
        <v>55.000000000000007</v>
      </c>
      <c r="U502" s="14">
        <f t="shared" si="59"/>
        <v>54.6</v>
      </c>
      <c r="V502" s="14">
        <f t="shared" si="60"/>
        <v>32.800000000000004</v>
      </c>
      <c r="W502" s="1">
        <f t="shared" si="61"/>
        <v>50</v>
      </c>
      <c r="X502" s="1" t="str">
        <f>IF(Table1[[#This Row],[World Rank]]&lt;=250,"Q1-Elite",IF(Table1[[#This Row],[World Rank]]&lt;=500,"Q2-Strong",IF(Table1[[#This Row],[World Rank]]&lt;=750,"Q3-Developing","Q4-Emerging")))</f>
        <v>Q3-Developing</v>
      </c>
    </row>
    <row r="503" spans="1:24" x14ac:dyDescent="0.2">
      <c r="A503" s="1">
        <v>502</v>
      </c>
      <c r="B503" s="1" t="s">
        <v>567</v>
      </c>
      <c r="C503" s="1" t="s">
        <v>99</v>
      </c>
      <c r="D503" s="1" t="s">
        <v>1124</v>
      </c>
      <c r="E503" s="1">
        <v>13</v>
      </c>
      <c r="F503" s="1">
        <v>667</v>
      </c>
      <c r="G503" s="1">
        <v>395</v>
      </c>
      <c r="H503" s="1">
        <v>172</v>
      </c>
      <c r="I503" s="1">
        <v>760</v>
      </c>
      <c r="J503" s="1">
        <v>575</v>
      </c>
      <c r="K503" s="1">
        <v>1001</v>
      </c>
      <c r="L503" s="1">
        <v>460</v>
      </c>
      <c r="M503" s="1">
        <v>73.7</v>
      </c>
      <c r="N503" s="1">
        <v>52.243497900000001</v>
      </c>
      <c r="O503" s="1">
        <v>5.6343227000000002</v>
      </c>
      <c r="P503" s="14">
        <f t="shared" si="55"/>
        <v>42.6</v>
      </c>
      <c r="Q503" s="13">
        <v>20</v>
      </c>
      <c r="R503" s="16">
        <f t="shared" si="56"/>
        <v>60.6</v>
      </c>
      <c r="S503" s="14">
        <f t="shared" si="57"/>
        <v>43.564356435643568</v>
      </c>
      <c r="T503" s="13">
        <f t="shared" si="58"/>
        <v>24.099999999999998</v>
      </c>
      <c r="U503" s="14">
        <f t="shared" si="59"/>
        <v>0</v>
      </c>
      <c r="V503" s="14">
        <f t="shared" si="60"/>
        <v>54.1</v>
      </c>
      <c r="W503" s="1">
        <f t="shared" si="61"/>
        <v>49.9</v>
      </c>
      <c r="X503" s="1" t="str">
        <f>IF(Table1[[#This Row],[World Rank]]&lt;=250,"Q1-Elite",IF(Table1[[#This Row],[World Rank]]&lt;=500,"Q2-Strong",IF(Table1[[#This Row],[World Rank]]&lt;=750,"Q3-Developing","Q4-Emerging")))</f>
        <v>Q3-Developing</v>
      </c>
    </row>
    <row r="504" spans="1:24" x14ac:dyDescent="0.2">
      <c r="A504" s="1">
        <v>503</v>
      </c>
      <c r="B504" s="1" t="s">
        <v>568</v>
      </c>
      <c r="C504" s="1" t="s">
        <v>124</v>
      </c>
      <c r="D504" s="1" t="s">
        <v>1125</v>
      </c>
      <c r="E504" s="1">
        <v>36</v>
      </c>
      <c r="F504" s="1">
        <v>667</v>
      </c>
      <c r="G504" s="1">
        <v>204</v>
      </c>
      <c r="H504" s="1">
        <v>304</v>
      </c>
      <c r="I504" s="1">
        <v>333</v>
      </c>
      <c r="J504" s="1">
        <v>439</v>
      </c>
      <c r="K504" s="1">
        <v>1001</v>
      </c>
      <c r="L504" s="1">
        <v>673</v>
      </c>
      <c r="M504" s="1">
        <v>73.7</v>
      </c>
      <c r="N504" s="1">
        <v>30.047992000000001</v>
      </c>
      <c r="O504" s="1">
        <v>-94.335743300000004</v>
      </c>
      <c r="P504" s="14">
        <f t="shared" si="55"/>
        <v>56.2</v>
      </c>
      <c r="Q504" s="13">
        <v>20</v>
      </c>
      <c r="R504" s="16">
        <f t="shared" si="56"/>
        <v>79.7</v>
      </c>
      <c r="S504" s="14">
        <f t="shared" si="57"/>
        <v>0</v>
      </c>
      <c r="T504" s="13">
        <f t="shared" si="58"/>
        <v>66.8</v>
      </c>
      <c r="U504" s="14">
        <f t="shared" si="59"/>
        <v>0</v>
      </c>
      <c r="V504" s="14">
        <f t="shared" si="60"/>
        <v>32.800000000000004</v>
      </c>
      <c r="W504" s="1">
        <f t="shared" si="61"/>
        <v>49.8</v>
      </c>
      <c r="X504" s="1" t="str">
        <f>IF(Table1[[#This Row],[World Rank]]&lt;=250,"Q1-Elite",IF(Table1[[#This Row],[World Rank]]&lt;=500,"Q2-Strong",IF(Table1[[#This Row],[World Rank]]&lt;=750,"Q3-Developing","Q4-Emerging")))</f>
        <v>Q3-Developing</v>
      </c>
    </row>
    <row r="505" spans="1:24" x14ac:dyDescent="0.2">
      <c r="A505" s="1">
        <v>504</v>
      </c>
      <c r="B505" s="1" t="s">
        <v>569</v>
      </c>
      <c r="C505" s="1" t="s">
        <v>19</v>
      </c>
      <c r="D505" s="1" t="s">
        <v>1124</v>
      </c>
      <c r="E505" s="1">
        <v>37</v>
      </c>
      <c r="F505" s="1">
        <v>406</v>
      </c>
      <c r="G505" s="1">
        <v>475</v>
      </c>
      <c r="H505" s="1">
        <v>304</v>
      </c>
      <c r="I505" s="1">
        <v>525</v>
      </c>
      <c r="J505" s="1">
        <v>459</v>
      </c>
      <c r="K505" s="1">
        <v>545</v>
      </c>
      <c r="L505" s="1">
        <v>460</v>
      </c>
      <c r="M505" s="1">
        <v>73.7</v>
      </c>
      <c r="N505" s="1">
        <v>54.702354499999998</v>
      </c>
      <c r="O505" s="1">
        <v>-3.2765753000000002</v>
      </c>
      <c r="P505" s="14">
        <f t="shared" si="55"/>
        <v>54.2</v>
      </c>
      <c r="Q505" s="13">
        <f>((667 - F505) / 666) * 100</f>
        <v>39.189189189189186</v>
      </c>
      <c r="R505" s="16">
        <f t="shared" si="56"/>
        <v>52.6</v>
      </c>
      <c r="S505" s="14">
        <f t="shared" si="57"/>
        <v>0</v>
      </c>
      <c r="T505" s="13">
        <f t="shared" si="58"/>
        <v>47.599999999999994</v>
      </c>
      <c r="U505" s="14">
        <f t="shared" si="59"/>
        <v>45.6</v>
      </c>
      <c r="V505" s="14">
        <f t="shared" si="60"/>
        <v>54.1</v>
      </c>
      <c r="W505" s="1">
        <f t="shared" si="61"/>
        <v>49.7</v>
      </c>
      <c r="X505" s="1" t="str">
        <f>IF(Table1[[#This Row],[World Rank]]&lt;=250,"Q1-Elite",IF(Table1[[#This Row],[World Rank]]&lt;=500,"Q2-Strong",IF(Table1[[#This Row],[World Rank]]&lt;=750,"Q3-Developing","Q4-Emerging")))</f>
        <v>Q3-Developing</v>
      </c>
    </row>
    <row r="506" spans="1:24" x14ac:dyDescent="0.2">
      <c r="A506" s="1">
        <v>505</v>
      </c>
      <c r="B506" s="1" t="s">
        <v>570</v>
      </c>
      <c r="C506" s="1" t="s">
        <v>28</v>
      </c>
      <c r="D506" s="1" t="s">
        <v>1125</v>
      </c>
      <c r="E506" s="1">
        <v>16</v>
      </c>
      <c r="F506" s="1">
        <v>667</v>
      </c>
      <c r="G506" s="1">
        <v>1001</v>
      </c>
      <c r="H506" s="1">
        <v>304</v>
      </c>
      <c r="I506" s="1">
        <v>563</v>
      </c>
      <c r="J506" s="1">
        <v>505</v>
      </c>
      <c r="K506" s="1">
        <v>369</v>
      </c>
      <c r="L506" s="1">
        <v>541</v>
      </c>
      <c r="M506" s="1">
        <v>73.7</v>
      </c>
      <c r="N506" s="1">
        <v>36.5748441</v>
      </c>
      <c r="O506" s="1">
        <v>139.23941790000001</v>
      </c>
      <c r="P506" s="14">
        <f t="shared" si="55"/>
        <v>49.6</v>
      </c>
      <c r="Q506" s="13">
        <v>20</v>
      </c>
      <c r="R506" s="16">
        <f t="shared" si="56"/>
        <v>0</v>
      </c>
      <c r="S506" s="14">
        <f t="shared" si="57"/>
        <v>0</v>
      </c>
      <c r="T506" s="13">
        <f t="shared" si="58"/>
        <v>43.8</v>
      </c>
      <c r="U506" s="14">
        <f t="shared" si="59"/>
        <v>63.2</v>
      </c>
      <c r="V506" s="14">
        <f t="shared" si="60"/>
        <v>46</v>
      </c>
      <c r="W506" s="1">
        <f t="shared" si="61"/>
        <v>49.6</v>
      </c>
      <c r="X506" s="1" t="str">
        <f>IF(Table1[[#This Row],[World Rank]]&lt;=250,"Q1-Elite",IF(Table1[[#This Row],[World Rank]]&lt;=500,"Q2-Strong",IF(Table1[[#This Row],[World Rank]]&lt;=750,"Q3-Developing","Q4-Emerging")))</f>
        <v>Q3-Developing</v>
      </c>
    </row>
    <row r="507" spans="1:24" x14ac:dyDescent="0.2">
      <c r="A507" s="1">
        <v>506</v>
      </c>
      <c r="B507" s="1" t="s">
        <v>571</v>
      </c>
      <c r="C507" s="1" t="s">
        <v>48</v>
      </c>
      <c r="D507" s="1" t="s">
        <v>1124</v>
      </c>
      <c r="E507" s="1">
        <v>25</v>
      </c>
      <c r="F507" s="1">
        <v>118</v>
      </c>
      <c r="G507" s="1">
        <v>171</v>
      </c>
      <c r="H507" s="1">
        <v>128</v>
      </c>
      <c r="I507" s="1">
        <v>955</v>
      </c>
      <c r="J507" s="1">
        <v>677</v>
      </c>
      <c r="K507" s="1">
        <v>495</v>
      </c>
      <c r="L507" s="1">
        <v>898</v>
      </c>
      <c r="M507" s="1">
        <v>73.7</v>
      </c>
      <c r="N507" s="1">
        <v>46.603354000000003</v>
      </c>
      <c r="O507" s="1">
        <v>1.8883335000000001</v>
      </c>
      <c r="P507" s="14">
        <f t="shared" si="55"/>
        <v>32.4</v>
      </c>
      <c r="Q507" s="13">
        <f>((667 - F507) / 666) * 100</f>
        <v>82.432432432432435</v>
      </c>
      <c r="R507" s="16">
        <f t="shared" si="56"/>
        <v>83</v>
      </c>
      <c r="S507" s="14">
        <f t="shared" si="57"/>
        <v>58.085808580858092</v>
      </c>
      <c r="T507" s="13">
        <f t="shared" si="58"/>
        <v>4.5999999999999996</v>
      </c>
      <c r="U507" s="14">
        <f t="shared" si="59"/>
        <v>50.6</v>
      </c>
      <c r="V507" s="14">
        <f t="shared" si="60"/>
        <v>10.299999999999999</v>
      </c>
      <c r="W507" s="1">
        <f t="shared" si="61"/>
        <v>49.5</v>
      </c>
      <c r="X507" s="1" t="str">
        <f>IF(Table1[[#This Row],[World Rank]]&lt;=250,"Q1-Elite",IF(Table1[[#This Row],[World Rank]]&lt;=500,"Q2-Strong",IF(Table1[[#This Row],[World Rank]]&lt;=750,"Q3-Developing","Q4-Emerging")))</f>
        <v>Q3-Developing</v>
      </c>
    </row>
    <row r="508" spans="1:24" x14ac:dyDescent="0.2">
      <c r="A508" s="1">
        <v>507</v>
      </c>
      <c r="B508" s="1" t="s">
        <v>572</v>
      </c>
      <c r="C508" s="1" t="s">
        <v>68</v>
      </c>
      <c r="D508" s="1" t="s">
        <v>1124</v>
      </c>
      <c r="E508" s="1">
        <v>40</v>
      </c>
      <c r="F508" s="1">
        <v>667</v>
      </c>
      <c r="G508" s="1">
        <v>1001</v>
      </c>
      <c r="H508" s="1">
        <v>304</v>
      </c>
      <c r="I508" s="1">
        <v>601</v>
      </c>
      <c r="J508" s="1">
        <v>489</v>
      </c>
      <c r="K508" s="1">
        <v>327</v>
      </c>
      <c r="L508" s="1">
        <v>673</v>
      </c>
      <c r="M508" s="1">
        <v>73.7</v>
      </c>
      <c r="N508" s="1">
        <v>40.420347900000003</v>
      </c>
      <c r="O508" s="1">
        <v>-79.116698299999996</v>
      </c>
      <c r="P508" s="14">
        <f t="shared" si="55"/>
        <v>51.2</v>
      </c>
      <c r="Q508" s="13">
        <v>20</v>
      </c>
      <c r="R508" s="16">
        <f t="shared" si="56"/>
        <v>0</v>
      </c>
      <c r="S508" s="14">
        <f t="shared" si="57"/>
        <v>0</v>
      </c>
      <c r="T508" s="13">
        <f t="shared" si="58"/>
        <v>40</v>
      </c>
      <c r="U508" s="14">
        <f t="shared" si="59"/>
        <v>67.400000000000006</v>
      </c>
      <c r="V508" s="14">
        <f t="shared" si="60"/>
        <v>32.800000000000004</v>
      </c>
      <c r="W508" s="1">
        <f t="shared" si="61"/>
        <v>49.4</v>
      </c>
      <c r="X508" s="1" t="str">
        <f>IF(Table1[[#This Row],[World Rank]]&lt;=250,"Q1-Elite",IF(Table1[[#This Row],[World Rank]]&lt;=500,"Q2-Strong",IF(Table1[[#This Row],[World Rank]]&lt;=750,"Q3-Developing","Q4-Emerging")))</f>
        <v>Q3-Developing</v>
      </c>
    </row>
    <row r="509" spans="1:24" x14ac:dyDescent="0.2">
      <c r="A509" s="1">
        <v>508</v>
      </c>
      <c r="B509" s="1" t="s">
        <v>573</v>
      </c>
      <c r="C509" s="1" t="s">
        <v>15</v>
      </c>
      <c r="D509" s="1" t="s">
        <v>1120</v>
      </c>
      <c r="E509" s="1">
        <v>140</v>
      </c>
      <c r="F509" s="1">
        <v>571</v>
      </c>
      <c r="G509" s="1">
        <v>829</v>
      </c>
      <c r="H509" s="1">
        <v>304</v>
      </c>
      <c r="I509" s="1">
        <v>584</v>
      </c>
      <c r="J509" s="1">
        <v>527</v>
      </c>
      <c r="K509" s="1">
        <v>440</v>
      </c>
      <c r="L509" s="1">
        <v>405</v>
      </c>
      <c r="M509" s="1">
        <v>73.7</v>
      </c>
      <c r="N509" s="1">
        <v>39.783730400000003</v>
      </c>
      <c r="O509" s="1">
        <v>-100.445882</v>
      </c>
      <c r="P509" s="14">
        <f t="shared" si="55"/>
        <v>47.4</v>
      </c>
      <c r="Q509" s="13">
        <v>20</v>
      </c>
      <c r="R509" s="16">
        <f t="shared" si="56"/>
        <v>17.2</v>
      </c>
      <c r="S509" s="14">
        <f t="shared" si="57"/>
        <v>0</v>
      </c>
      <c r="T509" s="13">
        <f t="shared" si="58"/>
        <v>41.699999999999996</v>
      </c>
      <c r="U509" s="14">
        <f t="shared" si="59"/>
        <v>56.100000000000009</v>
      </c>
      <c r="V509" s="14">
        <f t="shared" si="60"/>
        <v>59.599999999999994</v>
      </c>
      <c r="W509" s="1">
        <f t="shared" si="61"/>
        <v>49.3</v>
      </c>
      <c r="X509" s="1" t="str">
        <f>IF(Table1[[#This Row],[World Rank]]&lt;=250,"Q1-Elite",IF(Table1[[#This Row],[World Rank]]&lt;=500,"Q2-Strong",IF(Table1[[#This Row],[World Rank]]&lt;=750,"Q3-Developing","Q4-Emerging")))</f>
        <v>Q3-Developing</v>
      </c>
    </row>
    <row r="510" spans="1:24" x14ac:dyDescent="0.2">
      <c r="A510" s="1">
        <v>509</v>
      </c>
      <c r="B510" s="1" t="s">
        <v>574</v>
      </c>
      <c r="C510" s="1" t="s">
        <v>93</v>
      </c>
      <c r="D510" s="1" t="s">
        <v>1124</v>
      </c>
      <c r="E510" s="1">
        <v>26</v>
      </c>
      <c r="F510" s="1">
        <v>667</v>
      </c>
      <c r="G510" s="1">
        <v>1001</v>
      </c>
      <c r="H510" s="1">
        <v>304</v>
      </c>
      <c r="I510" s="1">
        <v>438</v>
      </c>
      <c r="J510" s="1">
        <v>494</v>
      </c>
      <c r="K510" s="1">
        <v>633</v>
      </c>
      <c r="L510" s="1">
        <v>460</v>
      </c>
      <c r="M510" s="1">
        <v>73.7</v>
      </c>
      <c r="N510" s="1">
        <v>42.638426099999997</v>
      </c>
      <c r="O510" s="1">
        <v>12.674296999999999</v>
      </c>
      <c r="P510" s="14">
        <f t="shared" si="55"/>
        <v>50.7</v>
      </c>
      <c r="Q510" s="13">
        <v>20</v>
      </c>
      <c r="R510" s="16">
        <f t="shared" si="56"/>
        <v>0</v>
      </c>
      <c r="S510" s="14">
        <f t="shared" si="57"/>
        <v>0</v>
      </c>
      <c r="T510" s="13">
        <f t="shared" si="58"/>
        <v>56.3</v>
      </c>
      <c r="U510" s="14">
        <f t="shared" si="59"/>
        <v>36.799999999999997</v>
      </c>
      <c r="V510" s="14">
        <f t="shared" si="60"/>
        <v>54.1</v>
      </c>
      <c r="W510" s="1">
        <f t="shared" si="61"/>
        <v>49.2</v>
      </c>
      <c r="X510" s="1" t="str">
        <f>IF(Table1[[#This Row],[World Rank]]&lt;=250,"Q1-Elite",IF(Table1[[#This Row],[World Rank]]&lt;=500,"Q2-Strong",IF(Table1[[#This Row],[World Rank]]&lt;=750,"Q3-Developing","Q4-Emerging")))</f>
        <v>Q3-Developing</v>
      </c>
    </row>
    <row r="511" spans="1:24" x14ac:dyDescent="0.2">
      <c r="A511" s="1">
        <v>510</v>
      </c>
      <c r="B511" s="1" t="s">
        <v>575</v>
      </c>
      <c r="C511" s="1" t="s">
        <v>145</v>
      </c>
      <c r="D511" s="1" t="s">
        <v>1125</v>
      </c>
      <c r="E511" s="1">
        <v>7</v>
      </c>
      <c r="F511" s="1">
        <v>667</v>
      </c>
      <c r="G511" s="1">
        <v>1001</v>
      </c>
      <c r="H511" s="1">
        <v>304</v>
      </c>
      <c r="I511" s="1">
        <v>314</v>
      </c>
      <c r="J511" s="1">
        <v>337</v>
      </c>
      <c r="K511" s="1">
        <v>687</v>
      </c>
      <c r="L511" s="1">
        <v>1001</v>
      </c>
      <c r="M511" s="1">
        <v>73.599999999999994</v>
      </c>
      <c r="N511" s="1">
        <v>23.598322700000001</v>
      </c>
      <c r="O511" s="2" t="s">
        <v>146</v>
      </c>
      <c r="P511" s="14">
        <f t="shared" si="55"/>
        <v>66.400000000000006</v>
      </c>
      <c r="Q511" s="13">
        <v>20</v>
      </c>
      <c r="R511" s="16">
        <f t="shared" si="56"/>
        <v>0</v>
      </c>
      <c r="S511" s="14">
        <f t="shared" si="57"/>
        <v>0</v>
      </c>
      <c r="T511" s="13">
        <f t="shared" si="58"/>
        <v>68.7</v>
      </c>
      <c r="U511" s="14">
        <f t="shared" si="59"/>
        <v>31.4</v>
      </c>
      <c r="V511" s="14">
        <f t="shared" si="60"/>
        <v>0</v>
      </c>
      <c r="W511" s="1">
        <f t="shared" si="61"/>
        <v>49.1</v>
      </c>
      <c r="X511" s="1" t="str">
        <f>IF(Table1[[#This Row],[World Rank]]&lt;=250,"Q1-Elite",IF(Table1[[#This Row],[World Rank]]&lt;=500,"Q2-Strong",IF(Table1[[#This Row],[World Rank]]&lt;=750,"Q3-Developing","Q4-Emerging")))</f>
        <v>Q3-Developing</v>
      </c>
    </row>
    <row r="512" spans="1:24" x14ac:dyDescent="0.2">
      <c r="A512" s="1">
        <v>511</v>
      </c>
      <c r="B512" s="1" t="s">
        <v>576</v>
      </c>
      <c r="C512" s="1" t="s">
        <v>93</v>
      </c>
      <c r="D512" s="1" t="s">
        <v>1124</v>
      </c>
      <c r="E512" s="1">
        <v>27</v>
      </c>
      <c r="F512" s="1">
        <v>425</v>
      </c>
      <c r="G512" s="1">
        <v>1001</v>
      </c>
      <c r="H512" s="1">
        <v>304</v>
      </c>
      <c r="I512" s="1">
        <v>419</v>
      </c>
      <c r="J512" s="1">
        <v>469</v>
      </c>
      <c r="K512" s="1">
        <v>771</v>
      </c>
      <c r="L512" s="1">
        <v>460</v>
      </c>
      <c r="M512" s="1">
        <v>73.599999999999994</v>
      </c>
      <c r="N512" s="1">
        <v>42.638426099999997</v>
      </c>
      <c r="O512" s="1">
        <v>12.674296999999999</v>
      </c>
      <c r="P512" s="14">
        <f t="shared" si="55"/>
        <v>53.2</v>
      </c>
      <c r="Q512" s="13">
        <f>((667 - F512) / 666) * 100</f>
        <v>36.336336336336338</v>
      </c>
      <c r="R512" s="16">
        <f t="shared" si="56"/>
        <v>0</v>
      </c>
      <c r="S512" s="14">
        <f t="shared" si="57"/>
        <v>0</v>
      </c>
      <c r="T512" s="13">
        <f t="shared" si="58"/>
        <v>58.199999999999996</v>
      </c>
      <c r="U512" s="14">
        <f t="shared" si="59"/>
        <v>23</v>
      </c>
      <c r="V512" s="14">
        <f t="shared" si="60"/>
        <v>54.1</v>
      </c>
      <c r="W512" s="1">
        <f t="shared" si="61"/>
        <v>49</v>
      </c>
      <c r="X512" s="1" t="str">
        <f>IF(Table1[[#This Row],[World Rank]]&lt;=250,"Q1-Elite",IF(Table1[[#This Row],[World Rank]]&lt;=500,"Q2-Strong",IF(Table1[[#This Row],[World Rank]]&lt;=750,"Q3-Developing","Q4-Emerging")))</f>
        <v>Q3-Developing</v>
      </c>
    </row>
    <row r="513" spans="1:24" x14ac:dyDescent="0.2">
      <c r="A513" s="1">
        <v>512</v>
      </c>
      <c r="B513" s="1" t="s">
        <v>577</v>
      </c>
      <c r="C513" s="1" t="s">
        <v>15</v>
      </c>
      <c r="D513" s="1" t="s">
        <v>1120</v>
      </c>
      <c r="E513" s="1">
        <v>141</v>
      </c>
      <c r="F513" s="1">
        <v>667</v>
      </c>
      <c r="G513" s="1">
        <v>152</v>
      </c>
      <c r="H513" s="1">
        <v>304</v>
      </c>
      <c r="I513" s="1">
        <v>813</v>
      </c>
      <c r="J513" s="1">
        <v>611</v>
      </c>
      <c r="K513" s="1">
        <v>368</v>
      </c>
      <c r="L513" s="1">
        <v>363</v>
      </c>
      <c r="M513" s="1">
        <v>73.599999999999994</v>
      </c>
      <c r="N513" s="1">
        <v>39.783730400000003</v>
      </c>
      <c r="O513" s="1">
        <v>-100.445882</v>
      </c>
      <c r="P513" s="14">
        <f t="shared" si="55"/>
        <v>39</v>
      </c>
      <c r="Q513" s="13">
        <v>20</v>
      </c>
      <c r="R513" s="16">
        <f t="shared" si="56"/>
        <v>84.899999999999991</v>
      </c>
      <c r="S513" s="14">
        <f t="shared" si="57"/>
        <v>0</v>
      </c>
      <c r="T513" s="13">
        <f t="shared" si="58"/>
        <v>18.8</v>
      </c>
      <c r="U513" s="14">
        <f t="shared" si="59"/>
        <v>63.3</v>
      </c>
      <c r="V513" s="14">
        <f t="shared" si="60"/>
        <v>63.800000000000004</v>
      </c>
      <c r="W513" s="1">
        <f t="shared" si="61"/>
        <v>48.9</v>
      </c>
      <c r="X513" s="1" t="str">
        <f>IF(Table1[[#This Row],[World Rank]]&lt;=250,"Q1-Elite",IF(Table1[[#This Row],[World Rank]]&lt;=500,"Q2-Strong",IF(Table1[[#This Row],[World Rank]]&lt;=750,"Q3-Developing","Q4-Emerging")))</f>
        <v>Q3-Developing</v>
      </c>
    </row>
    <row r="514" spans="1:24" x14ac:dyDescent="0.2">
      <c r="A514" s="1">
        <v>513</v>
      </c>
      <c r="B514" s="1" t="s">
        <v>578</v>
      </c>
      <c r="C514" s="1" t="s">
        <v>48</v>
      </c>
      <c r="D514" s="1" t="s">
        <v>1124</v>
      </c>
      <c r="E514" s="1">
        <v>26</v>
      </c>
      <c r="F514" s="1">
        <v>667</v>
      </c>
      <c r="G514" s="1">
        <v>1001</v>
      </c>
      <c r="H514" s="1">
        <v>304</v>
      </c>
      <c r="I514" s="1">
        <v>568</v>
      </c>
      <c r="J514" s="1">
        <v>497</v>
      </c>
      <c r="K514" s="1">
        <v>509</v>
      </c>
      <c r="L514" s="1">
        <v>405</v>
      </c>
      <c r="M514" s="1">
        <v>73.599999999999994</v>
      </c>
      <c r="N514" s="1">
        <v>46.603354000000003</v>
      </c>
      <c r="O514" s="1">
        <v>1.8883335000000001</v>
      </c>
      <c r="P514" s="14">
        <f t="shared" ref="P514:P577" si="62">((1001 - J514) / 1000) * 100</f>
        <v>50.4</v>
      </c>
      <c r="Q514" s="13">
        <v>20</v>
      </c>
      <c r="R514" s="16">
        <f t="shared" ref="R514:R577" si="63">(1001 - G514) / 1000 * 100</f>
        <v>0</v>
      </c>
      <c r="S514" s="14">
        <f t="shared" ref="S514:S577" si="64">(304 - H514) / 303 * 100</f>
        <v>0</v>
      </c>
      <c r="T514" s="13">
        <f t="shared" ref="T514:T577" si="65">(1001 - I514) / 1000 * 100</f>
        <v>43.3</v>
      </c>
      <c r="U514" s="14">
        <f t="shared" ref="U514:U577" si="66">(1001 - K514) / 1000 * 100</f>
        <v>49.2</v>
      </c>
      <c r="V514" s="14">
        <f t="shared" ref="V514:V577" si="67">(1001 - L514) / 1000 * 100</f>
        <v>59.599999999999994</v>
      </c>
      <c r="W514" s="1">
        <f t="shared" ref="W514:W577" si="68">(1001 - A514) / 1000 * 100</f>
        <v>48.8</v>
      </c>
      <c r="X514" s="1" t="str">
        <f>IF(Table1[[#This Row],[World Rank]]&lt;=250,"Q1-Elite",IF(Table1[[#This Row],[World Rank]]&lt;=500,"Q2-Strong",IF(Table1[[#This Row],[World Rank]]&lt;=750,"Q3-Developing","Q4-Emerging")))</f>
        <v>Q3-Developing</v>
      </c>
    </row>
    <row r="515" spans="1:24" x14ac:dyDescent="0.2">
      <c r="A515" s="1">
        <v>514</v>
      </c>
      <c r="B515" s="1" t="s">
        <v>579</v>
      </c>
      <c r="C515" s="1" t="s">
        <v>126</v>
      </c>
      <c r="D515" s="1" t="s">
        <v>1124</v>
      </c>
      <c r="E515" s="1">
        <v>6</v>
      </c>
      <c r="F515" s="1">
        <v>667</v>
      </c>
      <c r="G515" s="1">
        <v>715</v>
      </c>
      <c r="H515" s="1">
        <v>304</v>
      </c>
      <c r="I515" s="1">
        <v>638</v>
      </c>
      <c r="J515" s="1">
        <v>528</v>
      </c>
      <c r="K515" s="1">
        <v>381</v>
      </c>
      <c r="L515" s="1">
        <v>460</v>
      </c>
      <c r="M515" s="1">
        <v>73.599999999999994</v>
      </c>
      <c r="N515" s="1">
        <v>63.246777700000003</v>
      </c>
      <c r="O515" s="1">
        <v>25.920916399999999</v>
      </c>
      <c r="P515" s="14">
        <f t="shared" si="62"/>
        <v>47.3</v>
      </c>
      <c r="Q515" s="13">
        <v>20</v>
      </c>
      <c r="R515" s="16">
        <f t="shared" si="63"/>
        <v>28.599999999999998</v>
      </c>
      <c r="S515" s="14">
        <f t="shared" si="64"/>
        <v>0</v>
      </c>
      <c r="T515" s="13">
        <f t="shared" si="65"/>
        <v>36.299999999999997</v>
      </c>
      <c r="U515" s="14">
        <f t="shared" si="66"/>
        <v>62</v>
      </c>
      <c r="V515" s="14">
        <f t="shared" si="67"/>
        <v>54.1</v>
      </c>
      <c r="W515" s="1">
        <f t="shared" si="68"/>
        <v>48.699999999999996</v>
      </c>
      <c r="X515" s="1" t="str">
        <f>IF(Table1[[#This Row],[World Rank]]&lt;=250,"Q1-Elite",IF(Table1[[#This Row],[World Rank]]&lt;=500,"Q2-Strong",IF(Table1[[#This Row],[World Rank]]&lt;=750,"Q3-Developing","Q4-Emerging")))</f>
        <v>Q3-Developing</v>
      </c>
    </row>
    <row r="516" spans="1:24" x14ac:dyDescent="0.2">
      <c r="A516" s="1">
        <v>515</v>
      </c>
      <c r="B516" s="1" t="s">
        <v>580</v>
      </c>
      <c r="C516" s="1" t="s">
        <v>124</v>
      </c>
      <c r="D516" s="1" t="s">
        <v>1125</v>
      </c>
      <c r="E516" s="1">
        <v>37</v>
      </c>
      <c r="F516" s="1">
        <v>667</v>
      </c>
      <c r="G516" s="1">
        <v>1001</v>
      </c>
      <c r="H516" s="1">
        <v>304</v>
      </c>
      <c r="I516" s="1">
        <v>309</v>
      </c>
      <c r="J516" s="1">
        <v>399</v>
      </c>
      <c r="K516" s="1">
        <v>1001</v>
      </c>
      <c r="L516" s="1">
        <v>673</v>
      </c>
      <c r="M516" s="1">
        <v>73.599999999999994</v>
      </c>
      <c r="N516" s="1">
        <v>30.047992000000001</v>
      </c>
      <c r="O516" s="1">
        <v>-94.335743300000004</v>
      </c>
      <c r="P516" s="14">
        <f t="shared" si="62"/>
        <v>60.199999999999996</v>
      </c>
      <c r="Q516" s="13">
        <v>20</v>
      </c>
      <c r="R516" s="16">
        <f t="shared" si="63"/>
        <v>0</v>
      </c>
      <c r="S516" s="14">
        <f t="shared" si="64"/>
        <v>0</v>
      </c>
      <c r="T516" s="13">
        <f t="shared" si="65"/>
        <v>69.199999999999989</v>
      </c>
      <c r="U516" s="14">
        <f t="shared" si="66"/>
        <v>0</v>
      </c>
      <c r="V516" s="14">
        <f t="shared" si="67"/>
        <v>32.800000000000004</v>
      </c>
      <c r="W516" s="1">
        <f t="shared" si="68"/>
        <v>48.6</v>
      </c>
      <c r="X516" s="1" t="str">
        <f>IF(Table1[[#This Row],[World Rank]]&lt;=250,"Q1-Elite",IF(Table1[[#This Row],[World Rank]]&lt;=500,"Q2-Strong",IF(Table1[[#This Row],[World Rank]]&lt;=750,"Q3-Developing","Q4-Emerging")))</f>
        <v>Q3-Developing</v>
      </c>
    </row>
    <row r="517" spans="1:24" x14ac:dyDescent="0.2">
      <c r="A517" s="1">
        <v>516</v>
      </c>
      <c r="B517" s="1" t="s">
        <v>581</v>
      </c>
      <c r="C517" s="1" t="s">
        <v>48</v>
      </c>
      <c r="D517" s="1" t="s">
        <v>1124</v>
      </c>
      <c r="E517" s="1">
        <v>27</v>
      </c>
      <c r="F517" s="1">
        <v>496</v>
      </c>
      <c r="G517" s="1">
        <v>1001</v>
      </c>
      <c r="H517" s="1">
        <v>188</v>
      </c>
      <c r="I517" s="1">
        <v>784</v>
      </c>
      <c r="J517" s="1">
        <v>662</v>
      </c>
      <c r="K517" s="1">
        <v>609</v>
      </c>
      <c r="L517" s="1">
        <v>541</v>
      </c>
      <c r="M517" s="1">
        <v>73.599999999999994</v>
      </c>
      <c r="N517" s="1">
        <v>46.603354000000003</v>
      </c>
      <c r="O517" s="1">
        <v>1.8883335000000001</v>
      </c>
      <c r="P517" s="14">
        <f t="shared" si="62"/>
        <v>33.900000000000006</v>
      </c>
      <c r="Q517" s="13">
        <f>((667 - F517) / 666) * 100</f>
        <v>25.675675675675674</v>
      </c>
      <c r="R517" s="16">
        <f t="shared" si="63"/>
        <v>0</v>
      </c>
      <c r="S517" s="14">
        <f t="shared" si="64"/>
        <v>38.283828382838287</v>
      </c>
      <c r="T517" s="13">
        <f t="shared" si="65"/>
        <v>21.7</v>
      </c>
      <c r="U517" s="14">
        <f t="shared" si="66"/>
        <v>39.200000000000003</v>
      </c>
      <c r="V517" s="14">
        <f t="shared" si="67"/>
        <v>46</v>
      </c>
      <c r="W517" s="1">
        <f t="shared" si="68"/>
        <v>48.5</v>
      </c>
      <c r="X517" s="1" t="str">
        <f>IF(Table1[[#This Row],[World Rank]]&lt;=250,"Q1-Elite",IF(Table1[[#This Row],[World Rank]]&lt;=500,"Q2-Strong",IF(Table1[[#This Row],[World Rank]]&lt;=750,"Q3-Developing","Q4-Emerging")))</f>
        <v>Q3-Developing</v>
      </c>
    </row>
    <row r="518" spans="1:24" x14ac:dyDescent="0.2">
      <c r="A518" s="1">
        <v>517</v>
      </c>
      <c r="B518" s="1" t="s">
        <v>582</v>
      </c>
      <c r="C518" s="1" t="s">
        <v>15</v>
      </c>
      <c r="D518" s="1" t="s">
        <v>1120</v>
      </c>
      <c r="E518" s="1">
        <v>142</v>
      </c>
      <c r="F518" s="1">
        <v>352</v>
      </c>
      <c r="G518" s="1">
        <v>726</v>
      </c>
      <c r="H518" s="1">
        <v>304</v>
      </c>
      <c r="I518" s="1">
        <v>657</v>
      </c>
      <c r="J518" s="1">
        <v>579</v>
      </c>
      <c r="K518" s="1">
        <v>438</v>
      </c>
      <c r="L518" s="1">
        <v>363</v>
      </c>
      <c r="M518" s="1">
        <v>73.599999999999994</v>
      </c>
      <c r="N518" s="1">
        <v>39.783730400000003</v>
      </c>
      <c r="O518" s="1">
        <v>-100.445882</v>
      </c>
      <c r="P518" s="14">
        <f t="shared" si="62"/>
        <v>42.199999999999996</v>
      </c>
      <c r="Q518" s="13">
        <f>((667 - F518) / 666) * 100</f>
        <v>47.297297297297298</v>
      </c>
      <c r="R518" s="16">
        <f t="shared" si="63"/>
        <v>27.500000000000004</v>
      </c>
      <c r="S518" s="14">
        <f t="shared" si="64"/>
        <v>0</v>
      </c>
      <c r="T518" s="13">
        <f t="shared" si="65"/>
        <v>34.4</v>
      </c>
      <c r="U518" s="14">
        <f t="shared" si="66"/>
        <v>56.3</v>
      </c>
      <c r="V518" s="14">
        <f t="shared" si="67"/>
        <v>63.800000000000004</v>
      </c>
      <c r="W518" s="1">
        <f t="shared" si="68"/>
        <v>48.4</v>
      </c>
      <c r="X518" s="1" t="str">
        <f>IF(Table1[[#This Row],[World Rank]]&lt;=250,"Q1-Elite",IF(Table1[[#This Row],[World Rank]]&lt;=500,"Q2-Strong",IF(Table1[[#This Row],[World Rank]]&lt;=750,"Q3-Developing","Q4-Emerging")))</f>
        <v>Q3-Developing</v>
      </c>
    </row>
    <row r="519" spans="1:24" x14ac:dyDescent="0.2">
      <c r="A519" s="1">
        <v>518</v>
      </c>
      <c r="B519" s="1" t="s">
        <v>583</v>
      </c>
      <c r="C519" s="1" t="s">
        <v>269</v>
      </c>
      <c r="D519" s="1" t="s">
        <v>1124</v>
      </c>
      <c r="E519" s="1">
        <v>4</v>
      </c>
      <c r="F519" s="1">
        <v>667</v>
      </c>
      <c r="G519" s="1">
        <v>1001</v>
      </c>
      <c r="H519" s="1">
        <v>304</v>
      </c>
      <c r="I519" s="1">
        <v>651</v>
      </c>
      <c r="J519" s="1">
        <v>565</v>
      </c>
      <c r="K519" s="1">
        <v>442</v>
      </c>
      <c r="L519" s="1">
        <v>363</v>
      </c>
      <c r="M519" s="1">
        <v>73.599999999999994</v>
      </c>
      <c r="N519" s="1">
        <v>52.865195999999997</v>
      </c>
      <c r="O519" s="1">
        <v>-7.9794599000000002</v>
      </c>
      <c r="P519" s="14">
        <f t="shared" si="62"/>
        <v>43.6</v>
      </c>
      <c r="Q519" s="13">
        <v>20</v>
      </c>
      <c r="R519" s="16">
        <f t="shared" si="63"/>
        <v>0</v>
      </c>
      <c r="S519" s="14">
        <f t="shared" si="64"/>
        <v>0</v>
      </c>
      <c r="T519" s="13">
        <f t="shared" si="65"/>
        <v>35</v>
      </c>
      <c r="U519" s="14">
        <f t="shared" si="66"/>
        <v>55.900000000000006</v>
      </c>
      <c r="V519" s="14">
        <f t="shared" si="67"/>
        <v>63.800000000000004</v>
      </c>
      <c r="W519" s="1">
        <f t="shared" si="68"/>
        <v>48.3</v>
      </c>
      <c r="X519" s="1" t="str">
        <f>IF(Table1[[#This Row],[World Rank]]&lt;=250,"Q1-Elite",IF(Table1[[#This Row],[World Rank]]&lt;=500,"Q2-Strong",IF(Table1[[#This Row],[World Rank]]&lt;=750,"Q3-Developing","Q4-Emerging")))</f>
        <v>Q3-Developing</v>
      </c>
    </row>
    <row r="520" spans="1:24" x14ac:dyDescent="0.2">
      <c r="A520" s="1">
        <v>519</v>
      </c>
      <c r="B520" s="1" t="s">
        <v>584</v>
      </c>
      <c r="C520" s="1" t="s">
        <v>478</v>
      </c>
      <c r="D520" s="1" t="s">
        <v>1125</v>
      </c>
      <c r="E520" s="1">
        <v>2</v>
      </c>
      <c r="F520" s="1">
        <v>667</v>
      </c>
      <c r="G520" s="1">
        <v>1001</v>
      </c>
      <c r="H520" s="1">
        <v>304</v>
      </c>
      <c r="I520" s="1">
        <v>699</v>
      </c>
      <c r="J520" s="1">
        <v>534</v>
      </c>
      <c r="K520" s="1">
        <v>444</v>
      </c>
      <c r="L520" s="1">
        <v>363</v>
      </c>
      <c r="M520" s="1">
        <v>73.599999999999994</v>
      </c>
      <c r="N520" s="1">
        <v>22.351114800000001</v>
      </c>
      <c r="O520" s="1">
        <v>78.667742799999999</v>
      </c>
      <c r="P520" s="14">
        <f t="shared" si="62"/>
        <v>46.7</v>
      </c>
      <c r="Q520" s="13">
        <v>20</v>
      </c>
      <c r="R520" s="16">
        <f t="shared" si="63"/>
        <v>0</v>
      </c>
      <c r="S520" s="14">
        <f t="shared" si="64"/>
        <v>0</v>
      </c>
      <c r="T520" s="13">
        <f t="shared" si="65"/>
        <v>30.2</v>
      </c>
      <c r="U520" s="14">
        <f t="shared" si="66"/>
        <v>55.7</v>
      </c>
      <c r="V520" s="14">
        <f t="shared" si="67"/>
        <v>63.800000000000004</v>
      </c>
      <c r="W520" s="1">
        <f t="shared" si="68"/>
        <v>48.199999999999996</v>
      </c>
      <c r="X520" s="1" t="str">
        <f>IF(Table1[[#This Row],[World Rank]]&lt;=250,"Q1-Elite",IF(Table1[[#This Row],[World Rank]]&lt;=500,"Q2-Strong",IF(Table1[[#This Row],[World Rank]]&lt;=750,"Q3-Developing","Q4-Emerging")))</f>
        <v>Q3-Developing</v>
      </c>
    </row>
    <row r="521" spans="1:24" x14ac:dyDescent="0.2">
      <c r="A521" s="1">
        <v>520</v>
      </c>
      <c r="B521" s="1" t="s">
        <v>585</v>
      </c>
      <c r="C521" s="1" t="s">
        <v>48</v>
      </c>
      <c r="D521" s="1" t="s">
        <v>1124</v>
      </c>
      <c r="E521" s="1">
        <v>28</v>
      </c>
      <c r="F521" s="1">
        <v>450</v>
      </c>
      <c r="G521" s="1">
        <v>1001</v>
      </c>
      <c r="H521" s="1">
        <v>304</v>
      </c>
      <c r="I521" s="1">
        <v>566</v>
      </c>
      <c r="J521" s="1">
        <v>498</v>
      </c>
      <c r="K521" s="1">
        <v>504</v>
      </c>
      <c r="L521" s="1">
        <v>460</v>
      </c>
      <c r="M521" s="1">
        <v>73.5</v>
      </c>
      <c r="N521" s="1">
        <v>46.603354000000003</v>
      </c>
      <c r="O521" s="1">
        <v>1.8883335000000001</v>
      </c>
      <c r="P521" s="14">
        <f t="shared" si="62"/>
        <v>50.3</v>
      </c>
      <c r="Q521" s="13">
        <f>((667 - F521) / 666) * 100</f>
        <v>32.582582582582582</v>
      </c>
      <c r="R521" s="16">
        <f t="shared" si="63"/>
        <v>0</v>
      </c>
      <c r="S521" s="14">
        <f t="shared" si="64"/>
        <v>0</v>
      </c>
      <c r="T521" s="13">
        <f t="shared" si="65"/>
        <v>43.5</v>
      </c>
      <c r="U521" s="14">
        <f t="shared" si="66"/>
        <v>49.7</v>
      </c>
      <c r="V521" s="14">
        <f t="shared" si="67"/>
        <v>54.1</v>
      </c>
      <c r="W521" s="1">
        <f t="shared" si="68"/>
        <v>48.1</v>
      </c>
      <c r="X521" s="1" t="str">
        <f>IF(Table1[[#This Row],[World Rank]]&lt;=250,"Q1-Elite",IF(Table1[[#This Row],[World Rank]]&lt;=500,"Q2-Strong",IF(Table1[[#This Row],[World Rank]]&lt;=750,"Q3-Developing","Q4-Emerging")))</f>
        <v>Q3-Developing</v>
      </c>
    </row>
    <row r="522" spans="1:24" x14ac:dyDescent="0.2">
      <c r="A522" s="1">
        <v>521</v>
      </c>
      <c r="B522" s="1" t="s">
        <v>586</v>
      </c>
      <c r="C522" s="1" t="s">
        <v>145</v>
      </c>
      <c r="D522" s="1" t="s">
        <v>1125</v>
      </c>
      <c r="E522" s="1">
        <v>8</v>
      </c>
      <c r="F522" s="1">
        <v>667</v>
      </c>
      <c r="G522" s="1">
        <v>333</v>
      </c>
      <c r="H522" s="1">
        <v>304</v>
      </c>
      <c r="I522" s="1">
        <v>467</v>
      </c>
      <c r="J522" s="1">
        <v>478</v>
      </c>
      <c r="K522" s="1">
        <v>741</v>
      </c>
      <c r="L522" s="1">
        <v>541</v>
      </c>
      <c r="M522" s="1">
        <v>73.5</v>
      </c>
      <c r="N522" s="1">
        <v>23.598322700000001</v>
      </c>
      <c r="O522" s="2" t="s">
        <v>146</v>
      </c>
      <c r="P522" s="14">
        <f t="shared" si="62"/>
        <v>52.300000000000004</v>
      </c>
      <c r="Q522" s="13">
        <v>20</v>
      </c>
      <c r="R522" s="16">
        <f t="shared" si="63"/>
        <v>66.8</v>
      </c>
      <c r="S522" s="14">
        <f t="shared" si="64"/>
        <v>0</v>
      </c>
      <c r="T522" s="13">
        <f t="shared" si="65"/>
        <v>53.400000000000006</v>
      </c>
      <c r="U522" s="14">
        <f t="shared" si="66"/>
        <v>26</v>
      </c>
      <c r="V522" s="14">
        <f t="shared" si="67"/>
        <v>46</v>
      </c>
      <c r="W522" s="1">
        <f t="shared" si="68"/>
        <v>48</v>
      </c>
      <c r="X522" s="1" t="str">
        <f>IF(Table1[[#This Row],[World Rank]]&lt;=250,"Q1-Elite",IF(Table1[[#This Row],[World Rank]]&lt;=500,"Q2-Strong",IF(Table1[[#This Row],[World Rank]]&lt;=750,"Q3-Developing","Q4-Emerging")))</f>
        <v>Q3-Developing</v>
      </c>
    </row>
    <row r="523" spans="1:24" x14ac:dyDescent="0.2">
      <c r="A523" s="1">
        <v>522</v>
      </c>
      <c r="B523" s="1" t="s">
        <v>587</v>
      </c>
      <c r="C523" s="1" t="s">
        <v>262</v>
      </c>
      <c r="D523" s="1" t="s">
        <v>1124</v>
      </c>
      <c r="E523" s="1">
        <v>5</v>
      </c>
      <c r="F523" s="1">
        <v>667</v>
      </c>
      <c r="G523" s="1">
        <v>1001</v>
      </c>
      <c r="H523" s="1">
        <v>304</v>
      </c>
      <c r="I523" s="1">
        <v>507</v>
      </c>
      <c r="J523" s="1">
        <v>542</v>
      </c>
      <c r="K523" s="1">
        <v>696</v>
      </c>
      <c r="L523" s="1">
        <v>363</v>
      </c>
      <c r="M523" s="1">
        <v>73.5</v>
      </c>
      <c r="N523" s="1">
        <v>39.662164799999999</v>
      </c>
      <c r="O523" s="1">
        <v>-8.1353518999999999</v>
      </c>
      <c r="P523" s="14">
        <f t="shared" si="62"/>
        <v>45.9</v>
      </c>
      <c r="Q523" s="13">
        <v>20</v>
      </c>
      <c r="R523" s="16">
        <f t="shared" si="63"/>
        <v>0</v>
      </c>
      <c r="S523" s="14">
        <f t="shared" si="64"/>
        <v>0</v>
      </c>
      <c r="T523" s="13">
        <f t="shared" si="65"/>
        <v>49.4</v>
      </c>
      <c r="U523" s="14">
        <f t="shared" si="66"/>
        <v>30.5</v>
      </c>
      <c r="V523" s="14">
        <f t="shared" si="67"/>
        <v>63.800000000000004</v>
      </c>
      <c r="W523" s="1">
        <f t="shared" si="68"/>
        <v>47.9</v>
      </c>
      <c r="X523" s="1" t="str">
        <f>IF(Table1[[#This Row],[World Rank]]&lt;=250,"Q1-Elite",IF(Table1[[#This Row],[World Rank]]&lt;=500,"Q2-Strong",IF(Table1[[#This Row],[World Rank]]&lt;=750,"Q3-Developing","Q4-Emerging")))</f>
        <v>Q3-Developing</v>
      </c>
    </row>
    <row r="524" spans="1:24" x14ac:dyDescent="0.2">
      <c r="A524" s="1">
        <v>523</v>
      </c>
      <c r="B524" s="1" t="s">
        <v>588</v>
      </c>
      <c r="C524" s="1" t="s">
        <v>19</v>
      </c>
      <c r="D524" s="1" t="s">
        <v>1124</v>
      </c>
      <c r="E524" s="1">
        <v>38</v>
      </c>
      <c r="F524" s="1">
        <v>554</v>
      </c>
      <c r="G524" s="1">
        <v>223</v>
      </c>
      <c r="H524" s="1">
        <v>201</v>
      </c>
      <c r="I524" s="1">
        <v>754</v>
      </c>
      <c r="J524" s="1">
        <v>631</v>
      </c>
      <c r="K524" s="1">
        <v>573</v>
      </c>
      <c r="L524" s="1">
        <v>898</v>
      </c>
      <c r="M524" s="1">
        <v>73.5</v>
      </c>
      <c r="N524" s="1">
        <v>54.702354499999998</v>
      </c>
      <c r="O524" s="1">
        <v>-3.2765753000000002</v>
      </c>
      <c r="P524" s="14">
        <f t="shared" si="62"/>
        <v>37</v>
      </c>
      <c r="Q524" s="13">
        <v>20</v>
      </c>
      <c r="R524" s="16">
        <f t="shared" si="63"/>
        <v>77.8</v>
      </c>
      <c r="S524" s="14">
        <f t="shared" si="64"/>
        <v>33.993399339933994</v>
      </c>
      <c r="T524" s="13">
        <f t="shared" si="65"/>
        <v>24.7</v>
      </c>
      <c r="U524" s="14">
        <f t="shared" si="66"/>
        <v>42.8</v>
      </c>
      <c r="V524" s="14">
        <f t="shared" si="67"/>
        <v>10.299999999999999</v>
      </c>
      <c r="W524" s="1">
        <f t="shared" si="68"/>
        <v>47.8</v>
      </c>
      <c r="X524" s="1" t="str">
        <f>IF(Table1[[#This Row],[World Rank]]&lt;=250,"Q1-Elite",IF(Table1[[#This Row],[World Rank]]&lt;=500,"Q2-Strong",IF(Table1[[#This Row],[World Rank]]&lt;=750,"Q3-Developing","Q4-Emerging")))</f>
        <v>Q3-Developing</v>
      </c>
    </row>
    <row r="525" spans="1:24" x14ac:dyDescent="0.2">
      <c r="A525" s="1">
        <v>524</v>
      </c>
      <c r="B525" s="1" t="s">
        <v>589</v>
      </c>
      <c r="C525" s="1" t="s">
        <v>19</v>
      </c>
      <c r="D525" s="1" t="s">
        <v>1124</v>
      </c>
      <c r="E525" s="1">
        <v>39</v>
      </c>
      <c r="F525" s="1">
        <v>667</v>
      </c>
      <c r="G525" s="1">
        <v>1001</v>
      </c>
      <c r="H525" s="1">
        <v>304</v>
      </c>
      <c r="I525" s="1">
        <v>825</v>
      </c>
      <c r="J525" s="1">
        <v>633</v>
      </c>
      <c r="K525" s="1">
        <v>407</v>
      </c>
      <c r="L525" s="1">
        <v>254</v>
      </c>
      <c r="M525" s="1">
        <v>73.5</v>
      </c>
      <c r="N525" s="1">
        <v>54.702354499999998</v>
      </c>
      <c r="O525" s="1">
        <v>-3.2765753000000002</v>
      </c>
      <c r="P525" s="14">
        <f t="shared" si="62"/>
        <v>36.799999999999997</v>
      </c>
      <c r="Q525" s="13">
        <v>20</v>
      </c>
      <c r="R525" s="16">
        <f t="shared" si="63"/>
        <v>0</v>
      </c>
      <c r="S525" s="14">
        <f t="shared" si="64"/>
        <v>0</v>
      </c>
      <c r="T525" s="13">
        <f t="shared" si="65"/>
        <v>17.599999999999998</v>
      </c>
      <c r="U525" s="14">
        <f t="shared" si="66"/>
        <v>59.4</v>
      </c>
      <c r="V525" s="14">
        <f t="shared" si="67"/>
        <v>74.7</v>
      </c>
      <c r="W525" s="1">
        <f t="shared" si="68"/>
        <v>47.699999999999996</v>
      </c>
      <c r="X525" s="1" t="str">
        <f>IF(Table1[[#This Row],[World Rank]]&lt;=250,"Q1-Elite",IF(Table1[[#This Row],[World Rank]]&lt;=500,"Q2-Strong",IF(Table1[[#This Row],[World Rank]]&lt;=750,"Q3-Developing","Q4-Emerging")))</f>
        <v>Q3-Developing</v>
      </c>
    </row>
    <row r="526" spans="1:24" x14ac:dyDescent="0.2">
      <c r="A526" s="1">
        <v>525</v>
      </c>
      <c r="B526" s="1" t="s">
        <v>590</v>
      </c>
      <c r="C526" s="1" t="s">
        <v>591</v>
      </c>
      <c r="D526" s="1" t="s">
        <v>1125</v>
      </c>
      <c r="E526" s="1">
        <v>1</v>
      </c>
      <c r="F526" s="1">
        <v>667</v>
      </c>
      <c r="G526" s="1">
        <v>1001</v>
      </c>
      <c r="H526" s="1">
        <v>304</v>
      </c>
      <c r="I526" s="1">
        <v>390</v>
      </c>
      <c r="J526" s="1">
        <v>684</v>
      </c>
      <c r="K526" s="1">
        <v>521</v>
      </c>
      <c r="L526" s="1">
        <v>460</v>
      </c>
      <c r="M526" s="1">
        <v>73.5</v>
      </c>
      <c r="N526" s="1">
        <v>38.959759400000003</v>
      </c>
      <c r="O526" s="1">
        <v>34.924965299999997</v>
      </c>
      <c r="P526" s="14">
        <f t="shared" si="62"/>
        <v>31.7</v>
      </c>
      <c r="Q526" s="13">
        <v>20</v>
      </c>
      <c r="R526" s="16">
        <f t="shared" si="63"/>
        <v>0</v>
      </c>
      <c r="S526" s="14">
        <f t="shared" si="64"/>
        <v>0</v>
      </c>
      <c r="T526" s="13">
        <f t="shared" si="65"/>
        <v>61.1</v>
      </c>
      <c r="U526" s="14">
        <f t="shared" si="66"/>
        <v>48</v>
      </c>
      <c r="V526" s="14">
        <f t="shared" si="67"/>
        <v>54.1</v>
      </c>
      <c r="W526" s="1">
        <f t="shared" si="68"/>
        <v>47.599999999999994</v>
      </c>
      <c r="X526" s="1" t="str">
        <f>IF(Table1[[#This Row],[World Rank]]&lt;=250,"Q1-Elite",IF(Table1[[#This Row],[World Rank]]&lt;=500,"Q2-Strong",IF(Table1[[#This Row],[World Rank]]&lt;=750,"Q3-Developing","Q4-Emerging")))</f>
        <v>Q3-Developing</v>
      </c>
    </row>
    <row r="527" spans="1:24" x14ac:dyDescent="0.2">
      <c r="A527" s="1">
        <v>526</v>
      </c>
      <c r="B527" s="1" t="s">
        <v>592</v>
      </c>
      <c r="C527" s="1" t="s">
        <v>15</v>
      </c>
      <c r="D527" s="1" t="s">
        <v>1120</v>
      </c>
      <c r="E527" s="1">
        <v>143</v>
      </c>
      <c r="F527" s="1">
        <v>667</v>
      </c>
      <c r="G527" s="1">
        <v>819</v>
      </c>
      <c r="H527" s="1">
        <v>304</v>
      </c>
      <c r="I527" s="1">
        <v>744</v>
      </c>
      <c r="J527" s="1">
        <v>608</v>
      </c>
      <c r="K527" s="1">
        <v>404</v>
      </c>
      <c r="L527" s="1">
        <v>327</v>
      </c>
      <c r="M527" s="1">
        <v>73.5</v>
      </c>
      <c r="N527" s="1">
        <v>39.783730400000003</v>
      </c>
      <c r="O527" s="1">
        <v>-100.445882</v>
      </c>
      <c r="P527" s="14">
        <f t="shared" si="62"/>
        <v>39.300000000000004</v>
      </c>
      <c r="Q527" s="13">
        <v>20</v>
      </c>
      <c r="R527" s="16">
        <f t="shared" si="63"/>
        <v>18.2</v>
      </c>
      <c r="S527" s="14">
        <f t="shared" si="64"/>
        <v>0</v>
      </c>
      <c r="T527" s="13">
        <f t="shared" si="65"/>
        <v>25.7</v>
      </c>
      <c r="U527" s="14">
        <f t="shared" si="66"/>
        <v>59.699999999999996</v>
      </c>
      <c r="V527" s="14">
        <f t="shared" si="67"/>
        <v>67.400000000000006</v>
      </c>
      <c r="W527" s="1">
        <f t="shared" si="68"/>
        <v>47.5</v>
      </c>
      <c r="X527" s="1" t="str">
        <f>IF(Table1[[#This Row],[World Rank]]&lt;=250,"Q1-Elite",IF(Table1[[#This Row],[World Rank]]&lt;=500,"Q2-Strong",IF(Table1[[#This Row],[World Rank]]&lt;=750,"Q3-Developing","Q4-Emerging")))</f>
        <v>Q3-Developing</v>
      </c>
    </row>
    <row r="528" spans="1:24" x14ac:dyDescent="0.2">
      <c r="A528" s="1">
        <v>527</v>
      </c>
      <c r="B528" s="1" t="s">
        <v>593</v>
      </c>
      <c r="C528" s="1" t="s">
        <v>15</v>
      </c>
      <c r="D528" s="1" t="s">
        <v>1120</v>
      </c>
      <c r="E528" s="1">
        <v>144</v>
      </c>
      <c r="F528" s="1">
        <v>474</v>
      </c>
      <c r="G528" s="1">
        <v>399</v>
      </c>
      <c r="H528" s="1">
        <v>304</v>
      </c>
      <c r="I528" s="1">
        <v>502</v>
      </c>
      <c r="J528" s="1">
        <v>487</v>
      </c>
      <c r="K528" s="1">
        <v>754</v>
      </c>
      <c r="L528" s="1">
        <v>460</v>
      </c>
      <c r="M528" s="1">
        <v>73.5</v>
      </c>
      <c r="N528" s="1">
        <v>39.783730400000003</v>
      </c>
      <c r="O528" s="1">
        <v>-100.445882</v>
      </c>
      <c r="P528" s="14">
        <f t="shared" si="62"/>
        <v>51.4</v>
      </c>
      <c r="Q528" s="13">
        <f>((667 - F528) / 666) * 100</f>
        <v>28.978978978978979</v>
      </c>
      <c r="R528" s="16">
        <f t="shared" si="63"/>
        <v>60.199999999999996</v>
      </c>
      <c r="S528" s="14">
        <f t="shared" si="64"/>
        <v>0</v>
      </c>
      <c r="T528" s="13">
        <f t="shared" si="65"/>
        <v>49.9</v>
      </c>
      <c r="U528" s="14">
        <f t="shared" si="66"/>
        <v>24.7</v>
      </c>
      <c r="V528" s="14">
        <f t="shared" si="67"/>
        <v>54.1</v>
      </c>
      <c r="W528" s="1">
        <f t="shared" si="68"/>
        <v>47.4</v>
      </c>
      <c r="X528" s="1" t="str">
        <f>IF(Table1[[#This Row],[World Rank]]&lt;=250,"Q1-Elite",IF(Table1[[#This Row],[World Rank]]&lt;=500,"Q2-Strong",IF(Table1[[#This Row],[World Rank]]&lt;=750,"Q3-Developing","Q4-Emerging")))</f>
        <v>Q3-Developing</v>
      </c>
    </row>
    <row r="529" spans="1:24" x14ac:dyDescent="0.2">
      <c r="A529" s="1">
        <v>528</v>
      </c>
      <c r="B529" s="1" t="s">
        <v>594</v>
      </c>
      <c r="C529" s="1" t="s">
        <v>15</v>
      </c>
      <c r="D529" s="1" t="s">
        <v>1120</v>
      </c>
      <c r="E529" s="1">
        <v>145</v>
      </c>
      <c r="F529" s="1">
        <v>667</v>
      </c>
      <c r="G529" s="1">
        <v>61</v>
      </c>
      <c r="H529" s="1">
        <v>304</v>
      </c>
      <c r="I529" s="1">
        <v>880</v>
      </c>
      <c r="J529" s="1">
        <v>717</v>
      </c>
      <c r="K529" s="1">
        <v>549</v>
      </c>
      <c r="L529" s="1">
        <v>405</v>
      </c>
      <c r="M529" s="1">
        <v>73.5</v>
      </c>
      <c r="N529" s="1">
        <v>39.783730400000003</v>
      </c>
      <c r="O529" s="1">
        <v>-100.445882</v>
      </c>
      <c r="P529" s="14">
        <f t="shared" si="62"/>
        <v>28.4</v>
      </c>
      <c r="Q529" s="13">
        <v>20</v>
      </c>
      <c r="R529" s="16">
        <f t="shared" si="63"/>
        <v>94</v>
      </c>
      <c r="S529" s="14">
        <f t="shared" si="64"/>
        <v>0</v>
      </c>
      <c r="T529" s="13">
        <f t="shared" si="65"/>
        <v>12.1</v>
      </c>
      <c r="U529" s="14">
        <f t="shared" si="66"/>
        <v>45.2</v>
      </c>
      <c r="V529" s="14">
        <f t="shared" si="67"/>
        <v>59.599999999999994</v>
      </c>
      <c r="W529" s="1">
        <f t="shared" si="68"/>
        <v>47.3</v>
      </c>
      <c r="X529" s="1" t="str">
        <f>IF(Table1[[#This Row],[World Rank]]&lt;=250,"Q1-Elite",IF(Table1[[#This Row],[World Rank]]&lt;=500,"Q2-Strong",IF(Table1[[#This Row],[World Rank]]&lt;=750,"Q3-Developing","Q4-Emerging")))</f>
        <v>Q3-Developing</v>
      </c>
    </row>
    <row r="530" spans="1:24" x14ac:dyDescent="0.2">
      <c r="A530" s="1">
        <v>529</v>
      </c>
      <c r="B530" s="1" t="s">
        <v>595</v>
      </c>
      <c r="C530" s="1" t="s">
        <v>19</v>
      </c>
      <c r="D530" s="1" t="s">
        <v>1124</v>
      </c>
      <c r="E530" s="1">
        <v>40</v>
      </c>
      <c r="F530" s="1">
        <v>667</v>
      </c>
      <c r="G530" s="1">
        <v>1001</v>
      </c>
      <c r="H530" s="1">
        <v>304</v>
      </c>
      <c r="I530" s="1">
        <v>639</v>
      </c>
      <c r="J530" s="1">
        <v>533</v>
      </c>
      <c r="K530" s="1">
        <v>427</v>
      </c>
      <c r="L530" s="1">
        <v>460</v>
      </c>
      <c r="M530" s="1">
        <v>73.400000000000006</v>
      </c>
      <c r="N530" s="1">
        <v>54.702354499999998</v>
      </c>
      <c r="O530" s="1">
        <v>-3.2765753000000002</v>
      </c>
      <c r="P530" s="14">
        <f t="shared" si="62"/>
        <v>46.800000000000004</v>
      </c>
      <c r="Q530" s="13">
        <v>20</v>
      </c>
      <c r="R530" s="16">
        <f t="shared" si="63"/>
        <v>0</v>
      </c>
      <c r="S530" s="14">
        <f t="shared" si="64"/>
        <v>0</v>
      </c>
      <c r="T530" s="13">
        <f t="shared" si="65"/>
        <v>36.199999999999996</v>
      </c>
      <c r="U530" s="14">
        <f t="shared" si="66"/>
        <v>57.4</v>
      </c>
      <c r="V530" s="14">
        <f t="shared" si="67"/>
        <v>54.1</v>
      </c>
      <c r="W530" s="1">
        <f t="shared" si="68"/>
        <v>47.199999999999996</v>
      </c>
      <c r="X530" s="1" t="str">
        <f>IF(Table1[[#This Row],[World Rank]]&lt;=250,"Q1-Elite",IF(Table1[[#This Row],[World Rank]]&lt;=500,"Q2-Strong",IF(Table1[[#This Row],[World Rank]]&lt;=750,"Q3-Developing","Q4-Emerging")))</f>
        <v>Q3-Developing</v>
      </c>
    </row>
    <row r="531" spans="1:24" x14ac:dyDescent="0.2">
      <c r="A531" s="1">
        <v>530</v>
      </c>
      <c r="B531" s="1" t="s">
        <v>596</v>
      </c>
      <c r="C531" s="1" t="s">
        <v>48</v>
      </c>
      <c r="D531" s="1" t="s">
        <v>1124</v>
      </c>
      <c r="E531" s="1">
        <v>29</v>
      </c>
      <c r="F531" s="1">
        <v>667</v>
      </c>
      <c r="G531" s="1">
        <v>206</v>
      </c>
      <c r="H531" s="1">
        <v>304</v>
      </c>
      <c r="I531" s="1">
        <v>567</v>
      </c>
      <c r="J531" s="1">
        <v>499</v>
      </c>
      <c r="K531" s="1">
        <v>700</v>
      </c>
      <c r="L531" s="1">
        <v>460</v>
      </c>
      <c r="M531" s="1">
        <v>73.400000000000006</v>
      </c>
      <c r="N531" s="1">
        <v>46.603354000000003</v>
      </c>
      <c r="O531" s="1">
        <v>1.8883335000000001</v>
      </c>
      <c r="P531" s="14">
        <f t="shared" si="62"/>
        <v>50.2</v>
      </c>
      <c r="Q531" s="13">
        <v>20</v>
      </c>
      <c r="R531" s="16">
        <f t="shared" si="63"/>
        <v>79.5</v>
      </c>
      <c r="S531" s="14">
        <f t="shared" si="64"/>
        <v>0</v>
      </c>
      <c r="T531" s="13">
        <f t="shared" si="65"/>
        <v>43.4</v>
      </c>
      <c r="U531" s="14">
        <f t="shared" si="66"/>
        <v>30.099999999999998</v>
      </c>
      <c r="V531" s="14">
        <f t="shared" si="67"/>
        <v>54.1</v>
      </c>
      <c r="W531" s="1">
        <f t="shared" si="68"/>
        <v>47.099999999999994</v>
      </c>
      <c r="X531" s="1" t="str">
        <f>IF(Table1[[#This Row],[World Rank]]&lt;=250,"Q1-Elite",IF(Table1[[#This Row],[World Rank]]&lt;=500,"Q2-Strong",IF(Table1[[#This Row],[World Rank]]&lt;=750,"Q3-Developing","Q4-Emerging")))</f>
        <v>Q3-Developing</v>
      </c>
    </row>
    <row r="532" spans="1:24" x14ac:dyDescent="0.2">
      <c r="A532" s="1">
        <v>531</v>
      </c>
      <c r="B532" s="1" t="s">
        <v>597</v>
      </c>
      <c r="C532" s="1" t="s">
        <v>281</v>
      </c>
      <c r="D532" s="1" t="s">
        <v>1121</v>
      </c>
      <c r="E532" s="1">
        <v>4</v>
      </c>
      <c r="F532" s="1">
        <v>667</v>
      </c>
      <c r="G532" s="1">
        <v>967</v>
      </c>
      <c r="H532" s="1">
        <v>304</v>
      </c>
      <c r="I532" s="1">
        <v>573</v>
      </c>
      <c r="J532" s="1">
        <v>593</v>
      </c>
      <c r="K532" s="1">
        <v>482</v>
      </c>
      <c r="L532" s="1">
        <v>405</v>
      </c>
      <c r="M532" s="1">
        <v>73.400000000000006</v>
      </c>
      <c r="N532" s="1">
        <v>-41.500083099999998</v>
      </c>
      <c r="O532" s="1">
        <v>172.83440770000001</v>
      </c>
      <c r="P532" s="14">
        <f t="shared" si="62"/>
        <v>40.799999999999997</v>
      </c>
      <c r="Q532" s="13">
        <v>20</v>
      </c>
      <c r="R532" s="16">
        <f t="shared" si="63"/>
        <v>3.4000000000000004</v>
      </c>
      <c r="S532" s="14">
        <f t="shared" si="64"/>
        <v>0</v>
      </c>
      <c r="T532" s="13">
        <f t="shared" si="65"/>
        <v>42.8</v>
      </c>
      <c r="U532" s="14">
        <f t="shared" si="66"/>
        <v>51.9</v>
      </c>
      <c r="V532" s="14">
        <f t="shared" si="67"/>
        <v>59.599999999999994</v>
      </c>
      <c r="W532" s="1">
        <f t="shared" si="68"/>
        <v>47</v>
      </c>
      <c r="X532" s="1" t="str">
        <f>IF(Table1[[#This Row],[World Rank]]&lt;=250,"Q1-Elite",IF(Table1[[#This Row],[World Rank]]&lt;=500,"Q2-Strong",IF(Table1[[#This Row],[World Rank]]&lt;=750,"Q3-Developing","Q4-Emerging")))</f>
        <v>Q3-Developing</v>
      </c>
    </row>
    <row r="533" spans="1:24" x14ac:dyDescent="0.2">
      <c r="A533" s="1">
        <v>532</v>
      </c>
      <c r="B533" s="1" t="s">
        <v>598</v>
      </c>
      <c r="C533" s="1" t="s">
        <v>15</v>
      </c>
      <c r="D533" s="1" t="s">
        <v>1120</v>
      </c>
      <c r="E533" s="1">
        <v>146</v>
      </c>
      <c r="F533" s="1">
        <v>667</v>
      </c>
      <c r="G533" s="1">
        <v>1001</v>
      </c>
      <c r="H533" s="1">
        <v>304</v>
      </c>
      <c r="I533" s="1">
        <v>538</v>
      </c>
      <c r="J533" s="1">
        <v>492</v>
      </c>
      <c r="K533" s="1">
        <v>544</v>
      </c>
      <c r="L533" s="1">
        <v>541</v>
      </c>
      <c r="M533" s="1">
        <v>73.400000000000006</v>
      </c>
      <c r="N533" s="1">
        <v>39.783730400000003</v>
      </c>
      <c r="O533" s="1">
        <v>-100.445882</v>
      </c>
      <c r="P533" s="14">
        <f t="shared" si="62"/>
        <v>50.9</v>
      </c>
      <c r="Q533" s="13">
        <v>20</v>
      </c>
      <c r="R533" s="16">
        <f t="shared" si="63"/>
        <v>0</v>
      </c>
      <c r="S533" s="14">
        <f t="shared" si="64"/>
        <v>0</v>
      </c>
      <c r="T533" s="13">
        <f t="shared" si="65"/>
        <v>46.300000000000004</v>
      </c>
      <c r="U533" s="14">
        <f t="shared" si="66"/>
        <v>45.7</v>
      </c>
      <c r="V533" s="14">
        <f t="shared" si="67"/>
        <v>46</v>
      </c>
      <c r="W533" s="1">
        <f t="shared" si="68"/>
        <v>46.9</v>
      </c>
      <c r="X533" s="1" t="str">
        <f>IF(Table1[[#This Row],[World Rank]]&lt;=250,"Q1-Elite",IF(Table1[[#This Row],[World Rank]]&lt;=500,"Q2-Strong",IF(Table1[[#This Row],[World Rank]]&lt;=750,"Q3-Developing","Q4-Emerging")))</f>
        <v>Q3-Developing</v>
      </c>
    </row>
    <row r="534" spans="1:24" x14ac:dyDescent="0.2">
      <c r="A534" s="1">
        <v>533</v>
      </c>
      <c r="B534" s="1" t="s">
        <v>599</v>
      </c>
      <c r="C534" s="1" t="s">
        <v>124</v>
      </c>
      <c r="D534" s="1" t="s">
        <v>1125</v>
      </c>
      <c r="E534" s="1">
        <v>38</v>
      </c>
      <c r="F534" s="1">
        <v>667</v>
      </c>
      <c r="G534" s="1">
        <v>522</v>
      </c>
      <c r="H534" s="1">
        <v>304</v>
      </c>
      <c r="I534" s="1">
        <v>383</v>
      </c>
      <c r="J534" s="1">
        <v>386</v>
      </c>
      <c r="K534" s="1">
        <v>626</v>
      </c>
      <c r="L534" s="1">
        <v>1001</v>
      </c>
      <c r="M534" s="1">
        <v>73.400000000000006</v>
      </c>
      <c r="N534" s="1">
        <v>30.047992000000001</v>
      </c>
      <c r="O534" s="1">
        <v>-94.335743300000004</v>
      </c>
      <c r="P534" s="14">
        <f t="shared" si="62"/>
        <v>61.5</v>
      </c>
      <c r="Q534" s="13">
        <v>20</v>
      </c>
      <c r="R534" s="16">
        <f t="shared" si="63"/>
        <v>47.9</v>
      </c>
      <c r="S534" s="14">
        <f t="shared" si="64"/>
        <v>0</v>
      </c>
      <c r="T534" s="13">
        <f t="shared" si="65"/>
        <v>61.8</v>
      </c>
      <c r="U534" s="14">
        <f t="shared" si="66"/>
        <v>37.5</v>
      </c>
      <c r="V534" s="14">
        <f t="shared" si="67"/>
        <v>0</v>
      </c>
      <c r="W534" s="1">
        <f t="shared" si="68"/>
        <v>46.800000000000004</v>
      </c>
      <c r="X534" s="1" t="str">
        <f>IF(Table1[[#This Row],[World Rank]]&lt;=250,"Q1-Elite",IF(Table1[[#This Row],[World Rank]]&lt;=500,"Q2-Strong",IF(Table1[[#This Row],[World Rank]]&lt;=750,"Q3-Developing","Q4-Emerging")))</f>
        <v>Q3-Developing</v>
      </c>
    </row>
    <row r="535" spans="1:24" x14ac:dyDescent="0.2">
      <c r="A535" s="1">
        <v>534</v>
      </c>
      <c r="B535" s="1" t="s">
        <v>600</v>
      </c>
      <c r="C535" s="1" t="s">
        <v>81</v>
      </c>
      <c r="D535" s="1" t="s">
        <v>1121</v>
      </c>
      <c r="E535" s="1">
        <v>19</v>
      </c>
      <c r="F535" s="1">
        <v>667</v>
      </c>
      <c r="G535" s="1">
        <v>1001</v>
      </c>
      <c r="H535" s="1">
        <v>304</v>
      </c>
      <c r="I535" s="1">
        <v>529</v>
      </c>
      <c r="J535" s="1">
        <v>491</v>
      </c>
      <c r="K535" s="1">
        <v>392</v>
      </c>
      <c r="L535" s="1">
        <v>898</v>
      </c>
      <c r="M535" s="1">
        <v>73.400000000000006</v>
      </c>
      <c r="N535" s="1">
        <v>-24.776108600000001</v>
      </c>
      <c r="O535" s="1">
        <v>134.755</v>
      </c>
      <c r="P535" s="14">
        <f t="shared" si="62"/>
        <v>51</v>
      </c>
      <c r="Q535" s="13">
        <v>20</v>
      </c>
      <c r="R535" s="16">
        <f t="shared" si="63"/>
        <v>0</v>
      </c>
      <c r="S535" s="14">
        <f t="shared" si="64"/>
        <v>0</v>
      </c>
      <c r="T535" s="13">
        <f t="shared" si="65"/>
        <v>47.199999999999996</v>
      </c>
      <c r="U535" s="14">
        <f t="shared" si="66"/>
        <v>60.9</v>
      </c>
      <c r="V535" s="14">
        <f t="shared" si="67"/>
        <v>10.299999999999999</v>
      </c>
      <c r="W535" s="1">
        <f t="shared" si="68"/>
        <v>46.7</v>
      </c>
      <c r="X535" s="1" t="str">
        <f>IF(Table1[[#This Row],[World Rank]]&lt;=250,"Q1-Elite",IF(Table1[[#This Row],[World Rank]]&lt;=500,"Q2-Strong",IF(Table1[[#This Row],[World Rank]]&lt;=750,"Q3-Developing","Q4-Emerging")))</f>
        <v>Q3-Developing</v>
      </c>
    </row>
    <row r="536" spans="1:24" x14ac:dyDescent="0.2">
      <c r="A536" s="1">
        <v>535</v>
      </c>
      <c r="B536" s="1" t="s">
        <v>601</v>
      </c>
      <c r="C536" s="1" t="s">
        <v>124</v>
      </c>
      <c r="D536" s="1" t="s">
        <v>1125</v>
      </c>
      <c r="E536" s="1">
        <v>39</v>
      </c>
      <c r="F536" s="1">
        <v>667</v>
      </c>
      <c r="G536" s="1">
        <v>597</v>
      </c>
      <c r="H536" s="1">
        <v>304</v>
      </c>
      <c r="I536" s="1">
        <v>302</v>
      </c>
      <c r="J536" s="1">
        <v>423</v>
      </c>
      <c r="K536" s="1">
        <v>1001</v>
      </c>
      <c r="L536" s="1">
        <v>898</v>
      </c>
      <c r="M536" s="1">
        <v>73.400000000000006</v>
      </c>
      <c r="N536" s="1">
        <v>30.047992000000001</v>
      </c>
      <c r="O536" s="1">
        <v>-94.335743300000004</v>
      </c>
      <c r="P536" s="14">
        <f t="shared" si="62"/>
        <v>57.8</v>
      </c>
      <c r="Q536" s="13">
        <v>20</v>
      </c>
      <c r="R536" s="16">
        <f t="shared" si="63"/>
        <v>40.400000000000006</v>
      </c>
      <c r="S536" s="14">
        <f t="shared" si="64"/>
        <v>0</v>
      </c>
      <c r="T536" s="13">
        <f t="shared" si="65"/>
        <v>69.899999999999991</v>
      </c>
      <c r="U536" s="14">
        <f t="shared" si="66"/>
        <v>0</v>
      </c>
      <c r="V536" s="14">
        <f t="shared" si="67"/>
        <v>10.299999999999999</v>
      </c>
      <c r="W536" s="1">
        <f t="shared" si="68"/>
        <v>46.6</v>
      </c>
      <c r="X536" s="1" t="str">
        <f>IF(Table1[[#This Row],[World Rank]]&lt;=250,"Q1-Elite",IF(Table1[[#This Row],[World Rank]]&lt;=500,"Q2-Strong",IF(Table1[[#This Row],[World Rank]]&lt;=750,"Q3-Developing","Q4-Emerging")))</f>
        <v>Q3-Developing</v>
      </c>
    </row>
    <row r="537" spans="1:24" x14ac:dyDescent="0.2">
      <c r="A537" s="1">
        <v>536</v>
      </c>
      <c r="B537" s="1" t="s">
        <v>602</v>
      </c>
      <c r="C537" s="1" t="s">
        <v>124</v>
      </c>
      <c r="D537" s="1" t="s">
        <v>1125</v>
      </c>
      <c r="E537" s="1">
        <v>40</v>
      </c>
      <c r="F537" s="1">
        <v>667</v>
      </c>
      <c r="G537" s="1">
        <v>989</v>
      </c>
      <c r="H537" s="1">
        <v>304</v>
      </c>
      <c r="I537" s="1">
        <v>357</v>
      </c>
      <c r="J537" s="1">
        <v>443</v>
      </c>
      <c r="K537" s="1">
        <v>1001</v>
      </c>
      <c r="L537" s="1">
        <v>673</v>
      </c>
      <c r="M537" s="1">
        <v>73.400000000000006</v>
      </c>
      <c r="N537" s="1">
        <v>30.047992000000001</v>
      </c>
      <c r="O537" s="1">
        <v>-94.335743300000004</v>
      </c>
      <c r="P537" s="14">
        <f t="shared" si="62"/>
        <v>55.800000000000004</v>
      </c>
      <c r="Q537" s="13">
        <v>20</v>
      </c>
      <c r="R537" s="16">
        <f t="shared" si="63"/>
        <v>1.2</v>
      </c>
      <c r="S537" s="14">
        <f t="shared" si="64"/>
        <v>0</v>
      </c>
      <c r="T537" s="13">
        <f t="shared" si="65"/>
        <v>64.400000000000006</v>
      </c>
      <c r="U537" s="14">
        <f t="shared" si="66"/>
        <v>0</v>
      </c>
      <c r="V537" s="14">
        <f t="shared" si="67"/>
        <v>32.800000000000004</v>
      </c>
      <c r="W537" s="1">
        <f t="shared" si="68"/>
        <v>46.5</v>
      </c>
      <c r="X537" s="1" t="str">
        <f>IF(Table1[[#This Row],[World Rank]]&lt;=250,"Q1-Elite",IF(Table1[[#This Row],[World Rank]]&lt;=500,"Q2-Strong",IF(Table1[[#This Row],[World Rank]]&lt;=750,"Q3-Developing","Q4-Emerging")))</f>
        <v>Q3-Developing</v>
      </c>
    </row>
    <row r="538" spans="1:24" x14ac:dyDescent="0.2">
      <c r="A538" s="1">
        <v>537</v>
      </c>
      <c r="B538" s="1" t="s">
        <v>603</v>
      </c>
      <c r="C538" s="1" t="s">
        <v>19</v>
      </c>
      <c r="D538" s="1" t="s">
        <v>1124</v>
      </c>
      <c r="E538" s="1">
        <v>41</v>
      </c>
      <c r="F538" s="1">
        <v>667</v>
      </c>
      <c r="G538" s="1">
        <v>1001</v>
      </c>
      <c r="H538" s="1">
        <v>304</v>
      </c>
      <c r="I538" s="1">
        <v>695</v>
      </c>
      <c r="J538" s="1">
        <v>563</v>
      </c>
      <c r="K538" s="1">
        <v>477</v>
      </c>
      <c r="L538" s="1">
        <v>363</v>
      </c>
      <c r="M538" s="1">
        <v>73.400000000000006</v>
      </c>
      <c r="N538" s="1">
        <v>54.702354499999998</v>
      </c>
      <c r="O538" s="1">
        <v>-3.2765753000000002</v>
      </c>
      <c r="P538" s="14">
        <f t="shared" si="62"/>
        <v>43.8</v>
      </c>
      <c r="Q538" s="13">
        <v>20</v>
      </c>
      <c r="R538" s="16">
        <f t="shared" si="63"/>
        <v>0</v>
      </c>
      <c r="S538" s="14">
        <f t="shared" si="64"/>
        <v>0</v>
      </c>
      <c r="T538" s="13">
        <f t="shared" si="65"/>
        <v>30.599999999999998</v>
      </c>
      <c r="U538" s="14">
        <f t="shared" si="66"/>
        <v>52.400000000000006</v>
      </c>
      <c r="V538" s="14">
        <f t="shared" si="67"/>
        <v>63.800000000000004</v>
      </c>
      <c r="W538" s="1">
        <f t="shared" si="68"/>
        <v>46.400000000000006</v>
      </c>
      <c r="X538" s="1" t="str">
        <f>IF(Table1[[#This Row],[World Rank]]&lt;=250,"Q1-Elite",IF(Table1[[#This Row],[World Rank]]&lt;=500,"Q2-Strong",IF(Table1[[#This Row],[World Rank]]&lt;=750,"Q3-Developing","Q4-Emerging")))</f>
        <v>Q3-Developing</v>
      </c>
    </row>
    <row r="539" spans="1:24" x14ac:dyDescent="0.2">
      <c r="A539" s="1">
        <v>538</v>
      </c>
      <c r="B539" s="1" t="s">
        <v>604</v>
      </c>
      <c r="C539" s="1" t="s">
        <v>85</v>
      </c>
      <c r="D539" s="1" t="s">
        <v>1125</v>
      </c>
      <c r="E539" s="1">
        <v>14</v>
      </c>
      <c r="F539" s="1">
        <v>667</v>
      </c>
      <c r="G539" s="1">
        <v>1001</v>
      </c>
      <c r="H539" s="1">
        <v>304</v>
      </c>
      <c r="I539" s="1">
        <v>487</v>
      </c>
      <c r="J539" s="1">
        <v>463</v>
      </c>
      <c r="K539" s="1">
        <v>588</v>
      </c>
      <c r="L539" s="1">
        <v>673</v>
      </c>
      <c r="M539" s="1">
        <v>73.400000000000006</v>
      </c>
      <c r="N539" s="1">
        <v>36.638392000000003</v>
      </c>
      <c r="O539" s="1">
        <v>127.69611879999999</v>
      </c>
      <c r="P539" s="14">
        <f t="shared" si="62"/>
        <v>53.800000000000004</v>
      </c>
      <c r="Q539" s="13">
        <v>20</v>
      </c>
      <c r="R539" s="16">
        <f t="shared" si="63"/>
        <v>0</v>
      </c>
      <c r="S539" s="14">
        <f t="shared" si="64"/>
        <v>0</v>
      </c>
      <c r="T539" s="13">
        <f t="shared" si="65"/>
        <v>51.4</v>
      </c>
      <c r="U539" s="14">
        <f t="shared" si="66"/>
        <v>41.3</v>
      </c>
      <c r="V539" s="14">
        <f t="shared" si="67"/>
        <v>32.800000000000004</v>
      </c>
      <c r="W539" s="1">
        <f t="shared" si="68"/>
        <v>46.300000000000004</v>
      </c>
      <c r="X539" s="1" t="str">
        <f>IF(Table1[[#This Row],[World Rank]]&lt;=250,"Q1-Elite",IF(Table1[[#This Row],[World Rank]]&lt;=500,"Q2-Strong",IF(Table1[[#This Row],[World Rank]]&lt;=750,"Q3-Developing","Q4-Emerging")))</f>
        <v>Q3-Developing</v>
      </c>
    </row>
    <row r="540" spans="1:24" x14ac:dyDescent="0.2">
      <c r="A540" s="1">
        <v>539</v>
      </c>
      <c r="B540" s="1" t="s">
        <v>605</v>
      </c>
      <c r="C540" s="1" t="s">
        <v>68</v>
      </c>
      <c r="D540" s="1" t="s">
        <v>1124</v>
      </c>
      <c r="E540" s="1">
        <v>41</v>
      </c>
      <c r="F540" s="1">
        <v>667</v>
      </c>
      <c r="G540" s="1">
        <v>1001</v>
      </c>
      <c r="H540" s="1">
        <v>304</v>
      </c>
      <c r="I540" s="1">
        <v>588</v>
      </c>
      <c r="J540" s="1">
        <v>512</v>
      </c>
      <c r="K540" s="1">
        <v>560</v>
      </c>
      <c r="L540" s="1">
        <v>460</v>
      </c>
      <c r="M540" s="1">
        <v>73.3</v>
      </c>
      <c r="N540" s="1">
        <v>40.420347900000003</v>
      </c>
      <c r="O540" s="1">
        <v>-79.116698299999996</v>
      </c>
      <c r="P540" s="14">
        <f t="shared" si="62"/>
        <v>48.9</v>
      </c>
      <c r="Q540" s="13">
        <v>20</v>
      </c>
      <c r="R540" s="16">
        <f t="shared" si="63"/>
        <v>0</v>
      </c>
      <c r="S540" s="14">
        <f t="shared" si="64"/>
        <v>0</v>
      </c>
      <c r="T540" s="13">
        <f t="shared" si="65"/>
        <v>41.3</v>
      </c>
      <c r="U540" s="14">
        <f t="shared" si="66"/>
        <v>44.1</v>
      </c>
      <c r="V540" s="14">
        <f t="shared" si="67"/>
        <v>54.1</v>
      </c>
      <c r="W540" s="1">
        <f t="shared" si="68"/>
        <v>46.2</v>
      </c>
      <c r="X540" s="1" t="str">
        <f>IF(Table1[[#This Row],[World Rank]]&lt;=250,"Q1-Elite",IF(Table1[[#This Row],[World Rank]]&lt;=500,"Q2-Strong",IF(Table1[[#This Row],[World Rank]]&lt;=750,"Q3-Developing","Q4-Emerging")))</f>
        <v>Q3-Developing</v>
      </c>
    </row>
    <row r="541" spans="1:24" x14ac:dyDescent="0.2">
      <c r="A541" s="1">
        <v>540</v>
      </c>
      <c r="B541" s="1" t="s">
        <v>606</v>
      </c>
      <c r="C541" s="1" t="s">
        <v>19</v>
      </c>
      <c r="D541" s="1" t="s">
        <v>1124</v>
      </c>
      <c r="E541" s="1">
        <v>42</v>
      </c>
      <c r="F541" s="1">
        <v>381</v>
      </c>
      <c r="G541" s="1">
        <v>926</v>
      </c>
      <c r="H541" s="1">
        <v>304</v>
      </c>
      <c r="I541" s="1">
        <v>836</v>
      </c>
      <c r="J541" s="1">
        <v>648</v>
      </c>
      <c r="K541" s="1">
        <v>397</v>
      </c>
      <c r="L541" s="1">
        <v>304</v>
      </c>
      <c r="M541" s="1">
        <v>73.3</v>
      </c>
      <c r="N541" s="1">
        <v>54.702354499999998</v>
      </c>
      <c r="O541" s="1">
        <v>-3.2765753000000002</v>
      </c>
      <c r="P541" s="14">
        <f t="shared" si="62"/>
        <v>35.299999999999997</v>
      </c>
      <c r="Q541" s="13">
        <f>((667 - F541) / 666) * 100</f>
        <v>42.942942942942942</v>
      </c>
      <c r="R541" s="16">
        <f t="shared" si="63"/>
        <v>7.5</v>
      </c>
      <c r="S541" s="14">
        <f t="shared" si="64"/>
        <v>0</v>
      </c>
      <c r="T541" s="13">
        <f t="shared" si="65"/>
        <v>16.5</v>
      </c>
      <c r="U541" s="14">
        <f t="shared" si="66"/>
        <v>60.4</v>
      </c>
      <c r="V541" s="14">
        <f t="shared" si="67"/>
        <v>69.699999999999989</v>
      </c>
      <c r="W541" s="1">
        <f t="shared" si="68"/>
        <v>46.1</v>
      </c>
      <c r="X541" s="1" t="str">
        <f>IF(Table1[[#This Row],[World Rank]]&lt;=250,"Q1-Elite",IF(Table1[[#This Row],[World Rank]]&lt;=500,"Q2-Strong",IF(Table1[[#This Row],[World Rank]]&lt;=750,"Q3-Developing","Q4-Emerging")))</f>
        <v>Q3-Developing</v>
      </c>
    </row>
    <row r="542" spans="1:24" x14ac:dyDescent="0.2">
      <c r="A542" s="1">
        <v>541</v>
      </c>
      <c r="B542" s="1" t="s">
        <v>607</v>
      </c>
      <c r="C542" s="1" t="s">
        <v>164</v>
      </c>
      <c r="D542" s="1" t="s">
        <v>1124</v>
      </c>
      <c r="E542" s="1">
        <v>2</v>
      </c>
      <c r="F542" s="1">
        <v>81</v>
      </c>
      <c r="G542" s="1">
        <v>452</v>
      </c>
      <c r="H542" s="1">
        <v>304</v>
      </c>
      <c r="I542" s="1">
        <v>402</v>
      </c>
      <c r="J542" s="1">
        <v>601</v>
      </c>
      <c r="K542" s="1">
        <v>557</v>
      </c>
      <c r="L542" s="1">
        <v>898</v>
      </c>
      <c r="M542" s="1">
        <v>73.3</v>
      </c>
      <c r="N542" s="1">
        <v>40.2338211</v>
      </c>
      <c r="O542" s="1">
        <v>-84.409672900000004</v>
      </c>
      <c r="P542" s="14">
        <f t="shared" si="62"/>
        <v>40</v>
      </c>
      <c r="Q542" s="13">
        <f>((667 - F542) / 666) * 100</f>
        <v>87.987987987987992</v>
      </c>
      <c r="R542" s="16">
        <f t="shared" si="63"/>
        <v>54.900000000000006</v>
      </c>
      <c r="S542" s="14">
        <f t="shared" si="64"/>
        <v>0</v>
      </c>
      <c r="T542" s="13">
        <f t="shared" si="65"/>
        <v>59.9</v>
      </c>
      <c r="U542" s="14">
        <f t="shared" si="66"/>
        <v>44.4</v>
      </c>
      <c r="V542" s="14">
        <f t="shared" si="67"/>
        <v>10.299999999999999</v>
      </c>
      <c r="W542" s="1">
        <f t="shared" si="68"/>
        <v>46</v>
      </c>
      <c r="X542" s="1" t="str">
        <f>IF(Table1[[#This Row],[World Rank]]&lt;=250,"Q1-Elite",IF(Table1[[#This Row],[World Rank]]&lt;=500,"Q2-Strong",IF(Table1[[#This Row],[World Rank]]&lt;=750,"Q3-Developing","Q4-Emerging")))</f>
        <v>Q3-Developing</v>
      </c>
    </row>
    <row r="543" spans="1:24" x14ac:dyDescent="0.2">
      <c r="A543" s="1">
        <v>542</v>
      </c>
      <c r="B543" s="1" t="s">
        <v>608</v>
      </c>
      <c r="C543" s="1" t="s">
        <v>68</v>
      </c>
      <c r="D543" s="1" t="s">
        <v>1124</v>
      </c>
      <c r="E543" s="1">
        <v>42</v>
      </c>
      <c r="F543" s="1">
        <v>667</v>
      </c>
      <c r="G543" s="1">
        <v>1001</v>
      </c>
      <c r="H543" s="1">
        <v>304</v>
      </c>
      <c r="I543" s="1">
        <v>652</v>
      </c>
      <c r="J543" s="1">
        <v>537</v>
      </c>
      <c r="K543" s="1">
        <v>408</v>
      </c>
      <c r="L543" s="1">
        <v>541</v>
      </c>
      <c r="M543" s="1">
        <v>73.3</v>
      </c>
      <c r="N543" s="1">
        <v>40.420347900000003</v>
      </c>
      <c r="O543" s="1">
        <v>-79.116698299999996</v>
      </c>
      <c r="P543" s="14">
        <f t="shared" si="62"/>
        <v>46.400000000000006</v>
      </c>
      <c r="Q543" s="13">
        <v>20</v>
      </c>
      <c r="R543" s="16">
        <f t="shared" si="63"/>
        <v>0</v>
      </c>
      <c r="S543" s="14">
        <f t="shared" si="64"/>
        <v>0</v>
      </c>
      <c r="T543" s="13">
        <f t="shared" si="65"/>
        <v>34.9</v>
      </c>
      <c r="U543" s="14">
        <f t="shared" si="66"/>
        <v>59.3</v>
      </c>
      <c r="V543" s="14">
        <f t="shared" si="67"/>
        <v>46</v>
      </c>
      <c r="W543" s="1">
        <f t="shared" si="68"/>
        <v>45.9</v>
      </c>
      <c r="X543" s="1" t="str">
        <f>IF(Table1[[#This Row],[World Rank]]&lt;=250,"Q1-Elite",IF(Table1[[#This Row],[World Rank]]&lt;=500,"Q2-Strong",IF(Table1[[#This Row],[World Rank]]&lt;=750,"Q3-Developing","Q4-Emerging")))</f>
        <v>Q3-Developing</v>
      </c>
    </row>
    <row r="544" spans="1:24" x14ac:dyDescent="0.2">
      <c r="A544" s="1">
        <v>543</v>
      </c>
      <c r="B544" s="1" t="s">
        <v>609</v>
      </c>
      <c r="C544" s="1" t="s">
        <v>124</v>
      </c>
      <c r="D544" s="1" t="s">
        <v>1125</v>
      </c>
      <c r="E544" s="1">
        <v>41</v>
      </c>
      <c r="F544" s="1">
        <v>667</v>
      </c>
      <c r="G544" s="1">
        <v>682</v>
      </c>
      <c r="H544" s="1">
        <v>304</v>
      </c>
      <c r="I544" s="1">
        <v>326</v>
      </c>
      <c r="J544" s="1">
        <v>425</v>
      </c>
      <c r="K544" s="1">
        <v>1001</v>
      </c>
      <c r="L544" s="1">
        <v>898</v>
      </c>
      <c r="M544" s="1">
        <v>73.3</v>
      </c>
      <c r="N544" s="1">
        <v>30.047992000000001</v>
      </c>
      <c r="O544" s="1">
        <v>-94.335743300000004</v>
      </c>
      <c r="P544" s="14">
        <f t="shared" si="62"/>
        <v>57.599999999999994</v>
      </c>
      <c r="Q544" s="13">
        <v>20</v>
      </c>
      <c r="R544" s="16">
        <f t="shared" si="63"/>
        <v>31.900000000000002</v>
      </c>
      <c r="S544" s="14">
        <f t="shared" si="64"/>
        <v>0</v>
      </c>
      <c r="T544" s="13">
        <f t="shared" si="65"/>
        <v>67.5</v>
      </c>
      <c r="U544" s="14">
        <f t="shared" si="66"/>
        <v>0</v>
      </c>
      <c r="V544" s="14">
        <f t="shared" si="67"/>
        <v>10.299999999999999</v>
      </c>
      <c r="W544" s="1">
        <f t="shared" si="68"/>
        <v>45.800000000000004</v>
      </c>
      <c r="X544" s="1" t="str">
        <f>IF(Table1[[#This Row],[World Rank]]&lt;=250,"Q1-Elite",IF(Table1[[#This Row],[World Rank]]&lt;=500,"Q2-Strong",IF(Table1[[#This Row],[World Rank]]&lt;=750,"Q3-Developing","Q4-Emerging")))</f>
        <v>Q3-Developing</v>
      </c>
    </row>
    <row r="545" spans="1:24" x14ac:dyDescent="0.2">
      <c r="A545" s="1">
        <v>544</v>
      </c>
      <c r="B545" s="1" t="s">
        <v>610</v>
      </c>
      <c r="C545" s="1" t="s">
        <v>85</v>
      </c>
      <c r="D545" s="1" t="s">
        <v>1125</v>
      </c>
      <c r="E545" s="1">
        <v>15</v>
      </c>
      <c r="F545" s="1">
        <v>667</v>
      </c>
      <c r="G545" s="1">
        <v>854</v>
      </c>
      <c r="H545" s="1">
        <v>304</v>
      </c>
      <c r="I545" s="1">
        <v>384</v>
      </c>
      <c r="J545" s="1">
        <v>515</v>
      </c>
      <c r="K545" s="1">
        <v>799</v>
      </c>
      <c r="L545" s="1">
        <v>673</v>
      </c>
      <c r="M545" s="1">
        <v>73.3</v>
      </c>
      <c r="N545" s="1">
        <v>36.638392000000003</v>
      </c>
      <c r="O545" s="1">
        <v>127.69611879999999</v>
      </c>
      <c r="P545" s="14">
        <f t="shared" si="62"/>
        <v>48.6</v>
      </c>
      <c r="Q545" s="13">
        <v>20</v>
      </c>
      <c r="R545" s="16">
        <f t="shared" si="63"/>
        <v>14.7</v>
      </c>
      <c r="S545" s="14">
        <f t="shared" si="64"/>
        <v>0</v>
      </c>
      <c r="T545" s="13">
        <f t="shared" si="65"/>
        <v>61.7</v>
      </c>
      <c r="U545" s="14">
        <f t="shared" si="66"/>
        <v>20.200000000000003</v>
      </c>
      <c r="V545" s="14">
        <f t="shared" si="67"/>
        <v>32.800000000000004</v>
      </c>
      <c r="W545" s="1">
        <f t="shared" si="68"/>
        <v>45.7</v>
      </c>
      <c r="X545" s="1" t="str">
        <f>IF(Table1[[#This Row],[World Rank]]&lt;=250,"Q1-Elite",IF(Table1[[#This Row],[World Rank]]&lt;=500,"Q2-Strong",IF(Table1[[#This Row],[World Rank]]&lt;=750,"Q3-Developing","Q4-Emerging")))</f>
        <v>Q3-Developing</v>
      </c>
    </row>
    <row r="546" spans="1:24" x14ac:dyDescent="0.2">
      <c r="A546" s="1">
        <v>545</v>
      </c>
      <c r="B546" s="1" t="s">
        <v>611</v>
      </c>
      <c r="C546" s="1" t="s">
        <v>341</v>
      </c>
      <c r="D546" s="1" t="s">
        <v>1123</v>
      </c>
      <c r="E546" s="1">
        <v>2</v>
      </c>
      <c r="F546" s="1">
        <v>667</v>
      </c>
      <c r="G546" s="1">
        <v>1001</v>
      </c>
      <c r="H546" s="1">
        <v>304</v>
      </c>
      <c r="I546" s="1">
        <v>474</v>
      </c>
      <c r="J546" s="1">
        <v>555</v>
      </c>
      <c r="K546" s="1">
        <v>598</v>
      </c>
      <c r="L546" s="1">
        <v>541</v>
      </c>
      <c r="M546" s="1">
        <v>73.3</v>
      </c>
      <c r="N546" s="1">
        <v>-34.996496299999997</v>
      </c>
      <c r="O546" s="1">
        <v>-64.967281700000001</v>
      </c>
      <c r="P546" s="14">
        <f t="shared" si="62"/>
        <v>44.6</v>
      </c>
      <c r="Q546" s="13">
        <v>20</v>
      </c>
      <c r="R546" s="16">
        <f t="shared" si="63"/>
        <v>0</v>
      </c>
      <c r="S546" s="14">
        <f t="shared" si="64"/>
        <v>0</v>
      </c>
      <c r="T546" s="13">
        <f t="shared" si="65"/>
        <v>52.7</v>
      </c>
      <c r="U546" s="14">
        <f t="shared" si="66"/>
        <v>40.300000000000004</v>
      </c>
      <c r="V546" s="14">
        <f t="shared" si="67"/>
        <v>46</v>
      </c>
      <c r="W546" s="1">
        <f t="shared" si="68"/>
        <v>45.6</v>
      </c>
      <c r="X546" s="1" t="str">
        <f>IF(Table1[[#This Row],[World Rank]]&lt;=250,"Q1-Elite",IF(Table1[[#This Row],[World Rank]]&lt;=500,"Q2-Strong",IF(Table1[[#This Row],[World Rank]]&lt;=750,"Q3-Developing","Q4-Emerging")))</f>
        <v>Q3-Developing</v>
      </c>
    </row>
    <row r="547" spans="1:24" x14ac:dyDescent="0.2">
      <c r="A547" s="1">
        <v>546</v>
      </c>
      <c r="B547" s="1" t="s">
        <v>612</v>
      </c>
      <c r="C547" s="1" t="s">
        <v>15</v>
      </c>
      <c r="D547" s="1" t="s">
        <v>1120</v>
      </c>
      <c r="E547" s="1">
        <v>147</v>
      </c>
      <c r="F547" s="1">
        <v>359</v>
      </c>
      <c r="G547" s="1">
        <v>267</v>
      </c>
      <c r="H547" s="1">
        <v>304</v>
      </c>
      <c r="I547" s="1">
        <v>491</v>
      </c>
      <c r="J547" s="1">
        <v>521</v>
      </c>
      <c r="K547" s="1">
        <v>622</v>
      </c>
      <c r="L547" s="1">
        <v>673</v>
      </c>
      <c r="M547" s="1">
        <v>73.3</v>
      </c>
      <c r="N547" s="1">
        <v>39.783730400000003</v>
      </c>
      <c r="O547" s="1">
        <v>-100.445882</v>
      </c>
      <c r="P547" s="14">
        <f t="shared" si="62"/>
        <v>48</v>
      </c>
      <c r="Q547" s="13">
        <f>((667 - F547) / 666) * 100</f>
        <v>46.246246246246244</v>
      </c>
      <c r="R547" s="16">
        <f t="shared" si="63"/>
        <v>73.400000000000006</v>
      </c>
      <c r="S547" s="14">
        <f t="shared" si="64"/>
        <v>0</v>
      </c>
      <c r="T547" s="13">
        <f t="shared" si="65"/>
        <v>51</v>
      </c>
      <c r="U547" s="14">
        <f t="shared" si="66"/>
        <v>37.9</v>
      </c>
      <c r="V547" s="14">
        <f t="shared" si="67"/>
        <v>32.800000000000004</v>
      </c>
      <c r="W547" s="1">
        <f t="shared" si="68"/>
        <v>45.5</v>
      </c>
      <c r="X547" s="1" t="str">
        <f>IF(Table1[[#This Row],[World Rank]]&lt;=250,"Q1-Elite",IF(Table1[[#This Row],[World Rank]]&lt;=500,"Q2-Strong",IF(Table1[[#This Row],[World Rank]]&lt;=750,"Q3-Developing","Q4-Emerging")))</f>
        <v>Q3-Developing</v>
      </c>
    </row>
    <row r="548" spans="1:24" x14ac:dyDescent="0.2">
      <c r="A548" s="1">
        <v>547</v>
      </c>
      <c r="B548" s="1" t="s">
        <v>613</v>
      </c>
      <c r="C548" s="1" t="s">
        <v>427</v>
      </c>
      <c r="D548" s="1" t="s">
        <v>1125</v>
      </c>
      <c r="E548" s="1">
        <v>3</v>
      </c>
      <c r="F548" s="1">
        <v>667</v>
      </c>
      <c r="G548" s="1">
        <v>1001</v>
      </c>
      <c r="H548" s="1">
        <v>304</v>
      </c>
      <c r="I548" s="1">
        <v>283</v>
      </c>
      <c r="J548" s="1">
        <v>739</v>
      </c>
      <c r="K548" s="1">
        <v>635</v>
      </c>
      <c r="L548" s="1">
        <v>673</v>
      </c>
      <c r="M548" s="1">
        <v>73.3</v>
      </c>
      <c r="N548" s="1">
        <v>2.9368696000000001</v>
      </c>
      <c r="O548" s="1">
        <v>115.4443356</v>
      </c>
      <c r="P548" s="14">
        <f t="shared" si="62"/>
        <v>26.200000000000003</v>
      </c>
      <c r="Q548" s="13">
        <v>20</v>
      </c>
      <c r="R548" s="16">
        <f t="shared" si="63"/>
        <v>0</v>
      </c>
      <c r="S548" s="14">
        <f t="shared" si="64"/>
        <v>0</v>
      </c>
      <c r="T548" s="13">
        <f t="shared" si="65"/>
        <v>71.8</v>
      </c>
      <c r="U548" s="14">
        <f t="shared" si="66"/>
        <v>36.6</v>
      </c>
      <c r="V548" s="14">
        <f t="shared" si="67"/>
        <v>32.800000000000004</v>
      </c>
      <c r="W548" s="1">
        <f t="shared" si="68"/>
        <v>45.4</v>
      </c>
      <c r="X548" s="1" t="str">
        <f>IF(Table1[[#This Row],[World Rank]]&lt;=250,"Q1-Elite",IF(Table1[[#This Row],[World Rank]]&lt;=500,"Q2-Strong",IF(Table1[[#This Row],[World Rank]]&lt;=750,"Q3-Developing","Q4-Emerging")))</f>
        <v>Q3-Developing</v>
      </c>
    </row>
    <row r="549" spans="1:24" x14ac:dyDescent="0.2">
      <c r="A549" s="1">
        <v>548</v>
      </c>
      <c r="B549" s="1" t="s">
        <v>614</v>
      </c>
      <c r="C549" s="1" t="s">
        <v>145</v>
      </c>
      <c r="D549" s="1" t="s">
        <v>1125</v>
      </c>
      <c r="E549" s="1">
        <v>9</v>
      </c>
      <c r="F549" s="1">
        <v>667</v>
      </c>
      <c r="G549" s="1">
        <v>1001</v>
      </c>
      <c r="H549" s="1">
        <v>304</v>
      </c>
      <c r="I549" s="1">
        <v>395</v>
      </c>
      <c r="J549" s="1">
        <v>389</v>
      </c>
      <c r="K549" s="1">
        <v>647</v>
      </c>
      <c r="L549" s="1">
        <v>1001</v>
      </c>
      <c r="M549" s="1">
        <v>73.3</v>
      </c>
      <c r="N549" s="1">
        <v>23.598322700000001</v>
      </c>
      <c r="O549" s="2" t="s">
        <v>146</v>
      </c>
      <c r="P549" s="14">
        <f t="shared" si="62"/>
        <v>61.199999999999996</v>
      </c>
      <c r="Q549" s="13">
        <v>20</v>
      </c>
      <c r="R549" s="16">
        <f t="shared" si="63"/>
        <v>0</v>
      </c>
      <c r="S549" s="14">
        <f t="shared" si="64"/>
        <v>0</v>
      </c>
      <c r="T549" s="13">
        <f t="shared" si="65"/>
        <v>60.6</v>
      </c>
      <c r="U549" s="14">
        <f t="shared" si="66"/>
        <v>35.4</v>
      </c>
      <c r="V549" s="14">
        <f t="shared" si="67"/>
        <v>0</v>
      </c>
      <c r="W549" s="1">
        <f t="shared" si="68"/>
        <v>45.300000000000004</v>
      </c>
      <c r="X549" s="1" t="str">
        <f>IF(Table1[[#This Row],[World Rank]]&lt;=250,"Q1-Elite",IF(Table1[[#This Row],[World Rank]]&lt;=500,"Q2-Strong",IF(Table1[[#This Row],[World Rank]]&lt;=750,"Q3-Developing","Q4-Emerging")))</f>
        <v>Q3-Developing</v>
      </c>
    </row>
    <row r="550" spans="1:24" x14ac:dyDescent="0.2">
      <c r="A550" s="1">
        <v>549</v>
      </c>
      <c r="B550" s="1" t="s">
        <v>615</v>
      </c>
      <c r="C550" s="1" t="s">
        <v>124</v>
      </c>
      <c r="D550" s="1" t="s">
        <v>1125</v>
      </c>
      <c r="E550" s="1">
        <v>42</v>
      </c>
      <c r="F550" s="1">
        <v>667</v>
      </c>
      <c r="G550" s="1">
        <v>1001</v>
      </c>
      <c r="H550" s="1">
        <v>304</v>
      </c>
      <c r="I550" s="1">
        <v>450</v>
      </c>
      <c r="J550" s="1">
        <v>480</v>
      </c>
      <c r="K550" s="1">
        <v>713</v>
      </c>
      <c r="L550" s="1">
        <v>673</v>
      </c>
      <c r="M550" s="1">
        <v>73.2</v>
      </c>
      <c r="N550" s="1">
        <v>30.047992000000001</v>
      </c>
      <c r="O550" s="1">
        <v>-94.335743300000004</v>
      </c>
      <c r="P550" s="14">
        <f t="shared" si="62"/>
        <v>52.1</v>
      </c>
      <c r="Q550" s="13">
        <v>20</v>
      </c>
      <c r="R550" s="16">
        <f t="shared" si="63"/>
        <v>0</v>
      </c>
      <c r="S550" s="14">
        <f t="shared" si="64"/>
        <v>0</v>
      </c>
      <c r="T550" s="13">
        <f t="shared" si="65"/>
        <v>55.1</v>
      </c>
      <c r="U550" s="14">
        <f t="shared" si="66"/>
        <v>28.799999999999997</v>
      </c>
      <c r="V550" s="14">
        <f t="shared" si="67"/>
        <v>32.800000000000004</v>
      </c>
      <c r="W550" s="1">
        <f t="shared" si="68"/>
        <v>45.2</v>
      </c>
      <c r="X550" s="1" t="str">
        <f>IF(Table1[[#This Row],[World Rank]]&lt;=250,"Q1-Elite",IF(Table1[[#This Row],[World Rank]]&lt;=500,"Q2-Strong",IF(Table1[[#This Row],[World Rank]]&lt;=750,"Q3-Developing","Q4-Emerging")))</f>
        <v>Q3-Developing</v>
      </c>
    </row>
    <row r="551" spans="1:24" x14ac:dyDescent="0.2">
      <c r="A551" s="1">
        <v>550</v>
      </c>
      <c r="B551" s="1" t="s">
        <v>616</v>
      </c>
      <c r="C551" s="1" t="s">
        <v>15</v>
      </c>
      <c r="D551" s="1" t="s">
        <v>1120</v>
      </c>
      <c r="E551" s="1">
        <v>148</v>
      </c>
      <c r="F551" s="1">
        <v>626</v>
      </c>
      <c r="G551" s="1">
        <v>1001</v>
      </c>
      <c r="H551" s="1">
        <v>141</v>
      </c>
      <c r="I551" s="1">
        <v>1001</v>
      </c>
      <c r="J551" s="1">
        <v>865</v>
      </c>
      <c r="K551" s="1">
        <v>502</v>
      </c>
      <c r="L551" s="1">
        <v>460</v>
      </c>
      <c r="M551" s="1">
        <v>73.2</v>
      </c>
      <c r="N551" s="1">
        <v>39.783730400000003</v>
      </c>
      <c r="O551" s="1">
        <v>-100.445882</v>
      </c>
      <c r="P551" s="14">
        <f t="shared" si="62"/>
        <v>13.600000000000001</v>
      </c>
      <c r="Q551" s="13">
        <v>20</v>
      </c>
      <c r="R551" s="16">
        <f t="shared" si="63"/>
        <v>0</v>
      </c>
      <c r="S551" s="14">
        <f t="shared" si="64"/>
        <v>53.795379537953792</v>
      </c>
      <c r="T551" s="13">
        <f t="shared" si="65"/>
        <v>0</v>
      </c>
      <c r="U551" s="14">
        <f t="shared" si="66"/>
        <v>49.9</v>
      </c>
      <c r="V551" s="14">
        <f t="shared" si="67"/>
        <v>54.1</v>
      </c>
      <c r="W551" s="1">
        <f t="shared" si="68"/>
        <v>45.1</v>
      </c>
      <c r="X551" s="1" t="str">
        <f>IF(Table1[[#This Row],[World Rank]]&lt;=250,"Q1-Elite",IF(Table1[[#This Row],[World Rank]]&lt;=500,"Q2-Strong",IF(Table1[[#This Row],[World Rank]]&lt;=750,"Q3-Developing","Q4-Emerging")))</f>
        <v>Q3-Developing</v>
      </c>
    </row>
    <row r="552" spans="1:24" x14ac:dyDescent="0.2">
      <c r="A552" s="1">
        <v>551</v>
      </c>
      <c r="B552" s="1" t="s">
        <v>617</v>
      </c>
      <c r="C552" s="1" t="s">
        <v>262</v>
      </c>
      <c r="D552" s="1" t="s">
        <v>1124</v>
      </c>
      <c r="E552" s="1">
        <v>6</v>
      </c>
      <c r="F552" s="1">
        <v>667</v>
      </c>
      <c r="G552" s="1">
        <v>1001</v>
      </c>
      <c r="H552" s="1">
        <v>304</v>
      </c>
      <c r="I552" s="1">
        <v>413</v>
      </c>
      <c r="J552" s="1">
        <v>433</v>
      </c>
      <c r="K552" s="1">
        <v>821</v>
      </c>
      <c r="L552" s="1">
        <v>898</v>
      </c>
      <c r="M552" s="1">
        <v>73.2</v>
      </c>
      <c r="N552" s="1">
        <v>39.662164799999999</v>
      </c>
      <c r="O552" s="1">
        <v>-8.1353518999999999</v>
      </c>
      <c r="P552" s="14">
        <f t="shared" si="62"/>
        <v>56.8</v>
      </c>
      <c r="Q552" s="13">
        <v>20</v>
      </c>
      <c r="R552" s="16">
        <f t="shared" si="63"/>
        <v>0</v>
      </c>
      <c r="S552" s="14">
        <f t="shared" si="64"/>
        <v>0</v>
      </c>
      <c r="T552" s="13">
        <f t="shared" si="65"/>
        <v>58.8</v>
      </c>
      <c r="U552" s="14">
        <f t="shared" si="66"/>
        <v>18</v>
      </c>
      <c r="V552" s="14">
        <f t="shared" si="67"/>
        <v>10.299999999999999</v>
      </c>
      <c r="W552" s="1">
        <f t="shared" si="68"/>
        <v>45</v>
      </c>
      <c r="X552" s="1" t="str">
        <f>IF(Table1[[#This Row],[World Rank]]&lt;=250,"Q1-Elite",IF(Table1[[#This Row],[World Rank]]&lt;=500,"Q2-Strong",IF(Table1[[#This Row],[World Rank]]&lt;=750,"Q3-Developing","Q4-Emerging")))</f>
        <v>Q3-Developing</v>
      </c>
    </row>
    <row r="553" spans="1:24" x14ac:dyDescent="0.2">
      <c r="A553" s="1">
        <v>552</v>
      </c>
      <c r="B553" s="1" t="s">
        <v>618</v>
      </c>
      <c r="C553" s="1" t="s">
        <v>85</v>
      </c>
      <c r="D553" s="1" t="s">
        <v>1125</v>
      </c>
      <c r="E553" s="1">
        <v>16</v>
      </c>
      <c r="F553" s="1">
        <v>667</v>
      </c>
      <c r="G553" s="1">
        <v>1001</v>
      </c>
      <c r="H553" s="1">
        <v>304</v>
      </c>
      <c r="I553" s="1">
        <v>394</v>
      </c>
      <c r="J553" s="1">
        <v>541</v>
      </c>
      <c r="K553" s="1">
        <v>749</v>
      </c>
      <c r="L553" s="1">
        <v>673</v>
      </c>
      <c r="M553" s="1">
        <v>73.2</v>
      </c>
      <c r="N553" s="1">
        <v>36.638392000000003</v>
      </c>
      <c r="O553" s="1">
        <v>127.69611879999999</v>
      </c>
      <c r="P553" s="14">
        <f t="shared" si="62"/>
        <v>46</v>
      </c>
      <c r="Q553" s="13">
        <v>20</v>
      </c>
      <c r="R553" s="16">
        <f t="shared" si="63"/>
        <v>0</v>
      </c>
      <c r="S553" s="14">
        <f t="shared" si="64"/>
        <v>0</v>
      </c>
      <c r="T553" s="13">
        <f t="shared" si="65"/>
        <v>60.699999999999996</v>
      </c>
      <c r="U553" s="14">
        <f t="shared" si="66"/>
        <v>25.2</v>
      </c>
      <c r="V553" s="14">
        <f t="shared" si="67"/>
        <v>32.800000000000004</v>
      </c>
      <c r="W553" s="1">
        <f t="shared" si="68"/>
        <v>44.9</v>
      </c>
      <c r="X553" s="1" t="str">
        <f>IF(Table1[[#This Row],[World Rank]]&lt;=250,"Q1-Elite",IF(Table1[[#This Row],[World Rank]]&lt;=500,"Q2-Strong",IF(Table1[[#This Row],[World Rank]]&lt;=750,"Q3-Developing","Q4-Emerging")))</f>
        <v>Q3-Developing</v>
      </c>
    </row>
    <row r="554" spans="1:24" x14ac:dyDescent="0.2">
      <c r="A554" s="1">
        <v>553</v>
      </c>
      <c r="B554" s="1" t="s">
        <v>619</v>
      </c>
      <c r="C554" s="1" t="s">
        <v>118</v>
      </c>
      <c r="D554" s="1" t="s">
        <v>1124</v>
      </c>
      <c r="E554" s="1">
        <v>16</v>
      </c>
      <c r="F554" s="1">
        <v>667</v>
      </c>
      <c r="G554" s="1">
        <v>959</v>
      </c>
      <c r="H554" s="1">
        <v>304</v>
      </c>
      <c r="I554" s="1">
        <v>621</v>
      </c>
      <c r="J554" s="1">
        <v>588</v>
      </c>
      <c r="K554" s="1">
        <v>494</v>
      </c>
      <c r="L554" s="1">
        <v>460</v>
      </c>
      <c r="M554" s="1">
        <v>73.2</v>
      </c>
      <c r="N554" s="1">
        <v>39.326068499999998</v>
      </c>
      <c r="O554" s="1">
        <v>-4.8379791000000001</v>
      </c>
      <c r="P554" s="14">
        <f t="shared" si="62"/>
        <v>41.3</v>
      </c>
      <c r="Q554" s="13">
        <v>20</v>
      </c>
      <c r="R554" s="16">
        <f t="shared" si="63"/>
        <v>4.2</v>
      </c>
      <c r="S554" s="14">
        <f t="shared" si="64"/>
        <v>0</v>
      </c>
      <c r="T554" s="13">
        <f t="shared" si="65"/>
        <v>38</v>
      </c>
      <c r="U554" s="14">
        <f t="shared" si="66"/>
        <v>50.7</v>
      </c>
      <c r="V554" s="14">
        <f t="shared" si="67"/>
        <v>54.1</v>
      </c>
      <c r="W554" s="1">
        <f t="shared" si="68"/>
        <v>44.800000000000004</v>
      </c>
      <c r="X554" s="1" t="str">
        <f>IF(Table1[[#This Row],[World Rank]]&lt;=250,"Q1-Elite",IF(Table1[[#This Row],[World Rank]]&lt;=500,"Q2-Strong",IF(Table1[[#This Row],[World Rank]]&lt;=750,"Q3-Developing","Q4-Emerging")))</f>
        <v>Q3-Developing</v>
      </c>
    </row>
    <row r="555" spans="1:24" x14ac:dyDescent="0.2">
      <c r="A555" s="1">
        <v>554</v>
      </c>
      <c r="B555" s="1" t="s">
        <v>620</v>
      </c>
      <c r="C555" s="1" t="s">
        <v>124</v>
      </c>
      <c r="D555" s="1" t="s">
        <v>1125</v>
      </c>
      <c r="E555" s="1">
        <v>43</v>
      </c>
      <c r="F555" s="1">
        <v>667</v>
      </c>
      <c r="G555" s="1">
        <v>1001</v>
      </c>
      <c r="H555" s="1">
        <v>304</v>
      </c>
      <c r="I555" s="1">
        <v>477</v>
      </c>
      <c r="J555" s="1">
        <v>522</v>
      </c>
      <c r="K555" s="1">
        <v>612</v>
      </c>
      <c r="L555" s="1">
        <v>673</v>
      </c>
      <c r="M555" s="1">
        <v>73.2</v>
      </c>
      <c r="N555" s="1">
        <v>30.047992000000001</v>
      </c>
      <c r="O555" s="1">
        <v>-94.335743300000004</v>
      </c>
      <c r="P555" s="14">
        <f t="shared" si="62"/>
        <v>47.9</v>
      </c>
      <c r="Q555" s="13">
        <v>20</v>
      </c>
      <c r="R555" s="16">
        <f t="shared" si="63"/>
        <v>0</v>
      </c>
      <c r="S555" s="14">
        <f t="shared" si="64"/>
        <v>0</v>
      </c>
      <c r="T555" s="13">
        <f t="shared" si="65"/>
        <v>52.400000000000006</v>
      </c>
      <c r="U555" s="14">
        <f t="shared" si="66"/>
        <v>38.9</v>
      </c>
      <c r="V555" s="14">
        <f t="shared" si="67"/>
        <v>32.800000000000004</v>
      </c>
      <c r="W555" s="1">
        <f t="shared" si="68"/>
        <v>44.7</v>
      </c>
      <c r="X555" s="1" t="str">
        <f>IF(Table1[[#This Row],[World Rank]]&lt;=250,"Q1-Elite",IF(Table1[[#This Row],[World Rank]]&lt;=500,"Q2-Strong",IF(Table1[[#This Row],[World Rank]]&lt;=750,"Q3-Developing","Q4-Emerging")))</f>
        <v>Q3-Developing</v>
      </c>
    </row>
    <row r="556" spans="1:24" x14ac:dyDescent="0.2">
      <c r="A556" s="1">
        <v>555</v>
      </c>
      <c r="B556" s="1" t="s">
        <v>621</v>
      </c>
      <c r="C556" s="1" t="s">
        <v>15</v>
      </c>
      <c r="D556" s="1" t="s">
        <v>1120</v>
      </c>
      <c r="E556" s="1">
        <v>149</v>
      </c>
      <c r="F556" s="1">
        <v>229</v>
      </c>
      <c r="G556" s="1">
        <v>279</v>
      </c>
      <c r="H556" s="1">
        <v>304</v>
      </c>
      <c r="I556" s="1">
        <v>678</v>
      </c>
      <c r="J556" s="1">
        <v>524</v>
      </c>
      <c r="K556" s="1">
        <v>548</v>
      </c>
      <c r="L556" s="1">
        <v>541</v>
      </c>
      <c r="M556" s="1">
        <v>73.2</v>
      </c>
      <c r="N556" s="1">
        <v>39.783730400000003</v>
      </c>
      <c r="O556" s="1">
        <v>-100.445882</v>
      </c>
      <c r="P556" s="14">
        <f t="shared" si="62"/>
        <v>47.699999999999996</v>
      </c>
      <c r="Q556" s="13">
        <f>((667 - F556) / 666) * 100</f>
        <v>65.765765765765778</v>
      </c>
      <c r="R556" s="16">
        <f t="shared" si="63"/>
        <v>72.2</v>
      </c>
      <c r="S556" s="14">
        <f t="shared" si="64"/>
        <v>0</v>
      </c>
      <c r="T556" s="13">
        <f t="shared" si="65"/>
        <v>32.300000000000004</v>
      </c>
      <c r="U556" s="14">
        <f t="shared" si="66"/>
        <v>45.300000000000004</v>
      </c>
      <c r="V556" s="14">
        <f t="shared" si="67"/>
        <v>46</v>
      </c>
      <c r="W556" s="1">
        <f t="shared" si="68"/>
        <v>44.6</v>
      </c>
      <c r="X556" s="1" t="str">
        <f>IF(Table1[[#This Row],[World Rank]]&lt;=250,"Q1-Elite",IF(Table1[[#This Row],[World Rank]]&lt;=500,"Q2-Strong",IF(Table1[[#This Row],[World Rank]]&lt;=750,"Q3-Developing","Q4-Emerging")))</f>
        <v>Q3-Developing</v>
      </c>
    </row>
    <row r="557" spans="1:24" x14ac:dyDescent="0.2">
      <c r="A557" s="1">
        <v>556</v>
      </c>
      <c r="B557" s="1" t="s">
        <v>622</v>
      </c>
      <c r="C557" s="1" t="s">
        <v>164</v>
      </c>
      <c r="D557" s="1" t="s">
        <v>1124</v>
      </c>
      <c r="E557" s="1">
        <v>3</v>
      </c>
      <c r="F557" s="1">
        <v>22</v>
      </c>
      <c r="G557" s="1">
        <v>636</v>
      </c>
      <c r="H557" s="1">
        <v>304</v>
      </c>
      <c r="I557" s="1">
        <v>734</v>
      </c>
      <c r="J557" s="1">
        <v>820</v>
      </c>
      <c r="K557" s="1">
        <v>688</v>
      </c>
      <c r="L557" s="1">
        <v>673</v>
      </c>
      <c r="M557" s="1">
        <v>73.2</v>
      </c>
      <c r="N557" s="1">
        <v>40.2338211</v>
      </c>
      <c r="O557" s="1">
        <v>-84.409672900000004</v>
      </c>
      <c r="P557" s="14">
        <f t="shared" si="62"/>
        <v>18.099999999999998</v>
      </c>
      <c r="Q557" s="13">
        <f>((667 - F557) / 666) * 100</f>
        <v>96.846846846846844</v>
      </c>
      <c r="R557" s="16">
        <f t="shared" si="63"/>
        <v>36.5</v>
      </c>
      <c r="S557" s="14">
        <f t="shared" si="64"/>
        <v>0</v>
      </c>
      <c r="T557" s="13">
        <f t="shared" si="65"/>
        <v>26.700000000000003</v>
      </c>
      <c r="U557" s="14">
        <f t="shared" si="66"/>
        <v>31.3</v>
      </c>
      <c r="V557" s="14">
        <f t="shared" si="67"/>
        <v>32.800000000000004</v>
      </c>
      <c r="W557" s="1">
        <f t="shared" si="68"/>
        <v>44.5</v>
      </c>
      <c r="X557" s="1" t="str">
        <f>IF(Table1[[#This Row],[World Rank]]&lt;=250,"Q1-Elite",IF(Table1[[#This Row],[World Rank]]&lt;=500,"Q2-Strong",IF(Table1[[#This Row],[World Rank]]&lt;=750,"Q3-Developing","Q4-Emerging")))</f>
        <v>Q3-Developing</v>
      </c>
    </row>
    <row r="558" spans="1:24" x14ac:dyDescent="0.2">
      <c r="A558" s="1">
        <v>557</v>
      </c>
      <c r="B558" s="1" t="s">
        <v>623</v>
      </c>
      <c r="C558" s="1" t="s">
        <v>34</v>
      </c>
      <c r="D558" s="1" t="s">
        <v>1120</v>
      </c>
      <c r="E558" s="1">
        <v>21</v>
      </c>
      <c r="F558" s="1">
        <v>667</v>
      </c>
      <c r="G558" s="1">
        <v>1001</v>
      </c>
      <c r="H558" s="1">
        <v>304</v>
      </c>
      <c r="I558" s="1">
        <v>548</v>
      </c>
      <c r="J558" s="1">
        <v>532</v>
      </c>
      <c r="K558" s="1">
        <v>881</v>
      </c>
      <c r="L558" s="1">
        <v>405</v>
      </c>
      <c r="M558" s="1">
        <v>73.2</v>
      </c>
      <c r="N558" s="1">
        <v>61.066692199999999</v>
      </c>
      <c r="O558" s="1">
        <v>-107.99170700000001</v>
      </c>
      <c r="P558" s="14">
        <f t="shared" si="62"/>
        <v>46.9</v>
      </c>
      <c r="Q558" s="13">
        <v>20</v>
      </c>
      <c r="R558" s="16">
        <f t="shared" si="63"/>
        <v>0</v>
      </c>
      <c r="S558" s="14">
        <f t="shared" si="64"/>
        <v>0</v>
      </c>
      <c r="T558" s="13">
        <f t="shared" si="65"/>
        <v>45.300000000000004</v>
      </c>
      <c r="U558" s="14">
        <f t="shared" si="66"/>
        <v>12</v>
      </c>
      <c r="V558" s="14">
        <f t="shared" si="67"/>
        <v>59.599999999999994</v>
      </c>
      <c r="W558" s="1">
        <f t="shared" si="68"/>
        <v>44.4</v>
      </c>
      <c r="X558" s="1" t="str">
        <f>IF(Table1[[#This Row],[World Rank]]&lt;=250,"Q1-Elite",IF(Table1[[#This Row],[World Rank]]&lt;=500,"Q2-Strong",IF(Table1[[#This Row],[World Rank]]&lt;=750,"Q3-Developing","Q4-Emerging")))</f>
        <v>Q3-Developing</v>
      </c>
    </row>
    <row r="559" spans="1:24" x14ac:dyDescent="0.2">
      <c r="A559" s="1">
        <v>558</v>
      </c>
      <c r="B559" s="1" t="s">
        <v>624</v>
      </c>
      <c r="C559" s="1" t="s">
        <v>15</v>
      </c>
      <c r="D559" s="1" t="s">
        <v>1120</v>
      </c>
      <c r="E559" s="1">
        <v>150</v>
      </c>
      <c r="F559" s="1">
        <v>667</v>
      </c>
      <c r="G559" s="1">
        <v>1001</v>
      </c>
      <c r="H559" s="1">
        <v>304</v>
      </c>
      <c r="I559" s="1">
        <v>660</v>
      </c>
      <c r="J559" s="1">
        <v>548</v>
      </c>
      <c r="K559" s="1">
        <v>607</v>
      </c>
      <c r="L559" s="1">
        <v>405</v>
      </c>
      <c r="M559" s="1">
        <v>73.2</v>
      </c>
      <c r="N559" s="1">
        <v>39.783730400000003</v>
      </c>
      <c r="O559" s="1">
        <v>-100.445882</v>
      </c>
      <c r="P559" s="14">
        <f t="shared" si="62"/>
        <v>45.300000000000004</v>
      </c>
      <c r="Q559" s="13">
        <v>20</v>
      </c>
      <c r="R559" s="16">
        <f t="shared" si="63"/>
        <v>0</v>
      </c>
      <c r="S559" s="14">
        <f t="shared" si="64"/>
        <v>0</v>
      </c>
      <c r="T559" s="13">
        <f t="shared" si="65"/>
        <v>34.1</v>
      </c>
      <c r="U559" s="14">
        <f t="shared" si="66"/>
        <v>39.4</v>
      </c>
      <c r="V559" s="14">
        <f t="shared" si="67"/>
        <v>59.599999999999994</v>
      </c>
      <c r="W559" s="1">
        <f t="shared" si="68"/>
        <v>44.3</v>
      </c>
      <c r="X559" s="1" t="str">
        <f>IF(Table1[[#This Row],[World Rank]]&lt;=250,"Q1-Elite",IF(Table1[[#This Row],[World Rank]]&lt;=500,"Q2-Strong",IF(Table1[[#This Row],[World Rank]]&lt;=750,"Q3-Developing","Q4-Emerging")))</f>
        <v>Q3-Developing</v>
      </c>
    </row>
    <row r="560" spans="1:24" x14ac:dyDescent="0.2">
      <c r="A560" s="1">
        <v>559</v>
      </c>
      <c r="B560" s="1" t="s">
        <v>625</v>
      </c>
      <c r="C560" s="1" t="s">
        <v>304</v>
      </c>
      <c r="D560" s="1" t="s">
        <v>1120</v>
      </c>
      <c r="E560" s="1">
        <v>2</v>
      </c>
      <c r="F560" s="1">
        <v>614</v>
      </c>
      <c r="G560" s="1">
        <v>1001</v>
      </c>
      <c r="H560" s="1">
        <v>304</v>
      </c>
      <c r="I560" s="1">
        <v>405</v>
      </c>
      <c r="J560" s="1">
        <v>614</v>
      </c>
      <c r="K560" s="1">
        <v>611</v>
      </c>
      <c r="L560" s="1">
        <v>673</v>
      </c>
      <c r="M560" s="1">
        <v>73.099999999999994</v>
      </c>
      <c r="N560" s="1">
        <v>19.432629599999999</v>
      </c>
      <c r="O560" s="1">
        <v>-99.1331785</v>
      </c>
      <c r="P560" s="14">
        <f t="shared" si="62"/>
        <v>38.700000000000003</v>
      </c>
      <c r="Q560" s="13">
        <v>20</v>
      </c>
      <c r="R560" s="16">
        <f t="shared" si="63"/>
        <v>0</v>
      </c>
      <c r="S560" s="14">
        <f t="shared" si="64"/>
        <v>0</v>
      </c>
      <c r="T560" s="13">
        <f t="shared" si="65"/>
        <v>59.599999999999994</v>
      </c>
      <c r="U560" s="14">
        <f t="shared" si="66"/>
        <v>39</v>
      </c>
      <c r="V560" s="14">
        <f t="shared" si="67"/>
        <v>32.800000000000004</v>
      </c>
      <c r="W560" s="1">
        <f t="shared" si="68"/>
        <v>44.2</v>
      </c>
      <c r="X560" s="1" t="str">
        <f>IF(Table1[[#This Row],[World Rank]]&lt;=250,"Q1-Elite",IF(Table1[[#This Row],[World Rank]]&lt;=500,"Q2-Strong",IF(Table1[[#This Row],[World Rank]]&lt;=750,"Q3-Developing","Q4-Emerging")))</f>
        <v>Q3-Developing</v>
      </c>
    </row>
    <row r="561" spans="1:24" x14ac:dyDescent="0.2">
      <c r="A561" s="1">
        <v>560</v>
      </c>
      <c r="B561" s="1" t="s">
        <v>626</v>
      </c>
      <c r="C561" s="1" t="s">
        <v>591</v>
      </c>
      <c r="D561" s="1" t="s">
        <v>1125</v>
      </c>
      <c r="E561" s="1">
        <v>2</v>
      </c>
      <c r="F561" s="1">
        <v>498</v>
      </c>
      <c r="G561" s="1">
        <v>1001</v>
      </c>
      <c r="H561" s="1">
        <v>304</v>
      </c>
      <c r="I561" s="1">
        <v>364</v>
      </c>
      <c r="J561" s="1">
        <v>758</v>
      </c>
      <c r="K561" s="1">
        <v>513</v>
      </c>
      <c r="L561" s="1">
        <v>673</v>
      </c>
      <c r="M561" s="1">
        <v>73.099999999999994</v>
      </c>
      <c r="N561" s="1">
        <v>38.959759400000003</v>
      </c>
      <c r="O561" s="1">
        <v>34.924965299999997</v>
      </c>
      <c r="P561" s="14">
        <f t="shared" si="62"/>
        <v>24.3</v>
      </c>
      <c r="Q561" s="13">
        <f>((667 - F561) / 666) * 100</f>
        <v>25.375375375375377</v>
      </c>
      <c r="R561" s="16">
        <f t="shared" si="63"/>
        <v>0</v>
      </c>
      <c r="S561" s="14">
        <f t="shared" si="64"/>
        <v>0</v>
      </c>
      <c r="T561" s="13">
        <f t="shared" si="65"/>
        <v>63.7</v>
      </c>
      <c r="U561" s="14">
        <f t="shared" si="66"/>
        <v>48.8</v>
      </c>
      <c r="V561" s="14">
        <f t="shared" si="67"/>
        <v>32.800000000000004</v>
      </c>
      <c r="W561" s="1">
        <f t="shared" si="68"/>
        <v>44.1</v>
      </c>
      <c r="X561" s="1" t="str">
        <f>IF(Table1[[#This Row],[World Rank]]&lt;=250,"Q1-Elite",IF(Table1[[#This Row],[World Rank]]&lt;=500,"Q2-Strong",IF(Table1[[#This Row],[World Rank]]&lt;=750,"Q3-Developing","Q4-Emerging")))</f>
        <v>Q3-Developing</v>
      </c>
    </row>
    <row r="562" spans="1:24" x14ac:dyDescent="0.2">
      <c r="A562" s="1">
        <v>561</v>
      </c>
      <c r="B562" s="1" t="s">
        <v>627</v>
      </c>
      <c r="C562" s="1" t="s">
        <v>28</v>
      </c>
      <c r="D562" s="1" t="s">
        <v>1125</v>
      </c>
      <c r="E562" s="1">
        <v>17</v>
      </c>
      <c r="F562" s="1">
        <v>667</v>
      </c>
      <c r="G562" s="1">
        <v>639</v>
      </c>
      <c r="H562" s="1">
        <v>304</v>
      </c>
      <c r="I562" s="1">
        <v>533</v>
      </c>
      <c r="J562" s="1">
        <v>558</v>
      </c>
      <c r="K562" s="1">
        <v>501</v>
      </c>
      <c r="L562" s="1">
        <v>673</v>
      </c>
      <c r="M562" s="1">
        <v>73.099999999999994</v>
      </c>
      <c r="N562" s="1">
        <v>36.5748441</v>
      </c>
      <c r="O562" s="1">
        <v>139.23941790000001</v>
      </c>
      <c r="P562" s="14">
        <f t="shared" si="62"/>
        <v>44.3</v>
      </c>
      <c r="Q562" s="13">
        <v>20</v>
      </c>
      <c r="R562" s="16">
        <f t="shared" si="63"/>
        <v>36.199999999999996</v>
      </c>
      <c r="S562" s="14">
        <f t="shared" si="64"/>
        <v>0</v>
      </c>
      <c r="T562" s="13">
        <f t="shared" si="65"/>
        <v>46.800000000000004</v>
      </c>
      <c r="U562" s="14">
        <f t="shared" si="66"/>
        <v>50</v>
      </c>
      <c r="V562" s="14">
        <f t="shared" si="67"/>
        <v>32.800000000000004</v>
      </c>
      <c r="W562" s="1">
        <f t="shared" si="68"/>
        <v>44</v>
      </c>
      <c r="X562" s="1" t="str">
        <f>IF(Table1[[#This Row],[World Rank]]&lt;=250,"Q1-Elite",IF(Table1[[#This Row],[World Rank]]&lt;=500,"Q2-Strong",IF(Table1[[#This Row],[World Rank]]&lt;=750,"Q3-Developing","Q4-Emerging")))</f>
        <v>Q3-Developing</v>
      </c>
    </row>
    <row r="563" spans="1:24" x14ac:dyDescent="0.2">
      <c r="A563" s="1">
        <v>562</v>
      </c>
      <c r="B563" s="1" t="s">
        <v>628</v>
      </c>
      <c r="C563" s="1" t="s">
        <v>81</v>
      </c>
      <c r="D563" s="1" t="s">
        <v>1121</v>
      </c>
      <c r="E563" s="1">
        <v>20</v>
      </c>
      <c r="F563" s="1">
        <v>667</v>
      </c>
      <c r="G563" s="1">
        <v>1001</v>
      </c>
      <c r="H563" s="1">
        <v>304</v>
      </c>
      <c r="I563" s="1">
        <v>503</v>
      </c>
      <c r="J563" s="1">
        <v>445</v>
      </c>
      <c r="K563" s="1">
        <v>614</v>
      </c>
      <c r="L563" s="1">
        <v>898</v>
      </c>
      <c r="M563" s="1">
        <v>73.099999999999994</v>
      </c>
      <c r="N563" s="1">
        <v>-24.776108600000001</v>
      </c>
      <c r="O563" s="1">
        <v>134.755</v>
      </c>
      <c r="P563" s="14">
        <f t="shared" si="62"/>
        <v>55.600000000000009</v>
      </c>
      <c r="Q563" s="13">
        <v>20</v>
      </c>
      <c r="R563" s="16">
        <f t="shared" si="63"/>
        <v>0</v>
      </c>
      <c r="S563" s="14">
        <f t="shared" si="64"/>
        <v>0</v>
      </c>
      <c r="T563" s="13">
        <f t="shared" si="65"/>
        <v>49.8</v>
      </c>
      <c r="U563" s="14">
        <f t="shared" si="66"/>
        <v>38.700000000000003</v>
      </c>
      <c r="V563" s="14">
        <f t="shared" si="67"/>
        <v>10.299999999999999</v>
      </c>
      <c r="W563" s="1">
        <f t="shared" si="68"/>
        <v>43.9</v>
      </c>
      <c r="X563" s="1" t="str">
        <f>IF(Table1[[#This Row],[World Rank]]&lt;=250,"Q1-Elite",IF(Table1[[#This Row],[World Rank]]&lt;=500,"Q2-Strong",IF(Table1[[#This Row],[World Rank]]&lt;=750,"Q3-Developing","Q4-Emerging")))</f>
        <v>Q3-Developing</v>
      </c>
    </row>
    <row r="564" spans="1:24" x14ac:dyDescent="0.2">
      <c r="A564" s="1">
        <v>563</v>
      </c>
      <c r="B564" s="1" t="s">
        <v>629</v>
      </c>
      <c r="C564" s="1" t="s">
        <v>15</v>
      </c>
      <c r="D564" s="1" t="s">
        <v>1120</v>
      </c>
      <c r="E564" s="1">
        <v>151</v>
      </c>
      <c r="F564" s="1">
        <v>667</v>
      </c>
      <c r="G564" s="1">
        <v>646</v>
      </c>
      <c r="H564" s="1">
        <v>304</v>
      </c>
      <c r="I564" s="1">
        <v>819</v>
      </c>
      <c r="J564" s="1">
        <v>691</v>
      </c>
      <c r="K564" s="1">
        <v>393</v>
      </c>
      <c r="L564" s="1">
        <v>363</v>
      </c>
      <c r="M564" s="1">
        <v>73.099999999999994</v>
      </c>
      <c r="N564" s="1">
        <v>39.783730400000003</v>
      </c>
      <c r="O564" s="1">
        <v>-100.445882</v>
      </c>
      <c r="P564" s="14">
        <f t="shared" si="62"/>
        <v>31</v>
      </c>
      <c r="Q564" s="13">
        <v>20</v>
      </c>
      <c r="R564" s="16">
        <f t="shared" si="63"/>
        <v>35.5</v>
      </c>
      <c r="S564" s="14">
        <f t="shared" si="64"/>
        <v>0</v>
      </c>
      <c r="T564" s="13">
        <f t="shared" si="65"/>
        <v>18.2</v>
      </c>
      <c r="U564" s="14">
        <f t="shared" si="66"/>
        <v>60.8</v>
      </c>
      <c r="V564" s="14">
        <f t="shared" si="67"/>
        <v>63.800000000000004</v>
      </c>
      <c r="W564" s="1">
        <f t="shared" si="68"/>
        <v>43.8</v>
      </c>
      <c r="X564" s="1" t="str">
        <f>IF(Table1[[#This Row],[World Rank]]&lt;=250,"Q1-Elite",IF(Table1[[#This Row],[World Rank]]&lt;=500,"Q2-Strong",IF(Table1[[#This Row],[World Rank]]&lt;=750,"Q3-Developing","Q4-Emerging")))</f>
        <v>Q3-Developing</v>
      </c>
    </row>
    <row r="565" spans="1:24" x14ac:dyDescent="0.2">
      <c r="A565" s="1">
        <v>564</v>
      </c>
      <c r="B565" s="1" t="s">
        <v>630</v>
      </c>
      <c r="C565" s="1" t="s">
        <v>81</v>
      </c>
      <c r="D565" s="1" t="s">
        <v>1121</v>
      </c>
      <c r="E565" s="1">
        <v>21</v>
      </c>
      <c r="F565" s="1">
        <v>667</v>
      </c>
      <c r="G565" s="1">
        <v>1001</v>
      </c>
      <c r="H565" s="1">
        <v>304</v>
      </c>
      <c r="I565" s="1">
        <v>635</v>
      </c>
      <c r="J565" s="1">
        <v>547</v>
      </c>
      <c r="K565" s="1">
        <v>428</v>
      </c>
      <c r="L565" s="1">
        <v>673</v>
      </c>
      <c r="M565" s="1">
        <v>73.099999999999994</v>
      </c>
      <c r="N565" s="1">
        <v>-24.776108600000001</v>
      </c>
      <c r="O565" s="1">
        <v>134.755</v>
      </c>
      <c r="P565" s="14">
        <f t="shared" si="62"/>
        <v>45.4</v>
      </c>
      <c r="Q565" s="13">
        <v>20</v>
      </c>
      <c r="R565" s="16">
        <f t="shared" si="63"/>
        <v>0</v>
      </c>
      <c r="S565" s="14">
        <f t="shared" si="64"/>
        <v>0</v>
      </c>
      <c r="T565" s="13">
        <f t="shared" si="65"/>
        <v>36.6</v>
      </c>
      <c r="U565" s="14">
        <f t="shared" si="66"/>
        <v>57.3</v>
      </c>
      <c r="V565" s="14">
        <f t="shared" si="67"/>
        <v>32.800000000000004</v>
      </c>
      <c r="W565" s="1">
        <f t="shared" si="68"/>
        <v>43.7</v>
      </c>
      <c r="X565" s="1" t="str">
        <f>IF(Table1[[#This Row],[World Rank]]&lt;=250,"Q1-Elite",IF(Table1[[#This Row],[World Rank]]&lt;=500,"Q2-Strong",IF(Table1[[#This Row],[World Rank]]&lt;=750,"Q3-Developing","Q4-Emerging")))</f>
        <v>Q3-Developing</v>
      </c>
    </row>
    <row r="566" spans="1:24" x14ac:dyDescent="0.2">
      <c r="A566" s="1">
        <v>565</v>
      </c>
      <c r="B566" s="1" t="s">
        <v>631</v>
      </c>
      <c r="C566" s="1" t="s">
        <v>19</v>
      </c>
      <c r="D566" s="1" t="s">
        <v>1124</v>
      </c>
      <c r="E566" s="1">
        <v>43</v>
      </c>
      <c r="F566" s="1">
        <v>341</v>
      </c>
      <c r="G566" s="1">
        <v>1001</v>
      </c>
      <c r="H566" s="1">
        <v>211</v>
      </c>
      <c r="I566" s="1">
        <v>1001</v>
      </c>
      <c r="J566" s="1">
        <v>767</v>
      </c>
      <c r="K566" s="1">
        <v>364</v>
      </c>
      <c r="L566" s="1">
        <v>673</v>
      </c>
      <c r="M566" s="1">
        <v>73.099999999999994</v>
      </c>
      <c r="N566" s="1">
        <v>54.702354499999998</v>
      </c>
      <c r="O566" s="1">
        <v>-3.2765753000000002</v>
      </c>
      <c r="P566" s="14">
        <f t="shared" si="62"/>
        <v>23.400000000000002</v>
      </c>
      <c r="Q566" s="13">
        <f>((667 - F566) / 666) * 100</f>
        <v>48.948948948948953</v>
      </c>
      <c r="R566" s="16">
        <f t="shared" si="63"/>
        <v>0</v>
      </c>
      <c r="S566" s="14">
        <f t="shared" si="64"/>
        <v>30.693069306930692</v>
      </c>
      <c r="T566" s="13">
        <f t="shared" si="65"/>
        <v>0</v>
      </c>
      <c r="U566" s="14">
        <f t="shared" si="66"/>
        <v>63.7</v>
      </c>
      <c r="V566" s="14">
        <f t="shared" si="67"/>
        <v>32.800000000000004</v>
      </c>
      <c r="W566" s="1">
        <f t="shared" si="68"/>
        <v>43.6</v>
      </c>
      <c r="X566" s="1" t="str">
        <f>IF(Table1[[#This Row],[World Rank]]&lt;=250,"Q1-Elite",IF(Table1[[#This Row],[World Rank]]&lt;=500,"Q2-Strong",IF(Table1[[#This Row],[World Rank]]&lt;=750,"Q3-Developing","Q4-Emerging")))</f>
        <v>Q3-Developing</v>
      </c>
    </row>
    <row r="567" spans="1:24" x14ac:dyDescent="0.2">
      <c r="A567" s="1">
        <v>566</v>
      </c>
      <c r="B567" s="1" t="s">
        <v>632</v>
      </c>
      <c r="C567" s="1" t="s">
        <v>510</v>
      </c>
      <c r="D567" s="1" t="s">
        <v>1125</v>
      </c>
      <c r="E567" s="1">
        <v>2</v>
      </c>
      <c r="F567" s="1">
        <v>667</v>
      </c>
      <c r="G567" s="1">
        <v>1001</v>
      </c>
      <c r="H567" s="1">
        <v>304</v>
      </c>
      <c r="I567" s="1">
        <v>391</v>
      </c>
      <c r="J567" s="1">
        <v>625</v>
      </c>
      <c r="K567" s="1">
        <v>959</v>
      </c>
      <c r="L567" s="1">
        <v>541</v>
      </c>
      <c r="M567" s="1">
        <v>73.099999999999994</v>
      </c>
      <c r="N567" s="1">
        <v>4.5693754000000002</v>
      </c>
      <c r="O567" s="1">
        <v>102.26568229999999</v>
      </c>
      <c r="P567" s="14">
        <f t="shared" si="62"/>
        <v>37.6</v>
      </c>
      <c r="Q567" s="13">
        <v>20</v>
      </c>
      <c r="R567" s="16">
        <f t="shared" si="63"/>
        <v>0</v>
      </c>
      <c r="S567" s="14">
        <f t="shared" si="64"/>
        <v>0</v>
      </c>
      <c r="T567" s="13">
        <f t="shared" si="65"/>
        <v>61</v>
      </c>
      <c r="U567" s="14">
        <f t="shared" si="66"/>
        <v>4.2</v>
      </c>
      <c r="V567" s="14">
        <f t="shared" si="67"/>
        <v>46</v>
      </c>
      <c r="W567" s="1">
        <f t="shared" si="68"/>
        <v>43.5</v>
      </c>
      <c r="X567" s="1" t="str">
        <f>IF(Table1[[#This Row],[World Rank]]&lt;=250,"Q1-Elite",IF(Table1[[#This Row],[World Rank]]&lt;=500,"Q2-Strong",IF(Table1[[#This Row],[World Rank]]&lt;=750,"Q3-Developing","Q4-Emerging")))</f>
        <v>Q3-Developing</v>
      </c>
    </row>
    <row r="568" spans="1:24" x14ac:dyDescent="0.2">
      <c r="A568" s="1">
        <v>567</v>
      </c>
      <c r="B568" s="1" t="s">
        <v>633</v>
      </c>
      <c r="C568" s="1" t="s">
        <v>15</v>
      </c>
      <c r="D568" s="1" t="s">
        <v>1120</v>
      </c>
      <c r="E568" s="1">
        <v>152</v>
      </c>
      <c r="F568" s="1">
        <v>430</v>
      </c>
      <c r="G568" s="1">
        <v>463</v>
      </c>
      <c r="H568" s="1">
        <v>304</v>
      </c>
      <c r="I568" s="1">
        <v>624</v>
      </c>
      <c r="J568" s="1">
        <v>610</v>
      </c>
      <c r="K568" s="1">
        <v>784</v>
      </c>
      <c r="L568" s="1">
        <v>363</v>
      </c>
      <c r="M568" s="1">
        <v>73.099999999999994</v>
      </c>
      <c r="N568" s="1">
        <v>39.783730400000003</v>
      </c>
      <c r="O568" s="1">
        <v>-100.445882</v>
      </c>
      <c r="P568" s="14">
        <f t="shared" si="62"/>
        <v>39.1</v>
      </c>
      <c r="Q568" s="13">
        <f>((667 - F568) / 666) * 100</f>
        <v>35.585585585585584</v>
      </c>
      <c r="R568" s="16">
        <f t="shared" si="63"/>
        <v>53.800000000000004</v>
      </c>
      <c r="S568" s="14">
        <f t="shared" si="64"/>
        <v>0</v>
      </c>
      <c r="T568" s="13">
        <f t="shared" si="65"/>
        <v>37.700000000000003</v>
      </c>
      <c r="U568" s="14">
        <f t="shared" si="66"/>
        <v>21.7</v>
      </c>
      <c r="V568" s="14">
        <f t="shared" si="67"/>
        <v>63.800000000000004</v>
      </c>
      <c r="W568" s="1">
        <f t="shared" si="68"/>
        <v>43.4</v>
      </c>
      <c r="X568" s="1" t="str">
        <f>IF(Table1[[#This Row],[World Rank]]&lt;=250,"Q1-Elite",IF(Table1[[#This Row],[World Rank]]&lt;=500,"Q2-Strong",IF(Table1[[#This Row],[World Rank]]&lt;=750,"Q3-Developing","Q4-Emerging")))</f>
        <v>Q3-Developing</v>
      </c>
    </row>
    <row r="569" spans="1:24" x14ac:dyDescent="0.2">
      <c r="A569" s="1">
        <v>568</v>
      </c>
      <c r="B569" s="1" t="s">
        <v>634</v>
      </c>
      <c r="C569" s="1" t="s">
        <v>15</v>
      </c>
      <c r="D569" s="1" t="s">
        <v>1120</v>
      </c>
      <c r="E569" s="1">
        <v>153</v>
      </c>
      <c r="F569" s="1">
        <v>667</v>
      </c>
      <c r="G569" s="1">
        <v>398</v>
      </c>
      <c r="H569" s="1">
        <v>304</v>
      </c>
      <c r="I569" s="1">
        <v>787</v>
      </c>
      <c r="J569" s="1">
        <v>628</v>
      </c>
      <c r="K569" s="1">
        <v>512</v>
      </c>
      <c r="L569" s="1">
        <v>363</v>
      </c>
      <c r="M569" s="1">
        <v>73.099999999999994</v>
      </c>
      <c r="N569" s="1">
        <v>39.783730400000003</v>
      </c>
      <c r="O569" s="1">
        <v>-100.445882</v>
      </c>
      <c r="P569" s="14">
        <f t="shared" si="62"/>
        <v>37.299999999999997</v>
      </c>
      <c r="Q569" s="13">
        <v>20</v>
      </c>
      <c r="R569" s="16">
        <f t="shared" si="63"/>
        <v>60.3</v>
      </c>
      <c r="S569" s="14">
        <f t="shared" si="64"/>
        <v>0</v>
      </c>
      <c r="T569" s="13">
        <f t="shared" si="65"/>
        <v>21.4</v>
      </c>
      <c r="U569" s="14">
        <f t="shared" si="66"/>
        <v>48.9</v>
      </c>
      <c r="V569" s="14">
        <f t="shared" si="67"/>
        <v>63.800000000000004</v>
      </c>
      <c r="W569" s="1">
        <f t="shared" si="68"/>
        <v>43.3</v>
      </c>
      <c r="X569" s="1" t="str">
        <f>IF(Table1[[#This Row],[World Rank]]&lt;=250,"Q1-Elite",IF(Table1[[#This Row],[World Rank]]&lt;=500,"Q2-Strong",IF(Table1[[#This Row],[World Rank]]&lt;=750,"Q3-Developing","Q4-Emerging")))</f>
        <v>Q3-Developing</v>
      </c>
    </row>
    <row r="570" spans="1:24" x14ac:dyDescent="0.2">
      <c r="A570" s="1">
        <v>569</v>
      </c>
      <c r="B570" s="1" t="s">
        <v>635</v>
      </c>
      <c r="C570" s="1" t="s">
        <v>15</v>
      </c>
      <c r="D570" s="1" t="s">
        <v>1120</v>
      </c>
      <c r="E570" s="1">
        <v>154</v>
      </c>
      <c r="F570" s="1">
        <v>667</v>
      </c>
      <c r="G570" s="1">
        <v>1001</v>
      </c>
      <c r="H570" s="1">
        <v>304</v>
      </c>
      <c r="I570" s="1">
        <v>758</v>
      </c>
      <c r="J570" s="1">
        <v>574</v>
      </c>
      <c r="K570" s="1">
        <v>439</v>
      </c>
      <c r="L570" s="1">
        <v>460</v>
      </c>
      <c r="M570" s="1">
        <v>73</v>
      </c>
      <c r="N570" s="1">
        <v>39.783730400000003</v>
      </c>
      <c r="O570" s="1">
        <v>-100.445882</v>
      </c>
      <c r="P570" s="14">
        <f t="shared" si="62"/>
        <v>42.699999999999996</v>
      </c>
      <c r="Q570" s="13">
        <v>20</v>
      </c>
      <c r="R570" s="16">
        <f t="shared" si="63"/>
        <v>0</v>
      </c>
      <c r="S570" s="14">
        <f t="shared" si="64"/>
        <v>0</v>
      </c>
      <c r="T570" s="13">
        <f t="shared" si="65"/>
        <v>24.3</v>
      </c>
      <c r="U570" s="14">
        <f t="shared" si="66"/>
        <v>56.2</v>
      </c>
      <c r="V570" s="14">
        <f t="shared" si="67"/>
        <v>54.1</v>
      </c>
      <c r="W570" s="1">
        <f t="shared" si="68"/>
        <v>43.2</v>
      </c>
      <c r="X570" s="1" t="str">
        <f>IF(Table1[[#This Row],[World Rank]]&lt;=250,"Q1-Elite",IF(Table1[[#This Row],[World Rank]]&lt;=500,"Q2-Strong",IF(Table1[[#This Row],[World Rank]]&lt;=750,"Q3-Developing","Q4-Emerging")))</f>
        <v>Q3-Developing</v>
      </c>
    </row>
    <row r="571" spans="1:24" x14ac:dyDescent="0.2">
      <c r="A571" s="1">
        <v>570</v>
      </c>
      <c r="B571" s="1" t="s">
        <v>636</v>
      </c>
      <c r="C571" s="1" t="s">
        <v>81</v>
      </c>
      <c r="D571" s="1" t="s">
        <v>1121</v>
      </c>
      <c r="E571" s="1">
        <v>22</v>
      </c>
      <c r="F571" s="1">
        <v>667</v>
      </c>
      <c r="G571" s="1">
        <v>492</v>
      </c>
      <c r="H571" s="1">
        <v>304</v>
      </c>
      <c r="I571" s="1">
        <v>564</v>
      </c>
      <c r="J571" s="1">
        <v>538</v>
      </c>
      <c r="K571" s="1">
        <v>673</v>
      </c>
      <c r="L571" s="1">
        <v>541</v>
      </c>
      <c r="M571" s="1">
        <v>73</v>
      </c>
      <c r="N571" s="1">
        <v>-24.776108600000001</v>
      </c>
      <c r="O571" s="1">
        <v>134.755</v>
      </c>
      <c r="P571" s="14">
        <f t="shared" si="62"/>
        <v>46.300000000000004</v>
      </c>
      <c r="Q571" s="13">
        <v>20</v>
      </c>
      <c r="R571" s="16">
        <f t="shared" si="63"/>
        <v>50.9</v>
      </c>
      <c r="S571" s="14">
        <f t="shared" si="64"/>
        <v>0</v>
      </c>
      <c r="T571" s="13">
        <f t="shared" si="65"/>
        <v>43.7</v>
      </c>
      <c r="U571" s="14">
        <f t="shared" si="66"/>
        <v>32.800000000000004</v>
      </c>
      <c r="V571" s="14">
        <f t="shared" si="67"/>
        <v>46</v>
      </c>
      <c r="W571" s="1">
        <f t="shared" si="68"/>
        <v>43.1</v>
      </c>
      <c r="X571" s="1" t="str">
        <f>IF(Table1[[#This Row],[World Rank]]&lt;=250,"Q1-Elite",IF(Table1[[#This Row],[World Rank]]&lt;=500,"Q2-Strong",IF(Table1[[#This Row],[World Rank]]&lt;=750,"Q3-Developing","Q4-Emerging")))</f>
        <v>Q3-Developing</v>
      </c>
    </row>
    <row r="572" spans="1:24" x14ac:dyDescent="0.2">
      <c r="A572" s="1">
        <v>571</v>
      </c>
      <c r="B572" s="1" t="s">
        <v>637</v>
      </c>
      <c r="C572" s="1" t="s">
        <v>244</v>
      </c>
      <c r="D572" s="1" t="s">
        <v>1124</v>
      </c>
      <c r="E572" s="1">
        <v>2</v>
      </c>
      <c r="F572" s="1">
        <v>667</v>
      </c>
      <c r="G572" s="1">
        <v>1001</v>
      </c>
      <c r="H572" s="1">
        <v>304</v>
      </c>
      <c r="I572" s="1">
        <v>500</v>
      </c>
      <c r="J572" s="1">
        <v>590</v>
      </c>
      <c r="K572" s="1">
        <v>435</v>
      </c>
      <c r="L572" s="1">
        <v>898</v>
      </c>
      <c r="M572" s="1">
        <v>73</v>
      </c>
      <c r="N572" s="1">
        <v>49.743904700000002</v>
      </c>
      <c r="O572" s="1">
        <v>15.338106099999999</v>
      </c>
      <c r="P572" s="14">
        <f t="shared" si="62"/>
        <v>41.099999999999994</v>
      </c>
      <c r="Q572" s="13">
        <v>20</v>
      </c>
      <c r="R572" s="16">
        <f t="shared" si="63"/>
        <v>0</v>
      </c>
      <c r="S572" s="14">
        <f t="shared" si="64"/>
        <v>0</v>
      </c>
      <c r="T572" s="13">
        <f t="shared" si="65"/>
        <v>50.1</v>
      </c>
      <c r="U572" s="14">
        <f t="shared" si="66"/>
        <v>56.599999999999994</v>
      </c>
      <c r="V572" s="14">
        <f t="shared" si="67"/>
        <v>10.299999999999999</v>
      </c>
      <c r="W572" s="1">
        <f t="shared" si="68"/>
        <v>43</v>
      </c>
      <c r="X572" s="1" t="str">
        <f>IF(Table1[[#This Row],[World Rank]]&lt;=250,"Q1-Elite",IF(Table1[[#This Row],[World Rank]]&lt;=500,"Q2-Strong",IF(Table1[[#This Row],[World Rank]]&lt;=750,"Q3-Developing","Q4-Emerging")))</f>
        <v>Q3-Developing</v>
      </c>
    </row>
    <row r="573" spans="1:24" x14ac:dyDescent="0.2">
      <c r="A573" s="1">
        <v>572</v>
      </c>
      <c r="B573" s="1" t="s">
        <v>638</v>
      </c>
      <c r="C573" s="1" t="s">
        <v>15</v>
      </c>
      <c r="D573" s="1" t="s">
        <v>1120</v>
      </c>
      <c r="E573" s="1">
        <v>155</v>
      </c>
      <c r="F573" s="1">
        <v>452</v>
      </c>
      <c r="G573" s="1">
        <v>422</v>
      </c>
      <c r="H573" s="1">
        <v>304</v>
      </c>
      <c r="I573" s="1">
        <v>647</v>
      </c>
      <c r="J573" s="1">
        <v>546</v>
      </c>
      <c r="K573" s="1">
        <v>466</v>
      </c>
      <c r="L573" s="1">
        <v>673</v>
      </c>
      <c r="M573" s="1">
        <v>73</v>
      </c>
      <c r="N573" s="1">
        <v>39.783730400000003</v>
      </c>
      <c r="O573" s="1">
        <v>-100.445882</v>
      </c>
      <c r="P573" s="14">
        <f t="shared" si="62"/>
        <v>45.5</v>
      </c>
      <c r="Q573" s="13">
        <f>((667 - F573) / 666) * 100</f>
        <v>32.282282282282281</v>
      </c>
      <c r="R573" s="16">
        <f t="shared" si="63"/>
        <v>57.9</v>
      </c>
      <c r="S573" s="14">
        <f t="shared" si="64"/>
        <v>0</v>
      </c>
      <c r="T573" s="13">
        <f t="shared" si="65"/>
        <v>35.4</v>
      </c>
      <c r="U573" s="14">
        <f t="shared" si="66"/>
        <v>53.5</v>
      </c>
      <c r="V573" s="14">
        <f t="shared" si="67"/>
        <v>32.800000000000004</v>
      </c>
      <c r="W573" s="1">
        <f t="shared" si="68"/>
        <v>42.9</v>
      </c>
      <c r="X573" s="1" t="str">
        <f>IF(Table1[[#This Row],[World Rank]]&lt;=250,"Q1-Elite",IF(Table1[[#This Row],[World Rank]]&lt;=500,"Q2-Strong",IF(Table1[[#This Row],[World Rank]]&lt;=750,"Q3-Developing","Q4-Emerging")))</f>
        <v>Q3-Developing</v>
      </c>
    </row>
    <row r="574" spans="1:24" x14ac:dyDescent="0.2">
      <c r="A574" s="1">
        <v>573</v>
      </c>
      <c r="B574" s="1" t="s">
        <v>639</v>
      </c>
      <c r="C574" s="1" t="s">
        <v>118</v>
      </c>
      <c r="D574" s="1" t="s">
        <v>1124</v>
      </c>
      <c r="E574" s="1">
        <v>17</v>
      </c>
      <c r="F574" s="1">
        <v>365</v>
      </c>
      <c r="G574" s="1">
        <v>547</v>
      </c>
      <c r="H574" s="1">
        <v>304</v>
      </c>
      <c r="I574" s="1">
        <v>414</v>
      </c>
      <c r="J574" s="1">
        <v>448</v>
      </c>
      <c r="K574" s="1">
        <v>657</v>
      </c>
      <c r="L574" s="1">
        <v>1001</v>
      </c>
      <c r="M574" s="1">
        <v>73</v>
      </c>
      <c r="N574" s="1">
        <v>39.326068499999998</v>
      </c>
      <c r="O574" s="1">
        <v>-4.8379791000000001</v>
      </c>
      <c r="P574" s="14">
        <f t="shared" si="62"/>
        <v>55.300000000000004</v>
      </c>
      <c r="Q574" s="13">
        <f>((667 - F574) / 666) * 100</f>
        <v>45.345345345345343</v>
      </c>
      <c r="R574" s="16">
        <f t="shared" si="63"/>
        <v>45.4</v>
      </c>
      <c r="S574" s="14">
        <f t="shared" si="64"/>
        <v>0</v>
      </c>
      <c r="T574" s="13">
        <f t="shared" si="65"/>
        <v>58.699999999999996</v>
      </c>
      <c r="U574" s="14">
        <f t="shared" si="66"/>
        <v>34.4</v>
      </c>
      <c r="V574" s="14">
        <f t="shared" si="67"/>
        <v>0</v>
      </c>
      <c r="W574" s="1">
        <f t="shared" si="68"/>
        <v>42.8</v>
      </c>
      <c r="X574" s="1" t="str">
        <f>IF(Table1[[#This Row],[World Rank]]&lt;=250,"Q1-Elite",IF(Table1[[#This Row],[World Rank]]&lt;=500,"Q2-Strong",IF(Table1[[#This Row],[World Rank]]&lt;=750,"Q3-Developing","Q4-Emerging")))</f>
        <v>Q3-Developing</v>
      </c>
    </row>
    <row r="575" spans="1:24" x14ac:dyDescent="0.2">
      <c r="A575" s="1">
        <v>574</v>
      </c>
      <c r="B575" s="1" t="s">
        <v>640</v>
      </c>
      <c r="C575" s="1" t="s">
        <v>68</v>
      </c>
      <c r="D575" s="1" t="s">
        <v>1124</v>
      </c>
      <c r="E575" s="1">
        <v>43</v>
      </c>
      <c r="F575" s="1">
        <v>664</v>
      </c>
      <c r="G575" s="1">
        <v>1001</v>
      </c>
      <c r="H575" s="1">
        <v>304</v>
      </c>
      <c r="I575" s="1">
        <v>485</v>
      </c>
      <c r="J575" s="1">
        <v>496</v>
      </c>
      <c r="K575" s="1">
        <v>597</v>
      </c>
      <c r="L575" s="1">
        <v>898</v>
      </c>
      <c r="M575" s="1">
        <v>73</v>
      </c>
      <c r="N575" s="1">
        <v>40.420347900000003</v>
      </c>
      <c r="O575" s="1">
        <v>-79.116698299999996</v>
      </c>
      <c r="P575" s="14">
        <f t="shared" si="62"/>
        <v>50.5</v>
      </c>
      <c r="Q575" s="13">
        <v>20</v>
      </c>
      <c r="R575" s="16">
        <f t="shared" si="63"/>
        <v>0</v>
      </c>
      <c r="S575" s="14">
        <f t="shared" si="64"/>
        <v>0</v>
      </c>
      <c r="T575" s="13">
        <f t="shared" si="65"/>
        <v>51.6</v>
      </c>
      <c r="U575" s="14">
        <f t="shared" si="66"/>
        <v>40.400000000000006</v>
      </c>
      <c r="V575" s="14">
        <f t="shared" si="67"/>
        <v>10.299999999999999</v>
      </c>
      <c r="W575" s="1">
        <f t="shared" si="68"/>
        <v>42.699999999999996</v>
      </c>
      <c r="X575" s="1" t="str">
        <f>IF(Table1[[#This Row],[World Rank]]&lt;=250,"Q1-Elite",IF(Table1[[#This Row],[World Rank]]&lt;=500,"Q2-Strong",IF(Table1[[#This Row],[World Rank]]&lt;=750,"Q3-Developing","Q4-Emerging")))</f>
        <v>Q3-Developing</v>
      </c>
    </row>
    <row r="576" spans="1:24" x14ac:dyDescent="0.2">
      <c r="A576" s="1">
        <v>575</v>
      </c>
      <c r="B576" s="1" t="s">
        <v>641</v>
      </c>
      <c r="C576" s="1" t="s">
        <v>281</v>
      </c>
      <c r="D576" s="1" t="s">
        <v>1121</v>
      </c>
      <c r="E576" s="1">
        <v>5</v>
      </c>
      <c r="F576" s="1">
        <v>390</v>
      </c>
      <c r="G576" s="1">
        <v>629</v>
      </c>
      <c r="H576" s="1">
        <v>304</v>
      </c>
      <c r="I576" s="1">
        <v>702</v>
      </c>
      <c r="J576" s="1">
        <v>606</v>
      </c>
      <c r="K576" s="1">
        <v>421</v>
      </c>
      <c r="L576" s="1">
        <v>541</v>
      </c>
      <c r="M576" s="1">
        <v>73</v>
      </c>
      <c r="N576" s="1">
        <v>-41.500083099999998</v>
      </c>
      <c r="O576" s="1">
        <v>172.83440770000001</v>
      </c>
      <c r="P576" s="14">
        <f t="shared" si="62"/>
        <v>39.5</v>
      </c>
      <c r="Q576" s="13">
        <f>((667 - F576) / 666) * 100</f>
        <v>41.591591591591595</v>
      </c>
      <c r="R576" s="16">
        <f t="shared" si="63"/>
        <v>37.200000000000003</v>
      </c>
      <c r="S576" s="14">
        <f t="shared" si="64"/>
        <v>0</v>
      </c>
      <c r="T576" s="13">
        <f t="shared" si="65"/>
        <v>29.9</v>
      </c>
      <c r="U576" s="14">
        <f t="shared" si="66"/>
        <v>57.999999999999993</v>
      </c>
      <c r="V576" s="14">
        <f t="shared" si="67"/>
        <v>46</v>
      </c>
      <c r="W576" s="1">
        <f t="shared" si="68"/>
        <v>42.6</v>
      </c>
      <c r="X576" s="1" t="str">
        <f>IF(Table1[[#This Row],[World Rank]]&lt;=250,"Q1-Elite",IF(Table1[[#This Row],[World Rank]]&lt;=500,"Q2-Strong",IF(Table1[[#This Row],[World Rank]]&lt;=750,"Q3-Developing","Q4-Emerging")))</f>
        <v>Q3-Developing</v>
      </c>
    </row>
    <row r="577" spans="1:24" x14ac:dyDescent="0.2">
      <c r="A577" s="1">
        <v>576</v>
      </c>
      <c r="B577" s="1" t="s">
        <v>642</v>
      </c>
      <c r="C577" s="1" t="s">
        <v>307</v>
      </c>
      <c r="D577" s="1" t="s">
        <v>1124</v>
      </c>
      <c r="E577" s="1">
        <v>3</v>
      </c>
      <c r="F577" s="1">
        <v>632</v>
      </c>
      <c r="G577" s="1">
        <v>1001</v>
      </c>
      <c r="H577" s="1">
        <v>304</v>
      </c>
      <c r="I577" s="1">
        <v>570</v>
      </c>
      <c r="J577" s="1">
        <v>717</v>
      </c>
      <c r="K577" s="1">
        <v>833</v>
      </c>
      <c r="L577" s="1">
        <v>304</v>
      </c>
      <c r="M577" s="1">
        <v>73</v>
      </c>
      <c r="N577" s="1">
        <v>52.215933</v>
      </c>
      <c r="O577" s="1">
        <v>19.134422000000001</v>
      </c>
      <c r="P577" s="14">
        <f t="shared" si="62"/>
        <v>28.4</v>
      </c>
      <c r="Q577" s="13">
        <v>20</v>
      </c>
      <c r="R577" s="16">
        <f t="shared" si="63"/>
        <v>0</v>
      </c>
      <c r="S577" s="14">
        <f t="shared" si="64"/>
        <v>0</v>
      </c>
      <c r="T577" s="13">
        <f t="shared" si="65"/>
        <v>43.1</v>
      </c>
      <c r="U577" s="14">
        <f t="shared" si="66"/>
        <v>16.8</v>
      </c>
      <c r="V577" s="14">
        <f t="shared" si="67"/>
        <v>69.699999999999989</v>
      </c>
      <c r="W577" s="1">
        <f t="shared" si="68"/>
        <v>42.5</v>
      </c>
      <c r="X577" s="1" t="str">
        <f>IF(Table1[[#This Row],[World Rank]]&lt;=250,"Q1-Elite",IF(Table1[[#This Row],[World Rank]]&lt;=500,"Q2-Strong",IF(Table1[[#This Row],[World Rank]]&lt;=750,"Q3-Developing","Q4-Emerging")))</f>
        <v>Q3-Developing</v>
      </c>
    </row>
    <row r="578" spans="1:24" x14ac:dyDescent="0.2">
      <c r="A578" s="1">
        <v>577</v>
      </c>
      <c r="B578" s="1" t="s">
        <v>643</v>
      </c>
      <c r="C578" s="1" t="s">
        <v>124</v>
      </c>
      <c r="D578" s="1" t="s">
        <v>1125</v>
      </c>
      <c r="E578" s="1">
        <v>44</v>
      </c>
      <c r="F578" s="1">
        <v>667</v>
      </c>
      <c r="G578" s="1">
        <v>1001</v>
      </c>
      <c r="H578" s="1">
        <v>304</v>
      </c>
      <c r="I578" s="1">
        <v>368</v>
      </c>
      <c r="J578" s="1">
        <v>479</v>
      </c>
      <c r="K578" s="1">
        <v>692</v>
      </c>
      <c r="L578" s="1">
        <v>1001</v>
      </c>
      <c r="M578" s="1">
        <v>73</v>
      </c>
      <c r="N578" s="1">
        <v>30.047992000000001</v>
      </c>
      <c r="O578" s="1">
        <v>-94.335743300000004</v>
      </c>
      <c r="P578" s="14">
        <f t="shared" ref="P578:P641" si="69">((1001 - J578) / 1000) * 100</f>
        <v>52.2</v>
      </c>
      <c r="Q578" s="13">
        <v>20</v>
      </c>
      <c r="R578" s="16">
        <f t="shared" ref="R578:R641" si="70">(1001 - G578) / 1000 * 100</f>
        <v>0</v>
      </c>
      <c r="S578" s="14">
        <f t="shared" ref="S578:S641" si="71">(304 - H578) / 303 * 100</f>
        <v>0</v>
      </c>
      <c r="T578" s="13">
        <f t="shared" ref="T578:T641" si="72">(1001 - I578) / 1000 * 100</f>
        <v>63.3</v>
      </c>
      <c r="U578" s="14">
        <f t="shared" ref="U578:U641" si="73">(1001 - K578) / 1000 * 100</f>
        <v>30.9</v>
      </c>
      <c r="V578" s="14">
        <f t="shared" ref="V578:V641" si="74">(1001 - L578) / 1000 * 100</f>
        <v>0</v>
      </c>
      <c r="W578" s="1">
        <f t="shared" ref="W578:W641" si="75">(1001 - A578) / 1000 * 100</f>
        <v>42.4</v>
      </c>
      <c r="X578" s="1" t="str">
        <f>IF(Table1[[#This Row],[World Rank]]&lt;=250,"Q1-Elite",IF(Table1[[#This Row],[World Rank]]&lt;=500,"Q2-Strong",IF(Table1[[#This Row],[World Rank]]&lt;=750,"Q3-Developing","Q4-Emerging")))</f>
        <v>Q3-Developing</v>
      </c>
    </row>
    <row r="579" spans="1:24" x14ac:dyDescent="0.2">
      <c r="A579" s="1">
        <v>578</v>
      </c>
      <c r="B579" s="1" t="s">
        <v>644</v>
      </c>
      <c r="C579" s="1" t="s">
        <v>15</v>
      </c>
      <c r="D579" s="1" t="s">
        <v>1120</v>
      </c>
      <c r="E579" s="1">
        <v>156</v>
      </c>
      <c r="F579" s="1">
        <v>667</v>
      </c>
      <c r="G579" s="1">
        <v>1001</v>
      </c>
      <c r="H579" s="1">
        <v>304</v>
      </c>
      <c r="I579" s="1">
        <v>835</v>
      </c>
      <c r="J579" s="1">
        <v>651</v>
      </c>
      <c r="K579" s="1">
        <v>354</v>
      </c>
      <c r="L579" s="1">
        <v>460</v>
      </c>
      <c r="M579" s="1">
        <v>73</v>
      </c>
      <c r="N579" s="1">
        <v>39.783730400000003</v>
      </c>
      <c r="O579" s="1">
        <v>-100.445882</v>
      </c>
      <c r="P579" s="14">
        <f t="shared" si="69"/>
        <v>35</v>
      </c>
      <c r="Q579" s="13">
        <v>20</v>
      </c>
      <c r="R579" s="16">
        <f t="shared" si="70"/>
        <v>0</v>
      </c>
      <c r="S579" s="14">
        <f t="shared" si="71"/>
        <v>0</v>
      </c>
      <c r="T579" s="13">
        <f t="shared" si="72"/>
        <v>16.600000000000001</v>
      </c>
      <c r="U579" s="14">
        <f t="shared" si="73"/>
        <v>64.7</v>
      </c>
      <c r="V579" s="14">
        <f t="shared" si="74"/>
        <v>54.1</v>
      </c>
      <c r="W579" s="1">
        <f t="shared" si="75"/>
        <v>42.3</v>
      </c>
      <c r="X579" s="1" t="str">
        <f>IF(Table1[[#This Row],[World Rank]]&lt;=250,"Q1-Elite",IF(Table1[[#This Row],[World Rank]]&lt;=500,"Q2-Strong",IF(Table1[[#This Row],[World Rank]]&lt;=750,"Q3-Developing","Q4-Emerging")))</f>
        <v>Q3-Developing</v>
      </c>
    </row>
    <row r="580" spans="1:24" x14ac:dyDescent="0.2">
      <c r="A580" s="1">
        <v>579</v>
      </c>
      <c r="B580" s="1" t="s">
        <v>645</v>
      </c>
      <c r="C580" s="1" t="s">
        <v>34</v>
      </c>
      <c r="D580" s="1" t="s">
        <v>1120</v>
      </c>
      <c r="E580" s="1">
        <v>22</v>
      </c>
      <c r="F580" s="1">
        <v>667</v>
      </c>
      <c r="G580" s="1">
        <v>836</v>
      </c>
      <c r="H580" s="1">
        <v>304</v>
      </c>
      <c r="I580" s="1">
        <v>662</v>
      </c>
      <c r="J580" s="1">
        <v>594</v>
      </c>
      <c r="K580" s="1">
        <v>552</v>
      </c>
      <c r="L580" s="1">
        <v>460</v>
      </c>
      <c r="M580" s="1">
        <v>73</v>
      </c>
      <c r="N580" s="1">
        <v>61.066692199999999</v>
      </c>
      <c r="O580" s="1">
        <v>-107.99170700000001</v>
      </c>
      <c r="P580" s="14">
        <f t="shared" si="69"/>
        <v>40.699999999999996</v>
      </c>
      <c r="Q580" s="13">
        <v>20</v>
      </c>
      <c r="R580" s="16">
        <f t="shared" si="70"/>
        <v>16.5</v>
      </c>
      <c r="S580" s="14">
        <f t="shared" si="71"/>
        <v>0</v>
      </c>
      <c r="T580" s="13">
        <f t="shared" si="72"/>
        <v>33.900000000000006</v>
      </c>
      <c r="U580" s="14">
        <f t="shared" si="73"/>
        <v>44.9</v>
      </c>
      <c r="V580" s="14">
        <f t="shared" si="74"/>
        <v>54.1</v>
      </c>
      <c r="W580" s="1">
        <f t="shared" si="75"/>
        <v>42.199999999999996</v>
      </c>
      <c r="X580" s="1" t="str">
        <f>IF(Table1[[#This Row],[World Rank]]&lt;=250,"Q1-Elite",IF(Table1[[#This Row],[World Rank]]&lt;=500,"Q2-Strong",IF(Table1[[#This Row],[World Rank]]&lt;=750,"Q3-Developing","Q4-Emerging")))</f>
        <v>Q3-Developing</v>
      </c>
    </row>
    <row r="581" spans="1:24" x14ac:dyDescent="0.2">
      <c r="A581" s="1">
        <v>580</v>
      </c>
      <c r="B581" s="1" t="s">
        <v>646</v>
      </c>
      <c r="C581" s="1" t="s">
        <v>85</v>
      </c>
      <c r="D581" s="1" t="s">
        <v>1125</v>
      </c>
      <c r="E581" s="1">
        <v>17</v>
      </c>
      <c r="F581" s="1">
        <v>667</v>
      </c>
      <c r="G581" s="1">
        <v>1001</v>
      </c>
      <c r="H581" s="1">
        <v>304</v>
      </c>
      <c r="I581" s="1">
        <v>389</v>
      </c>
      <c r="J581" s="1">
        <v>507</v>
      </c>
      <c r="K581" s="1">
        <v>875</v>
      </c>
      <c r="L581" s="1">
        <v>898</v>
      </c>
      <c r="M581" s="1">
        <v>72.900000000000006</v>
      </c>
      <c r="N581" s="1">
        <v>36.638392000000003</v>
      </c>
      <c r="O581" s="1">
        <v>127.69611879999999</v>
      </c>
      <c r="P581" s="14">
        <f t="shared" si="69"/>
        <v>49.4</v>
      </c>
      <c r="Q581" s="13">
        <v>20</v>
      </c>
      <c r="R581" s="16">
        <f t="shared" si="70"/>
        <v>0</v>
      </c>
      <c r="S581" s="14">
        <f t="shared" si="71"/>
        <v>0</v>
      </c>
      <c r="T581" s="13">
        <f t="shared" si="72"/>
        <v>61.199999999999996</v>
      </c>
      <c r="U581" s="14">
        <f t="shared" si="73"/>
        <v>12.6</v>
      </c>
      <c r="V581" s="14">
        <f t="shared" si="74"/>
        <v>10.299999999999999</v>
      </c>
      <c r="W581" s="1">
        <f t="shared" si="75"/>
        <v>42.1</v>
      </c>
      <c r="X581" s="1" t="str">
        <f>IF(Table1[[#This Row],[World Rank]]&lt;=250,"Q1-Elite",IF(Table1[[#This Row],[World Rank]]&lt;=500,"Q2-Strong",IF(Table1[[#This Row],[World Rank]]&lt;=750,"Q3-Developing","Q4-Emerging")))</f>
        <v>Q3-Developing</v>
      </c>
    </row>
    <row r="582" spans="1:24" x14ac:dyDescent="0.2">
      <c r="A582" s="1">
        <v>581</v>
      </c>
      <c r="B582" s="1" t="s">
        <v>647</v>
      </c>
      <c r="C582" s="1" t="s">
        <v>28</v>
      </c>
      <c r="D582" s="1" t="s">
        <v>1125</v>
      </c>
      <c r="E582" s="1">
        <v>18</v>
      </c>
      <c r="F582" s="1">
        <v>260</v>
      </c>
      <c r="G582" s="1">
        <v>887</v>
      </c>
      <c r="H582" s="1">
        <v>304</v>
      </c>
      <c r="I582" s="1">
        <v>772</v>
      </c>
      <c r="J582" s="1">
        <v>708</v>
      </c>
      <c r="K582" s="1">
        <v>540</v>
      </c>
      <c r="L582" s="1">
        <v>304</v>
      </c>
      <c r="M582" s="1">
        <v>72.900000000000006</v>
      </c>
      <c r="N582" s="1">
        <v>36.5748441</v>
      </c>
      <c r="O582" s="1">
        <v>139.23941790000001</v>
      </c>
      <c r="P582" s="14">
        <f t="shared" si="69"/>
        <v>29.299999999999997</v>
      </c>
      <c r="Q582" s="13">
        <f>((667 - F582) / 666) * 100</f>
        <v>61.111111111111114</v>
      </c>
      <c r="R582" s="16">
        <f t="shared" si="70"/>
        <v>11.4</v>
      </c>
      <c r="S582" s="14">
        <f t="shared" si="71"/>
        <v>0</v>
      </c>
      <c r="T582" s="13">
        <f t="shared" si="72"/>
        <v>22.900000000000002</v>
      </c>
      <c r="U582" s="14">
        <f t="shared" si="73"/>
        <v>46.1</v>
      </c>
      <c r="V582" s="14">
        <f t="shared" si="74"/>
        <v>69.699999999999989</v>
      </c>
      <c r="W582" s="1">
        <f t="shared" si="75"/>
        <v>42</v>
      </c>
      <c r="X582" s="1" t="str">
        <f>IF(Table1[[#This Row],[World Rank]]&lt;=250,"Q1-Elite",IF(Table1[[#This Row],[World Rank]]&lt;=500,"Q2-Strong",IF(Table1[[#This Row],[World Rank]]&lt;=750,"Q3-Developing","Q4-Emerging")))</f>
        <v>Q3-Developing</v>
      </c>
    </row>
    <row r="583" spans="1:24" x14ac:dyDescent="0.2">
      <c r="A583" s="1">
        <v>582</v>
      </c>
      <c r="B583" s="1" t="s">
        <v>648</v>
      </c>
      <c r="C583" s="1" t="s">
        <v>15</v>
      </c>
      <c r="D583" s="1" t="s">
        <v>1120</v>
      </c>
      <c r="E583" s="1">
        <v>157</v>
      </c>
      <c r="F583" s="1">
        <v>667</v>
      </c>
      <c r="G583" s="1">
        <v>97</v>
      </c>
      <c r="H583" s="1">
        <v>304</v>
      </c>
      <c r="I583" s="1">
        <v>887</v>
      </c>
      <c r="J583" s="1">
        <v>715</v>
      </c>
      <c r="K583" s="1">
        <v>581</v>
      </c>
      <c r="L583" s="1">
        <v>405</v>
      </c>
      <c r="M583" s="1">
        <v>72.900000000000006</v>
      </c>
      <c r="N583" s="1">
        <v>39.783730400000003</v>
      </c>
      <c r="O583" s="1">
        <v>-100.445882</v>
      </c>
      <c r="P583" s="14">
        <f t="shared" si="69"/>
        <v>28.599999999999998</v>
      </c>
      <c r="Q583" s="13">
        <v>20</v>
      </c>
      <c r="R583" s="16">
        <f t="shared" si="70"/>
        <v>90.4</v>
      </c>
      <c r="S583" s="14">
        <f t="shared" si="71"/>
        <v>0</v>
      </c>
      <c r="T583" s="13">
        <f t="shared" si="72"/>
        <v>11.4</v>
      </c>
      <c r="U583" s="14">
        <f t="shared" si="73"/>
        <v>42</v>
      </c>
      <c r="V583" s="14">
        <f t="shared" si="74"/>
        <v>59.599999999999994</v>
      </c>
      <c r="W583" s="1">
        <f t="shared" si="75"/>
        <v>41.9</v>
      </c>
      <c r="X583" s="1" t="str">
        <f>IF(Table1[[#This Row],[World Rank]]&lt;=250,"Q1-Elite",IF(Table1[[#This Row],[World Rank]]&lt;=500,"Q2-Strong",IF(Table1[[#This Row],[World Rank]]&lt;=750,"Q3-Developing","Q4-Emerging")))</f>
        <v>Q3-Developing</v>
      </c>
    </row>
    <row r="584" spans="1:24" x14ac:dyDescent="0.2">
      <c r="A584" s="1">
        <v>583</v>
      </c>
      <c r="B584" s="1" t="s">
        <v>649</v>
      </c>
      <c r="C584" s="1" t="s">
        <v>68</v>
      </c>
      <c r="D584" s="1" t="s">
        <v>1124</v>
      </c>
      <c r="E584" s="1">
        <v>44</v>
      </c>
      <c r="F584" s="1">
        <v>439</v>
      </c>
      <c r="G584" s="1">
        <v>1001</v>
      </c>
      <c r="H584" s="1">
        <v>304</v>
      </c>
      <c r="I584" s="1">
        <v>670</v>
      </c>
      <c r="J584" s="1">
        <v>622</v>
      </c>
      <c r="K584" s="1">
        <v>382</v>
      </c>
      <c r="L584" s="1">
        <v>673</v>
      </c>
      <c r="M584" s="1">
        <v>72.900000000000006</v>
      </c>
      <c r="N584" s="1">
        <v>40.420347900000003</v>
      </c>
      <c r="O584" s="1">
        <v>-79.116698299999996</v>
      </c>
      <c r="P584" s="14">
        <f t="shared" si="69"/>
        <v>37.9</v>
      </c>
      <c r="Q584" s="13">
        <f>((667 - F584) / 666) * 100</f>
        <v>34.234234234234236</v>
      </c>
      <c r="R584" s="16">
        <f t="shared" si="70"/>
        <v>0</v>
      </c>
      <c r="S584" s="14">
        <f t="shared" si="71"/>
        <v>0</v>
      </c>
      <c r="T584" s="13">
        <f t="shared" si="72"/>
        <v>33.1</v>
      </c>
      <c r="U584" s="14">
        <f t="shared" si="73"/>
        <v>61.9</v>
      </c>
      <c r="V584" s="14">
        <f t="shared" si="74"/>
        <v>32.800000000000004</v>
      </c>
      <c r="W584" s="1">
        <f t="shared" si="75"/>
        <v>41.8</v>
      </c>
      <c r="X584" s="1" t="str">
        <f>IF(Table1[[#This Row],[World Rank]]&lt;=250,"Q1-Elite",IF(Table1[[#This Row],[World Rank]]&lt;=500,"Q2-Strong",IF(Table1[[#This Row],[World Rank]]&lt;=750,"Q3-Developing","Q4-Emerging")))</f>
        <v>Q3-Developing</v>
      </c>
    </row>
    <row r="585" spans="1:24" x14ac:dyDescent="0.2">
      <c r="A585" s="1">
        <v>584</v>
      </c>
      <c r="B585" s="1" t="s">
        <v>650</v>
      </c>
      <c r="C585" s="1" t="s">
        <v>34</v>
      </c>
      <c r="D585" s="1" t="s">
        <v>1120</v>
      </c>
      <c r="E585" s="1">
        <v>23</v>
      </c>
      <c r="F585" s="1">
        <v>667</v>
      </c>
      <c r="G585" s="1">
        <v>936</v>
      </c>
      <c r="H585" s="1">
        <v>304</v>
      </c>
      <c r="I585" s="1">
        <v>656</v>
      </c>
      <c r="J585" s="1">
        <v>540</v>
      </c>
      <c r="K585" s="1">
        <v>559</v>
      </c>
      <c r="L585" s="1">
        <v>541</v>
      </c>
      <c r="M585" s="1">
        <v>72.900000000000006</v>
      </c>
      <c r="N585" s="1">
        <v>61.066692199999999</v>
      </c>
      <c r="O585" s="1">
        <v>-107.99170700000001</v>
      </c>
      <c r="P585" s="14">
        <f t="shared" si="69"/>
        <v>46.1</v>
      </c>
      <c r="Q585" s="13">
        <v>20</v>
      </c>
      <c r="R585" s="16">
        <f t="shared" si="70"/>
        <v>6.5</v>
      </c>
      <c r="S585" s="14">
        <f t="shared" si="71"/>
        <v>0</v>
      </c>
      <c r="T585" s="13">
        <f t="shared" si="72"/>
        <v>34.5</v>
      </c>
      <c r="U585" s="14">
        <f t="shared" si="73"/>
        <v>44.2</v>
      </c>
      <c r="V585" s="14">
        <f t="shared" si="74"/>
        <v>46</v>
      </c>
      <c r="W585" s="1">
        <f t="shared" si="75"/>
        <v>41.699999999999996</v>
      </c>
      <c r="X585" s="1" t="str">
        <f>IF(Table1[[#This Row],[World Rank]]&lt;=250,"Q1-Elite",IF(Table1[[#This Row],[World Rank]]&lt;=500,"Q2-Strong",IF(Table1[[#This Row],[World Rank]]&lt;=750,"Q3-Developing","Q4-Emerging")))</f>
        <v>Q3-Developing</v>
      </c>
    </row>
    <row r="586" spans="1:24" x14ac:dyDescent="0.2">
      <c r="A586" s="1">
        <v>585</v>
      </c>
      <c r="B586" s="1" t="s">
        <v>651</v>
      </c>
      <c r="C586" s="1" t="s">
        <v>304</v>
      </c>
      <c r="D586" s="1" t="s">
        <v>1120</v>
      </c>
      <c r="E586" s="1">
        <v>3</v>
      </c>
      <c r="F586" s="1">
        <v>667</v>
      </c>
      <c r="G586" s="1">
        <v>1001</v>
      </c>
      <c r="H586" s="1">
        <v>304</v>
      </c>
      <c r="I586" s="1">
        <v>552</v>
      </c>
      <c r="J586" s="1">
        <v>599</v>
      </c>
      <c r="K586" s="1">
        <v>498</v>
      </c>
      <c r="L586" s="1">
        <v>673</v>
      </c>
      <c r="M586" s="1">
        <v>72.900000000000006</v>
      </c>
      <c r="N586" s="1">
        <v>19.432629599999999</v>
      </c>
      <c r="O586" s="1">
        <v>-99.1331785</v>
      </c>
      <c r="P586" s="14">
        <f t="shared" si="69"/>
        <v>40.200000000000003</v>
      </c>
      <c r="Q586" s="13">
        <v>20</v>
      </c>
      <c r="R586" s="16">
        <f t="shared" si="70"/>
        <v>0</v>
      </c>
      <c r="S586" s="14">
        <f t="shared" si="71"/>
        <v>0</v>
      </c>
      <c r="T586" s="13">
        <f t="shared" si="72"/>
        <v>44.9</v>
      </c>
      <c r="U586" s="14">
        <f t="shared" si="73"/>
        <v>50.3</v>
      </c>
      <c r="V586" s="14">
        <f t="shared" si="74"/>
        <v>32.800000000000004</v>
      </c>
      <c r="W586" s="1">
        <f t="shared" si="75"/>
        <v>41.6</v>
      </c>
      <c r="X586" s="1" t="str">
        <f>IF(Table1[[#This Row],[World Rank]]&lt;=250,"Q1-Elite",IF(Table1[[#This Row],[World Rank]]&lt;=500,"Q2-Strong",IF(Table1[[#This Row],[World Rank]]&lt;=750,"Q3-Developing","Q4-Emerging")))</f>
        <v>Q3-Developing</v>
      </c>
    </row>
    <row r="587" spans="1:24" x14ac:dyDescent="0.2">
      <c r="A587" s="1">
        <v>586</v>
      </c>
      <c r="B587" s="1" t="s">
        <v>652</v>
      </c>
      <c r="C587" s="1" t="s">
        <v>48</v>
      </c>
      <c r="D587" s="1" t="s">
        <v>1124</v>
      </c>
      <c r="E587" s="1">
        <v>30</v>
      </c>
      <c r="F587" s="1">
        <v>667</v>
      </c>
      <c r="G587" s="1">
        <v>42</v>
      </c>
      <c r="H587" s="1">
        <v>304</v>
      </c>
      <c r="I587" s="1">
        <v>892</v>
      </c>
      <c r="J587" s="1">
        <v>724</v>
      </c>
      <c r="K587" s="1">
        <v>1001</v>
      </c>
      <c r="L587" s="1">
        <v>673</v>
      </c>
      <c r="M587" s="1">
        <v>72.900000000000006</v>
      </c>
      <c r="N587" s="1">
        <v>46.603354000000003</v>
      </c>
      <c r="O587" s="1">
        <v>1.8883335000000001</v>
      </c>
      <c r="P587" s="14">
        <f t="shared" si="69"/>
        <v>27.700000000000003</v>
      </c>
      <c r="Q587" s="13">
        <v>20</v>
      </c>
      <c r="R587" s="16">
        <f t="shared" si="70"/>
        <v>95.899999999999991</v>
      </c>
      <c r="S587" s="14">
        <f t="shared" si="71"/>
        <v>0</v>
      </c>
      <c r="T587" s="13">
        <f t="shared" si="72"/>
        <v>10.9</v>
      </c>
      <c r="U587" s="14">
        <f t="shared" si="73"/>
        <v>0</v>
      </c>
      <c r="V587" s="14">
        <f t="shared" si="74"/>
        <v>32.800000000000004</v>
      </c>
      <c r="W587" s="1">
        <f t="shared" si="75"/>
        <v>41.5</v>
      </c>
      <c r="X587" s="1" t="str">
        <f>IF(Table1[[#This Row],[World Rank]]&lt;=250,"Q1-Elite",IF(Table1[[#This Row],[World Rank]]&lt;=500,"Q2-Strong",IF(Table1[[#This Row],[World Rank]]&lt;=750,"Q3-Developing","Q4-Emerging")))</f>
        <v>Q3-Developing</v>
      </c>
    </row>
    <row r="588" spans="1:24" x14ac:dyDescent="0.2">
      <c r="A588" s="1">
        <v>587</v>
      </c>
      <c r="B588" s="1" t="s">
        <v>653</v>
      </c>
      <c r="C588" s="1" t="s">
        <v>124</v>
      </c>
      <c r="D588" s="1" t="s">
        <v>1125</v>
      </c>
      <c r="E588" s="1">
        <v>45</v>
      </c>
      <c r="F588" s="1">
        <v>667</v>
      </c>
      <c r="G588" s="1">
        <v>694</v>
      </c>
      <c r="H588" s="1">
        <v>304</v>
      </c>
      <c r="I588" s="1">
        <v>457</v>
      </c>
      <c r="J588" s="1">
        <v>559</v>
      </c>
      <c r="K588" s="1">
        <v>1001</v>
      </c>
      <c r="L588" s="1">
        <v>541</v>
      </c>
      <c r="M588" s="1">
        <v>72.900000000000006</v>
      </c>
      <c r="N588" s="1">
        <v>30.047992000000001</v>
      </c>
      <c r="O588" s="1">
        <v>-94.335743300000004</v>
      </c>
      <c r="P588" s="14">
        <f t="shared" si="69"/>
        <v>44.2</v>
      </c>
      <c r="Q588" s="13">
        <v>20</v>
      </c>
      <c r="R588" s="16">
        <f t="shared" si="70"/>
        <v>30.7</v>
      </c>
      <c r="S588" s="14">
        <f t="shared" si="71"/>
        <v>0</v>
      </c>
      <c r="T588" s="13">
        <f t="shared" si="72"/>
        <v>54.400000000000006</v>
      </c>
      <c r="U588" s="14">
        <f t="shared" si="73"/>
        <v>0</v>
      </c>
      <c r="V588" s="14">
        <f t="shared" si="74"/>
        <v>46</v>
      </c>
      <c r="W588" s="1">
        <f t="shared" si="75"/>
        <v>41.4</v>
      </c>
      <c r="X588" s="1" t="str">
        <f>IF(Table1[[#This Row],[World Rank]]&lt;=250,"Q1-Elite",IF(Table1[[#This Row],[World Rank]]&lt;=500,"Q2-Strong",IF(Table1[[#This Row],[World Rank]]&lt;=750,"Q3-Developing","Q4-Emerging")))</f>
        <v>Q3-Developing</v>
      </c>
    </row>
    <row r="589" spans="1:24" x14ac:dyDescent="0.2">
      <c r="A589" s="1">
        <v>588</v>
      </c>
      <c r="B589" s="1" t="s">
        <v>654</v>
      </c>
      <c r="C589" s="1" t="s">
        <v>124</v>
      </c>
      <c r="D589" s="1" t="s">
        <v>1125</v>
      </c>
      <c r="E589" s="1">
        <v>46</v>
      </c>
      <c r="F589" s="1">
        <v>667</v>
      </c>
      <c r="G589" s="1">
        <v>1001</v>
      </c>
      <c r="H589" s="1">
        <v>304</v>
      </c>
      <c r="I589" s="1">
        <v>513</v>
      </c>
      <c r="J589" s="1">
        <v>525</v>
      </c>
      <c r="K589" s="1">
        <v>535</v>
      </c>
      <c r="L589" s="1">
        <v>898</v>
      </c>
      <c r="M589" s="1">
        <v>72.900000000000006</v>
      </c>
      <c r="N589" s="1">
        <v>30.047992000000001</v>
      </c>
      <c r="O589" s="1">
        <v>-94.335743300000004</v>
      </c>
      <c r="P589" s="14">
        <f t="shared" si="69"/>
        <v>47.599999999999994</v>
      </c>
      <c r="Q589" s="13">
        <v>20</v>
      </c>
      <c r="R589" s="16">
        <f t="shared" si="70"/>
        <v>0</v>
      </c>
      <c r="S589" s="14">
        <f t="shared" si="71"/>
        <v>0</v>
      </c>
      <c r="T589" s="13">
        <f t="shared" si="72"/>
        <v>48.8</v>
      </c>
      <c r="U589" s="14">
        <f t="shared" si="73"/>
        <v>46.6</v>
      </c>
      <c r="V589" s="14">
        <f t="shared" si="74"/>
        <v>10.299999999999999</v>
      </c>
      <c r="W589" s="1">
        <f t="shared" si="75"/>
        <v>41.3</v>
      </c>
      <c r="X589" s="1" t="str">
        <f>IF(Table1[[#This Row],[World Rank]]&lt;=250,"Q1-Elite",IF(Table1[[#This Row],[World Rank]]&lt;=500,"Q2-Strong",IF(Table1[[#This Row],[World Rank]]&lt;=750,"Q3-Developing","Q4-Emerging")))</f>
        <v>Q3-Developing</v>
      </c>
    </row>
    <row r="590" spans="1:24" x14ac:dyDescent="0.2">
      <c r="A590" s="1">
        <v>589</v>
      </c>
      <c r="B590" s="1" t="s">
        <v>655</v>
      </c>
      <c r="C590" s="1" t="s">
        <v>48</v>
      </c>
      <c r="D590" s="1" t="s">
        <v>1124</v>
      </c>
      <c r="E590" s="1">
        <v>31</v>
      </c>
      <c r="F590" s="1">
        <v>667</v>
      </c>
      <c r="G590" s="1">
        <v>6</v>
      </c>
      <c r="H590" s="1">
        <v>304</v>
      </c>
      <c r="I590" s="1">
        <v>1001</v>
      </c>
      <c r="J590" s="1">
        <v>1001</v>
      </c>
      <c r="K590" s="1">
        <v>1001</v>
      </c>
      <c r="L590" s="1">
        <v>1001</v>
      </c>
      <c r="M590" s="1">
        <v>72.900000000000006</v>
      </c>
      <c r="N590" s="1">
        <v>46.603354000000003</v>
      </c>
      <c r="O590" s="1">
        <v>1.8883335000000001</v>
      </c>
      <c r="P590" s="14">
        <f t="shared" si="69"/>
        <v>0</v>
      </c>
      <c r="Q590" s="13">
        <v>20</v>
      </c>
      <c r="R590" s="16">
        <f t="shared" si="70"/>
        <v>99.5</v>
      </c>
      <c r="S590" s="14">
        <f t="shared" si="71"/>
        <v>0</v>
      </c>
      <c r="T590" s="13">
        <f t="shared" si="72"/>
        <v>0</v>
      </c>
      <c r="U590" s="14">
        <f t="shared" si="73"/>
        <v>0</v>
      </c>
      <c r="V590" s="14">
        <f t="shared" si="74"/>
        <v>0</v>
      </c>
      <c r="W590" s="1">
        <f t="shared" si="75"/>
        <v>41.199999999999996</v>
      </c>
      <c r="X590" s="1" t="str">
        <f>IF(Table1[[#This Row],[World Rank]]&lt;=250,"Q1-Elite",IF(Table1[[#This Row],[World Rank]]&lt;=500,"Q2-Strong",IF(Table1[[#This Row],[World Rank]]&lt;=750,"Q3-Developing","Q4-Emerging")))</f>
        <v>Q3-Developing</v>
      </c>
    </row>
    <row r="591" spans="1:24" x14ac:dyDescent="0.2">
      <c r="A591" s="1">
        <v>590</v>
      </c>
      <c r="B591" s="1" t="s">
        <v>656</v>
      </c>
      <c r="C591" s="1" t="s">
        <v>124</v>
      </c>
      <c r="D591" s="1" t="s">
        <v>1125</v>
      </c>
      <c r="E591" s="1">
        <v>47</v>
      </c>
      <c r="F591" s="1">
        <v>667</v>
      </c>
      <c r="G591" s="1">
        <v>1001</v>
      </c>
      <c r="H591" s="1">
        <v>304</v>
      </c>
      <c r="I591" s="1">
        <v>346</v>
      </c>
      <c r="J591" s="1">
        <v>513</v>
      </c>
      <c r="K591" s="1">
        <v>757</v>
      </c>
      <c r="L591" s="1">
        <v>1001</v>
      </c>
      <c r="M591" s="1">
        <v>72.8</v>
      </c>
      <c r="N591" s="1">
        <v>30.047992000000001</v>
      </c>
      <c r="O591" s="1">
        <v>-94.335743300000004</v>
      </c>
      <c r="P591" s="14">
        <f t="shared" si="69"/>
        <v>48.8</v>
      </c>
      <c r="Q591" s="13">
        <v>20</v>
      </c>
      <c r="R591" s="16">
        <f t="shared" si="70"/>
        <v>0</v>
      </c>
      <c r="S591" s="14">
        <f t="shared" si="71"/>
        <v>0</v>
      </c>
      <c r="T591" s="13">
        <f t="shared" si="72"/>
        <v>65.5</v>
      </c>
      <c r="U591" s="14">
        <f t="shared" si="73"/>
        <v>24.4</v>
      </c>
      <c r="V591" s="14">
        <f t="shared" si="74"/>
        <v>0</v>
      </c>
      <c r="W591" s="1">
        <f t="shared" si="75"/>
        <v>41.099999999999994</v>
      </c>
      <c r="X591" s="1" t="str">
        <f>IF(Table1[[#This Row],[World Rank]]&lt;=250,"Q1-Elite",IF(Table1[[#This Row],[World Rank]]&lt;=500,"Q2-Strong",IF(Table1[[#This Row],[World Rank]]&lt;=750,"Q3-Developing","Q4-Emerging")))</f>
        <v>Q3-Developing</v>
      </c>
    </row>
    <row r="592" spans="1:24" x14ac:dyDescent="0.2">
      <c r="A592" s="1">
        <v>591</v>
      </c>
      <c r="B592" s="1" t="s">
        <v>657</v>
      </c>
      <c r="C592" s="1" t="s">
        <v>15</v>
      </c>
      <c r="D592" s="1" t="s">
        <v>1120</v>
      </c>
      <c r="E592" s="1">
        <v>158</v>
      </c>
      <c r="F592" s="1">
        <v>667</v>
      </c>
      <c r="G592" s="1">
        <v>1001</v>
      </c>
      <c r="H592" s="1">
        <v>194</v>
      </c>
      <c r="I592" s="1">
        <v>1001</v>
      </c>
      <c r="J592" s="1">
        <v>872</v>
      </c>
      <c r="K592" s="1">
        <v>499</v>
      </c>
      <c r="L592" s="1">
        <v>460</v>
      </c>
      <c r="M592" s="1">
        <v>72.8</v>
      </c>
      <c r="N592" s="1">
        <v>39.783730400000003</v>
      </c>
      <c r="O592" s="1">
        <v>-100.445882</v>
      </c>
      <c r="P592" s="14">
        <f t="shared" si="69"/>
        <v>12.9</v>
      </c>
      <c r="Q592" s="13">
        <v>20</v>
      </c>
      <c r="R592" s="16">
        <f t="shared" si="70"/>
        <v>0</v>
      </c>
      <c r="S592" s="14">
        <f t="shared" si="71"/>
        <v>36.303630363036305</v>
      </c>
      <c r="T592" s="13">
        <f t="shared" si="72"/>
        <v>0</v>
      </c>
      <c r="U592" s="14">
        <f t="shared" si="73"/>
        <v>50.2</v>
      </c>
      <c r="V592" s="14">
        <f t="shared" si="74"/>
        <v>54.1</v>
      </c>
      <c r="W592" s="1">
        <f t="shared" si="75"/>
        <v>41</v>
      </c>
      <c r="X592" s="1" t="str">
        <f>IF(Table1[[#This Row],[World Rank]]&lt;=250,"Q1-Elite",IF(Table1[[#This Row],[World Rank]]&lt;=500,"Q2-Strong",IF(Table1[[#This Row],[World Rank]]&lt;=750,"Q3-Developing","Q4-Emerging")))</f>
        <v>Q3-Developing</v>
      </c>
    </row>
    <row r="593" spans="1:24" x14ac:dyDescent="0.2">
      <c r="A593" s="1">
        <v>592</v>
      </c>
      <c r="B593" s="1" t="s">
        <v>658</v>
      </c>
      <c r="C593" s="1" t="s">
        <v>427</v>
      </c>
      <c r="D593" s="1" t="s">
        <v>1125</v>
      </c>
      <c r="E593" s="1">
        <v>4</v>
      </c>
      <c r="F593" s="1">
        <v>198</v>
      </c>
      <c r="G593" s="1">
        <v>1001</v>
      </c>
      <c r="H593" s="1">
        <v>304</v>
      </c>
      <c r="I593" s="1">
        <v>432</v>
      </c>
      <c r="J593" s="1">
        <v>567</v>
      </c>
      <c r="K593" s="1">
        <v>1001</v>
      </c>
      <c r="L593" s="1">
        <v>541</v>
      </c>
      <c r="M593" s="1">
        <v>72.8</v>
      </c>
      <c r="N593" s="1">
        <v>2.9368696000000001</v>
      </c>
      <c r="O593" s="1">
        <v>115.4443356</v>
      </c>
      <c r="P593" s="14">
        <f t="shared" si="69"/>
        <v>43.4</v>
      </c>
      <c r="Q593" s="13">
        <f>((667 - F593) / 666) * 100</f>
        <v>70.420420420420413</v>
      </c>
      <c r="R593" s="16">
        <f t="shared" si="70"/>
        <v>0</v>
      </c>
      <c r="S593" s="14">
        <f t="shared" si="71"/>
        <v>0</v>
      </c>
      <c r="T593" s="13">
        <f t="shared" si="72"/>
        <v>56.899999999999991</v>
      </c>
      <c r="U593" s="14">
        <f t="shared" si="73"/>
        <v>0</v>
      </c>
      <c r="V593" s="14">
        <f t="shared" si="74"/>
        <v>46</v>
      </c>
      <c r="W593" s="1">
        <f t="shared" si="75"/>
        <v>40.9</v>
      </c>
      <c r="X593" s="1" t="str">
        <f>IF(Table1[[#This Row],[World Rank]]&lt;=250,"Q1-Elite",IF(Table1[[#This Row],[World Rank]]&lt;=500,"Q2-Strong",IF(Table1[[#This Row],[World Rank]]&lt;=750,"Q3-Developing","Q4-Emerging")))</f>
        <v>Q3-Developing</v>
      </c>
    </row>
    <row r="594" spans="1:24" x14ac:dyDescent="0.2">
      <c r="A594" s="1">
        <v>593</v>
      </c>
      <c r="B594" s="1" t="s">
        <v>659</v>
      </c>
      <c r="C594" s="1" t="s">
        <v>145</v>
      </c>
      <c r="D594" s="1" t="s">
        <v>1125</v>
      </c>
      <c r="E594" s="1">
        <v>10</v>
      </c>
      <c r="F594" s="1">
        <v>667</v>
      </c>
      <c r="G594" s="1">
        <v>1001</v>
      </c>
      <c r="H594" s="1">
        <v>304</v>
      </c>
      <c r="I594" s="1">
        <v>508</v>
      </c>
      <c r="J594" s="1">
        <v>529</v>
      </c>
      <c r="K594" s="1">
        <v>995</v>
      </c>
      <c r="L594" s="1">
        <v>541</v>
      </c>
      <c r="M594" s="1">
        <v>72.8</v>
      </c>
      <c r="N594" s="1">
        <v>23.598322700000001</v>
      </c>
      <c r="O594" s="2" t="s">
        <v>146</v>
      </c>
      <c r="P594" s="14">
        <f t="shared" si="69"/>
        <v>47.199999999999996</v>
      </c>
      <c r="Q594" s="13">
        <v>20</v>
      </c>
      <c r="R594" s="16">
        <f t="shared" si="70"/>
        <v>0</v>
      </c>
      <c r="S594" s="14">
        <f t="shared" si="71"/>
        <v>0</v>
      </c>
      <c r="T594" s="13">
        <f t="shared" si="72"/>
        <v>49.3</v>
      </c>
      <c r="U594" s="14">
        <f t="shared" si="73"/>
        <v>0.6</v>
      </c>
      <c r="V594" s="14">
        <f t="shared" si="74"/>
        <v>46</v>
      </c>
      <c r="W594" s="1">
        <f t="shared" si="75"/>
        <v>40.799999999999997</v>
      </c>
      <c r="X594" s="1" t="str">
        <f>IF(Table1[[#This Row],[World Rank]]&lt;=250,"Q1-Elite",IF(Table1[[#This Row],[World Rank]]&lt;=500,"Q2-Strong",IF(Table1[[#This Row],[World Rank]]&lt;=750,"Q3-Developing","Q4-Emerging")))</f>
        <v>Q3-Developing</v>
      </c>
    </row>
    <row r="595" spans="1:24" x14ac:dyDescent="0.2">
      <c r="A595" s="1">
        <v>594</v>
      </c>
      <c r="B595" s="1" t="s">
        <v>660</v>
      </c>
      <c r="C595" s="1" t="s">
        <v>48</v>
      </c>
      <c r="D595" s="1" t="s">
        <v>1124</v>
      </c>
      <c r="E595" s="1">
        <v>32</v>
      </c>
      <c r="F595" s="1">
        <v>667</v>
      </c>
      <c r="G595" s="1">
        <v>1001</v>
      </c>
      <c r="H595" s="1">
        <v>284</v>
      </c>
      <c r="I595" s="1">
        <v>747</v>
      </c>
      <c r="J595" s="1">
        <v>586</v>
      </c>
      <c r="K595" s="1">
        <v>568</v>
      </c>
      <c r="L595" s="1">
        <v>541</v>
      </c>
      <c r="M595" s="1">
        <v>72.8</v>
      </c>
      <c r="N595" s="1">
        <v>46.603354000000003</v>
      </c>
      <c r="O595" s="1">
        <v>1.8883335000000001</v>
      </c>
      <c r="P595" s="14">
        <f t="shared" si="69"/>
        <v>41.5</v>
      </c>
      <c r="Q595" s="13">
        <v>20</v>
      </c>
      <c r="R595" s="16">
        <f t="shared" si="70"/>
        <v>0</v>
      </c>
      <c r="S595" s="14">
        <f t="shared" si="71"/>
        <v>6.6006600660065997</v>
      </c>
      <c r="T595" s="13">
        <f t="shared" si="72"/>
        <v>25.4</v>
      </c>
      <c r="U595" s="14">
        <f t="shared" si="73"/>
        <v>43.3</v>
      </c>
      <c r="V595" s="14">
        <f t="shared" si="74"/>
        <v>46</v>
      </c>
      <c r="W595" s="1">
        <f t="shared" si="75"/>
        <v>40.699999999999996</v>
      </c>
      <c r="X595" s="1" t="str">
        <f>IF(Table1[[#This Row],[World Rank]]&lt;=250,"Q1-Elite",IF(Table1[[#This Row],[World Rank]]&lt;=500,"Q2-Strong",IF(Table1[[#This Row],[World Rank]]&lt;=750,"Q3-Developing","Q4-Emerging")))</f>
        <v>Q3-Developing</v>
      </c>
    </row>
    <row r="596" spans="1:24" x14ac:dyDescent="0.2">
      <c r="A596" s="1">
        <v>595</v>
      </c>
      <c r="B596" s="1" t="s">
        <v>661</v>
      </c>
      <c r="C596" s="1" t="s">
        <v>164</v>
      </c>
      <c r="D596" s="1" t="s">
        <v>1124</v>
      </c>
      <c r="E596" s="1">
        <v>4</v>
      </c>
      <c r="F596" s="1">
        <v>255</v>
      </c>
      <c r="G596" s="1">
        <v>1001</v>
      </c>
      <c r="H596" s="1">
        <v>304</v>
      </c>
      <c r="I596" s="1">
        <v>509</v>
      </c>
      <c r="J596" s="1">
        <v>652</v>
      </c>
      <c r="K596" s="1">
        <v>663</v>
      </c>
      <c r="L596" s="1">
        <v>541</v>
      </c>
      <c r="M596" s="1">
        <v>72.8</v>
      </c>
      <c r="N596" s="1">
        <v>40.2338211</v>
      </c>
      <c r="O596" s="1">
        <v>-84.409672900000004</v>
      </c>
      <c r="P596" s="14">
        <f t="shared" si="69"/>
        <v>34.9</v>
      </c>
      <c r="Q596" s="13">
        <f>((667 - F596) / 666) * 100</f>
        <v>61.861861861861868</v>
      </c>
      <c r="R596" s="16">
        <f t="shared" si="70"/>
        <v>0</v>
      </c>
      <c r="S596" s="14">
        <f t="shared" si="71"/>
        <v>0</v>
      </c>
      <c r="T596" s="13">
        <f t="shared" si="72"/>
        <v>49.2</v>
      </c>
      <c r="U596" s="14">
        <f t="shared" si="73"/>
        <v>33.800000000000004</v>
      </c>
      <c r="V596" s="14">
        <f t="shared" si="74"/>
        <v>46</v>
      </c>
      <c r="W596" s="1">
        <f t="shared" si="75"/>
        <v>40.6</v>
      </c>
      <c r="X596" s="1" t="str">
        <f>IF(Table1[[#This Row],[World Rank]]&lt;=250,"Q1-Elite",IF(Table1[[#This Row],[World Rank]]&lt;=500,"Q2-Strong",IF(Table1[[#This Row],[World Rank]]&lt;=750,"Q3-Developing","Q4-Emerging")))</f>
        <v>Q3-Developing</v>
      </c>
    </row>
    <row r="597" spans="1:24" x14ac:dyDescent="0.2">
      <c r="A597" s="1">
        <v>596</v>
      </c>
      <c r="B597" s="1" t="s">
        <v>662</v>
      </c>
      <c r="C597" s="1" t="s">
        <v>591</v>
      </c>
      <c r="D597" s="1" t="s">
        <v>1125</v>
      </c>
      <c r="E597" s="1">
        <v>3</v>
      </c>
      <c r="F597" s="1">
        <v>667</v>
      </c>
      <c r="G597" s="1">
        <v>328</v>
      </c>
      <c r="H597" s="1">
        <v>304</v>
      </c>
      <c r="I597" s="1">
        <v>504</v>
      </c>
      <c r="J597" s="1">
        <v>634</v>
      </c>
      <c r="K597" s="1">
        <v>1001</v>
      </c>
      <c r="L597" s="1">
        <v>460</v>
      </c>
      <c r="M597" s="1">
        <v>72.8</v>
      </c>
      <c r="N597" s="1">
        <v>38.959759400000003</v>
      </c>
      <c r="O597" s="1">
        <v>34.924965299999997</v>
      </c>
      <c r="P597" s="14">
        <f t="shared" si="69"/>
        <v>36.700000000000003</v>
      </c>
      <c r="Q597" s="13">
        <v>20</v>
      </c>
      <c r="R597" s="16">
        <f t="shared" si="70"/>
        <v>67.300000000000011</v>
      </c>
      <c r="S597" s="14">
        <f t="shared" si="71"/>
        <v>0</v>
      </c>
      <c r="T597" s="13">
        <f t="shared" si="72"/>
        <v>49.7</v>
      </c>
      <c r="U597" s="14">
        <f t="shared" si="73"/>
        <v>0</v>
      </c>
      <c r="V597" s="14">
        <f t="shared" si="74"/>
        <v>54.1</v>
      </c>
      <c r="W597" s="1">
        <f t="shared" si="75"/>
        <v>40.5</v>
      </c>
      <c r="X597" s="1" t="str">
        <f>IF(Table1[[#This Row],[World Rank]]&lt;=250,"Q1-Elite",IF(Table1[[#This Row],[World Rank]]&lt;=500,"Q2-Strong",IF(Table1[[#This Row],[World Rank]]&lt;=750,"Q3-Developing","Q4-Emerging")))</f>
        <v>Q3-Developing</v>
      </c>
    </row>
    <row r="598" spans="1:24" x14ac:dyDescent="0.2">
      <c r="A598" s="1">
        <v>597</v>
      </c>
      <c r="B598" s="1" t="s">
        <v>663</v>
      </c>
      <c r="C598" s="1" t="s">
        <v>28</v>
      </c>
      <c r="D598" s="1" t="s">
        <v>1125</v>
      </c>
      <c r="E598" s="1">
        <v>19</v>
      </c>
      <c r="F598" s="1">
        <v>667</v>
      </c>
      <c r="G598" s="1">
        <v>218</v>
      </c>
      <c r="H598" s="1">
        <v>304</v>
      </c>
      <c r="I598" s="1">
        <v>790</v>
      </c>
      <c r="J598" s="1">
        <v>745</v>
      </c>
      <c r="K598" s="1">
        <v>372</v>
      </c>
      <c r="L598" s="1">
        <v>541</v>
      </c>
      <c r="M598" s="1">
        <v>72.8</v>
      </c>
      <c r="N598" s="1">
        <v>36.5748441</v>
      </c>
      <c r="O598" s="1">
        <v>139.23941790000001</v>
      </c>
      <c r="P598" s="14">
        <f t="shared" si="69"/>
        <v>25.6</v>
      </c>
      <c r="Q598" s="13">
        <v>20</v>
      </c>
      <c r="R598" s="16">
        <f t="shared" si="70"/>
        <v>78.3</v>
      </c>
      <c r="S598" s="14">
        <f t="shared" si="71"/>
        <v>0</v>
      </c>
      <c r="T598" s="13">
        <f t="shared" si="72"/>
        <v>21.099999999999998</v>
      </c>
      <c r="U598" s="14">
        <f t="shared" si="73"/>
        <v>62.9</v>
      </c>
      <c r="V598" s="14">
        <f t="shared" si="74"/>
        <v>46</v>
      </c>
      <c r="W598" s="1">
        <f t="shared" si="75"/>
        <v>40.400000000000006</v>
      </c>
      <c r="X598" s="1" t="str">
        <f>IF(Table1[[#This Row],[World Rank]]&lt;=250,"Q1-Elite",IF(Table1[[#This Row],[World Rank]]&lt;=500,"Q2-Strong",IF(Table1[[#This Row],[World Rank]]&lt;=750,"Q3-Developing","Q4-Emerging")))</f>
        <v>Q3-Developing</v>
      </c>
    </row>
    <row r="599" spans="1:24" x14ac:dyDescent="0.2">
      <c r="A599" s="1">
        <v>598</v>
      </c>
      <c r="B599" s="1" t="s">
        <v>664</v>
      </c>
      <c r="C599" s="1" t="s">
        <v>124</v>
      </c>
      <c r="D599" s="1" t="s">
        <v>1125</v>
      </c>
      <c r="E599" s="1">
        <v>48</v>
      </c>
      <c r="F599" s="1">
        <v>667</v>
      </c>
      <c r="G599" s="1">
        <v>1001</v>
      </c>
      <c r="H599" s="1">
        <v>304</v>
      </c>
      <c r="I599" s="1">
        <v>462</v>
      </c>
      <c r="J599" s="1">
        <v>475</v>
      </c>
      <c r="K599" s="1">
        <v>1001</v>
      </c>
      <c r="L599" s="1">
        <v>673</v>
      </c>
      <c r="M599" s="1">
        <v>72.8</v>
      </c>
      <c r="N599" s="1">
        <v>30.047992000000001</v>
      </c>
      <c r="O599" s="1">
        <v>-94.335743300000004</v>
      </c>
      <c r="P599" s="14">
        <f t="shared" si="69"/>
        <v>52.6</v>
      </c>
      <c r="Q599" s="13">
        <v>20</v>
      </c>
      <c r="R599" s="16">
        <f t="shared" si="70"/>
        <v>0</v>
      </c>
      <c r="S599" s="14">
        <f t="shared" si="71"/>
        <v>0</v>
      </c>
      <c r="T599" s="13">
        <f t="shared" si="72"/>
        <v>53.900000000000006</v>
      </c>
      <c r="U599" s="14">
        <f t="shared" si="73"/>
        <v>0</v>
      </c>
      <c r="V599" s="14">
        <f t="shared" si="74"/>
        <v>32.800000000000004</v>
      </c>
      <c r="W599" s="1">
        <f t="shared" si="75"/>
        <v>40.300000000000004</v>
      </c>
      <c r="X599" s="1" t="str">
        <f>IF(Table1[[#This Row],[World Rank]]&lt;=250,"Q1-Elite",IF(Table1[[#This Row],[World Rank]]&lt;=500,"Q2-Strong",IF(Table1[[#This Row],[World Rank]]&lt;=750,"Q3-Developing","Q4-Emerging")))</f>
        <v>Q3-Developing</v>
      </c>
    </row>
    <row r="600" spans="1:24" x14ac:dyDescent="0.2">
      <c r="A600" s="1">
        <v>599</v>
      </c>
      <c r="B600" s="1" t="s">
        <v>665</v>
      </c>
      <c r="C600" s="1" t="s">
        <v>15</v>
      </c>
      <c r="D600" s="1" t="s">
        <v>1120</v>
      </c>
      <c r="E600" s="1">
        <v>159</v>
      </c>
      <c r="F600" s="1">
        <v>667</v>
      </c>
      <c r="G600" s="1">
        <v>965</v>
      </c>
      <c r="H600" s="1">
        <v>304</v>
      </c>
      <c r="I600" s="1">
        <v>727</v>
      </c>
      <c r="J600" s="1">
        <v>613</v>
      </c>
      <c r="K600" s="1">
        <v>516</v>
      </c>
      <c r="L600" s="1">
        <v>460</v>
      </c>
      <c r="M600" s="1">
        <v>72.8</v>
      </c>
      <c r="N600" s="1">
        <v>39.783730400000003</v>
      </c>
      <c r="O600" s="1">
        <v>-100.445882</v>
      </c>
      <c r="P600" s="14">
        <f t="shared" si="69"/>
        <v>38.800000000000004</v>
      </c>
      <c r="Q600" s="13">
        <v>20</v>
      </c>
      <c r="R600" s="16">
        <f t="shared" si="70"/>
        <v>3.5999999999999996</v>
      </c>
      <c r="S600" s="14">
        <f t="shared" si="71"/>
        <v>0</v>
      </c>
      <c r="T600" s="13">
        <f t="shared" si="72"/>
        <v>27.400000000000002</v>
      </c>
      <c r="U600" s="14">
        <f t="shared" si="73"/>
        <v>48.5</v>
      </c>
      <c r="V600" s="14">
        <f t="shared" si="74"/>
        <v>54.1</v>
      </c>
      <c r="W600" s="1">
        <f t="shared" si="75"/>
        <v>40.200000000000003</v>
      </c>
      <c r="X600" s="1" t="str">
        <f>IF(Table1[[#This Row],[World Rank]]&lt;=250,"Q1-Elite",IF(Table1[[#This Row],[World Rank]]&lt;=500,"Q2-Strong",IF(Table1[[#This Row],[World Rank]]&lt;=750,"Q3-Developing","Q4-Emerging")))</f>
        <v>Q3-Developing</v>
      </c>
    </row>
    <row r="601" spans="1:24" x14ac:dyDescent="0.2">
      <c r="A601" s="1">
        <v>600</v>
      </c>
      <c r="B601" s="1" t="s">
        <v>666</v>
      </c>
      <c r="C601" s="1" t="s">
        <v>68</v>
      </c>
      <c r="D601" s="1" t="s">
        <v>1124</v>
      </c>
      <c r="E601" s="1">
        <v>45</v>
      </c>
      <c r="F601" s="1">
        <v>667</v>
      </c>
      <c r="G601" s="1">
        <v>1001</v>
      </c>
      <c r="H601" s="1">
        <v>304</v>
      </c>
      <c r="I601" s="1">
        <v>640</v>
      </c>
      <c r="J601" s="1">
        <v>550</v>
      </c>
      <c r="K601" s="1">
        <v>625</v>
      </c>
      <c r="L601" s="1">
        <v>541</v>
      </c>
      <c r="M601" s="1">
        <v>72.8</v>
      </c>
      <c r="N601" s="1">
        <v>40.420347900000003</v>
      </c>
      <c r="O601" s="1">
        <v>-79.116698299999996</v>
      </c>
      <c r="P601" s="14">
        <f t="shared" si="69"/>
        <v>45.1</v>
      </c>
      <c r="Q601" s="13">
        <v>20</v>
      </c>
      <c r="R601" s="16">
        <f t="shared" si="70"/>
        <v>0</v>
      </c>
      <c r="S601" s="14">
        <f t="shared" si="71"/>
        <v>0</v>
      </c>
      <c r="T601" s="13">
        <f t="shared" si="72"/>
        <v>36.1</v>
      </c>
      <c r="U601" s="14">
        <f t="shared" si="73"/>
        <v>37.6</v>
      </c>
      <c r="V601" s="14">
        <f t="shared" si="74"/>
        <v>46</v>
      </c>
      <c r="W601" s="1">
        <f t="shared" si="75"/>
        <v>40.1</v>
      </c>
      <c r="X601" s="1" t="str">
        <f>IF(Table1[[#This Row],[World Rank]]&lt;=250,"Q1-Elite",IF(Table1[[#This Row],[World Rank]]&lt;=500,"Q2-Strong",IF(Table1[[#This Row],[World Rank]]&lt;=750,"Q3-Developing","Q4-Emerging")))</f>
        <v>Q3-Developing</v>
      </c>
    </row>
    <row r="602" spans="1:24" x14ac:dyDescent="0.2">
      <c r="A602" s="1">
        <v>601</v>
      </c>
      <c r="B602" s="1" t="s">
        <v>667</v>
      </c>
      <c r="C602" s="1" t="s">
        <v>28</v>
      </c>
      <c r="D602" s="1" t="s">
        <v>1125</v>
      </c>
      <c r="E602" s="1">
        <v>20</v>
      </c>
      <c r="F602" s="1">
        <v>667</v>
      </c>
      <c r="G602" s="1">
        <v>1001</v>
      </c>
      <c r="H602" s="1">
        <v>157</v>
      </c>
      <c r="I602" s="1">
        <v>759</v>
      </c>
      <c r="J602" s="1">
        <v>810</v>
      </c>
      <c r="K602" s="1">
        <v>750</v>
      </c>
      <c r="L602" s="1">
        <v>898</v>
      </c>
      <c r="M602" s="1">
        <v>72.7</v>
      </c>
      <c r="N602" s="1">
        <v>36.5748441</v>
      </c>
      <c r="O602" s="1">
        <v>139.23941790000001</v>
      </c>
      <c r="P602" s="14">
        <f t="shared" si="69"/>
        <v>19.100000000000001</v>
      </c>
      <c r="Q602" s="13">
        <v>20</v>
      </c>
      <c r="R602" s="16">
        <f t="shared" si="70"/>
        <v>0</v>
      </c>
      <c r="S602" s="14">
        <f t="shared" si="71"/>
        <v>48.514851485148512</v>
      </c>
      <c r="T602" s="13">
        <f t="shared" si="72"/>
        <v>24.2</v>
      </c>
      <c r="U602" s="14">
        <f t="shared" si="73"/>
        <v>25.1</v>
      </c>
      <c r="V602" s="14">
        <f t="shared" si="74"/>
        <v>10.299999999999999</v>
      </c>
      <c r="W602" s="1">
        <f t="shared" si="75"/>
        <v>40</v>
      </c>
      <c r="X602" s="1" t="str">
        <f>IF(Table1[[#This Row],[World Rank]]&lt;=250,"Q1-Elite",IF(Table1[[#This Row],[World Rank]]&lt;=500,"Q2-Strong",IF(Table1[[#This Row],[World Rank]]&lt;=750,"Q3-Developing","Q4-Emerging")))</f>
        <v>Q3-Developing</v>
      </c>
    </row>
    <row r="603" spans="1:24" x14ac:dyDescent="0.2">
      <c r="A603" s="1">
        <v>602</v>
      </c>
      <c r="B603" s="1" t="s">
        <v>668</v>
      </c>
      <c r="C603" s="1" t="s">
        <v>15</v>
      </c>
      <c r="D603" s="1" t="s">
        <v>1120</v>
      </c>
      <c r="E603" s="1">
        <v>160</v>
      </c>
      <c r="F603" s="1">
        <v>644</v>
      </c>
      <c r="G603" s="1">
        <v>1001</v>
      </c>
      <c r="H603" s="1">
        <v>304</v>
      </c>
      <c r="I603" s="1">
        <v>982</v>
      </c>
      <c r="J603" s="1">
        <v>761</v>
      </c>
      <c r="K603" s="1">
        <v>361</v>
      </c>
      <c r="L603" s="1">
        <v>327</v>
      </c>
      <c r="M603" s="1">
        <v>72.7</v>
      </c>
      <c r="N603" s="1">
        <v>39.783730400000003</v>
      </c>
      <c r="O603" s="1">
        <v>-100.445882</v>
      </c>
      <c r="P603" s="14">
        <f t="shared" si="69"/>
        <v>24</v>
      </c>
      <c r="Q603" s="13">
        <v>20</v>
      </c>
      <c r="R603" s="16">
        <f t="shared" si="70"/>
        <v>0</v>
      </c>
      <c r="S603" s="14">
        <f t="shared" si="71"/>
        <v>0</v>
      </c>
      <c r="T603" s="13">
        <f t="shared" si="72"/>
        <v>1.9</v>
      </c>
      <c r="U603" s="14">
        <f t="shared" si="73"/>
        <v>64</v>
      </c>
      <c r="V603" s="14">
        <f t="shared" si="74"/>
        <v>67.400000000000006</v>
      </c>
      <c r="W603" s="1">
        <f t="shared" si="75"/>
        <v>39.900000000000006</v>
      </c>
      <c r="X603" s="1" t="str">
        <f>IF(Table1[[#This Row],[World Rank]]&lt;=250,"Q1-Elite",IF(Table1[[#This Row],[World Rank]]&lt;=500,"Q2-Strong",IF(Table1[[#This Row],[World Rank]]&lt;=750,"Q3-Developing","Q4-Emerging")))</f>
        <v>Q3-Developing</v>
      </c>
    </row>
    <row r="604" spans="1:24" x14ac:dyDescent="0.2">
      <c r="A604" s="1">
        <v>603</v>
      </c>
      <c r="B604" s="1" t="s">
        <v>669</v>
      </c>
      <c r="C604" s="1" t="s">
        <v>126</v>
      </c>
      <c r="D604" s="1" t="s">
        <v>1124</v>
      </c>
      <c r="E604" s="1">
        <v>7</v>
      </c>
      <c r="F604" s="1">
        <v>667</v>
      </c>
      <c r="G604" s="1">
        <v>1001</v>
      </c>
      <c r="H604" s="1">
        <v>304</v>
      </c>
      <c r="I604" s="1">
        <v>593</v>
      </c>
      <c r="J604" s="1">
        <v>510</v>
      </c>
      <c r="K604" s="1">
        <v>518</v>
      </c>
      <c r="L604" s="1">
        <v>898</v>
      </c>
      <c r="M604" s="1">
        <v>72.7</v>
      </c>
      <c r="N604" s="1">
        <v>63.246777700000003</v>
      </c>
      <c r="O604" s="1">
        <v>25.920916399999999</v>
      </c>
      <c r="P604" s="14">
        <f t="shared" si="69"/>
        <v>49.1</v>
      </c>
      <c r="Q604" s="13">
        <v>20</v>
      </c>
      <c r="R604" s="16">
        <f t="shared" si="70"/>
        <v>0</v>
      </c>
      <c r="S604" s="14">
        <f t="shared" si="71"/>
        <v>0</v>
      </c>
      <c r="T604" s="13">
        <f t="shared" si="72"/>
        <v>40.799999999999997</v>
      </c>
      <c r="U604" s="14">
        <f t="shared" si="73"/>
        <v>48.3</v>
      </c>
      <c r="V604" s="14">
        <f t="shared" si="74"/>
        <v>10.299999999999999</v>
      </c>
      <c r="W604" s="1">
        <f t="shared" si="75"/>
        <v>39.800000000000004</v>
      </c>
      <c r="X604" s="1" t="str">
        <f>IF(Table1[[#This Row],[World Rank]]&lt;=250,"Q1-Elite",IF(Table1[[#This Row],[World Rank]]&lt;=500,"Q2-Strong",IF(Table1[[#This Row],[World Rank]]&lt;=750,"Q3-Developing","Q4-Emerging")))</f>
        <v>Q3-Developing</v>
      </c>
    </row>
    <row r="605" spans="1:24" x14ac:dyDescent="0.2">
      <c r="A605" s="1">
        <v>604</v>
      </c>
      <c r="B605" s="1" t="s">
        <v>670</v>
      </c>
      <c r="C605" s="1" t="s">
        <v>15</v>
      </c>
      <c r="D605" s="1" t="s">
        <v>1120</v>
      </c>
      <c r="E605" s="1">
        <v>161</v>
      </c>
      <c r="F605" s="1">
        <v>667</v>
      </c>
      <c r="G605" s="1">
        <v>1001</v>
      </c>
      <c r="H605" s="1">
        <v>304</v>
      </c>
      <c r="I605" s="1">
        <v>732</v>
      </c>
      <c r="J605" s="1">
        <v>569</v>
      </c>
      <c r="K605" s="1">
        <v>589</v>
      </c>
      <c r="L605" s="1">
        <v>460</v>
      </c>
      <c r="M605" s="1">
        <v>72.7</v>
      </c>
      <c r="N605" s="1">
        <v>39.783730400000003</v>
      </c>
      <c r="O605" s="1">
        <v>-100.445882</v>
      </c>
      <c r="P605" s="14">
        <f t="shared" si="69"/>
        <v>43.2</v>
      </c>
      <c r="Q605" s="13">
        <v>20</v>
      </c>
      <c r="R605" s="16">
        <f t="shared" si="70"/>
        <v>0</v>
      </c>
      <c r="S605" s="14">
        <f t="shared" si="71"/>
        <v>0</v>
      </c>
      <c r="T605" s="13">
        <f t="shared" si="72"/>
        <v>26.900000000000002</v>
      </c>
      <c r="U605" s="14">
        <f t="shared" si="73"/>
        <v>41.199999999999996</v>
      </c>
      <c r="V605" s="14">
        <f t="shared" si="74"/>
        <v>54.1</v>
      </c>
      <c r="W605" s="1">
        <f t="shared" si="75"/>
        <v>39.700000000000003</v>
      </c>
      <c r="X605" s="1" t="str">
        <f>IF(Table1[[#This Row],[World Rank]]&lt;=250,"Q1-Elite",IF(Table1[[#This Row],[World Rank]]&lt;=500,"Q2-Strong",IF(Table1[[#This Row],[World Rank]]&lt;=750,"Q3-Developing","Q4-Emerging")))</f>
        <v>Q3-Developing</v>
      </c>
    </row>
    <row r="606" spans="1:24" x14ac:dyDescent="0.2">
      <c r="A606" s="1">
        <v>605</v>
      </c>
      <c r="B606" s="1" t="s">
        <v>671</v>
      </c>
      <c r="C606" s="1" t="s">
        <v>354</v>
      </c>
      <c r="D606" s="1" t="s">
        <v>1124</v>
      </c>
      <c r="E606" s="1">
        <v>3</v>
      </c>
      <c r="F606" s="1">
        <v>667</v>
      </c>
      <c r="G606" s="1">
        <v>1001</v>
      </c>
      <c r="H606" s="1">
        <v>304</v>
      </c>
      <c r="I606" s="1">
        <v>698</v>
      </c>
      <c r="J606" s="1">
        <v>576</v>
      </c>
      <c r="K606" s="1">
        <v>530</v>
      </c>
      <c r="L606" s="1">
        <v>541</v>
      </c>
      <c r="M606" s="1">
        <v>72.7</v>
      </c>
      <c r="N606" s="1">
        <v>43.209783799999997</v>
      </c>
      <c r="O606" s="1">
        <v>-77.693060200000005</v>
      </c>
      <c r="P606" s="14">
        <f t="shared" si="69"/>
        <v>42.5</v>
      </c>
      <c r="Q606" s="13">
        <v>20</v>
      </c>
      <c r="R606" s="16">
        <f t="shared" si="70"/>
        <v>0</v>
      </c>
      <c r="S606" s="14">
        <f t="shared" si="71"/>
        <v>0</v>
      </c>
      <c r="T606" s="13">
        <f t="shared" si="72"/>
        <v>30.3</v>
      </c>
      <c r="U606" s="14">
        <f t="shared" si="73"/>
        <v>47.099999999999994</v>
      </c>
      <c r="V606" s="14">
        <f t="shared" si="74"/>
        <v>46</v>
      </c>
      <c r="W606" s="1">
        <f t="shared" si="75"/>
        <v>39.6</v>
      </c>
      <c r="X606" s="1" t="str">
        <f>IF(Table1[[#This Row],[World Rank]]&lt;=250,"Q1-Elite",IF(Table1[[#This Row],[World Rank]]&lt;=500,"Q2-Strong",IF(Table1[[#This Row],[World Rank]]&lt;=750,"Q3-Developing","Q4-Emerging")))</f>
        <v>Q3-Developing</v>
      </c>
    </row>
    <row r="607" spans="1:24" x14ac:dyDescent="0.2">
      <c r="A607" s="1">
        <v>606</v>
      </c>
      <c r="B607" s="1" t="s">
        <v>672</v>
      </c>
      <c r="C607" s="1" t="s">
        <v>68</v>
      </c>
      <c r="D607" s="1" t="s">
        <v>1124</v>
      </c>
      <c r="E607" s="1">
        <v>46</v>
      </c>
      <c r="F607" s="1">
        <v>667</v>
      </c>
      <c r="G607" s="1">
        <v>1001</v>
      </c>
      <c r="H607" s="1">
        <v>304</v>
      </c>
      <c r="I607" s="1">
        <v>884</v>
      </c>
      <c r="J607" s="1">
        <v>659</v>
      </c>
      <c r="K607" s="1">
        <v>335</v>
      </c>
      <c r="L607" s="1">
        <v>541</v>
      </c>
      <c r="M607" s="1">
        <v>72.7</v>
      </c>
      <c r="N607" s="1">
        <v>40.420347900000003</v>
      </c>
      <c r="O607" s="1">
        <v>-79.116698299999996</v>
      </c>
      <c r="P607" s="14">
        <f t="shared" si="69"/>
        <v>34.200000000000003</v>
      </c>
      <c r="Q607" s="13">
        <v>20</v>
      </c>
      <c r="R607" s="16">
        <f t="shared" si="70"/>
        <v>0</v>
      </c>
      <c r="S607" s="14">
        <f t="shared" si="71"/>
        <v>0</v>
      </c>
      <c r="T607" s="13">
        <f t="shared" si="72"/>
        <v>11.700000000000001</v>
      </c>
      <c r="U607" s="14">
        <f t="shared" si="73"/>
        <v>66.600000000000009</v>
      </c>
      <c r="V607" s="14">
        <f t="shared" si="74"/>
        <v>46</v>
      </c>
      <c r="W607" s="1">
        <f t="shared" si="75"/>
        <v>39.5</v>
      </c>
      <c r="X607" s="1" t="str">
        <f>IF(Table1[[#This Row],[World Rank]]&lt;=250,"Q1-Elite",IF(Table1[[#This Row],[World Rank]]&lt;=500,"Q2-Strong",IF(Table1[[#This Row],[World Rank]]&lt;=750,"Q3-Developing","Q4-Emerging")))</f>
        <v>Q3-Developing</v>
      </c>
    </row>
    <row r="608" spans="1:24" x14ac:dyDescent="0.2">
      <c r="A608" s="1">
        <v>607</v>
      </c>
      <c r="B608" s="1" t="s">
        <v>673</v>
      </c>
      <c r="C608" s="1" t="s">
        <v>85</v>
      </c>
      <c r="D608" s="1" t="s">
        <v>1125</v>
      </c>
      <c r="E608" s="1">
        <v>18</v>
      </c>
      <c r="F608" s="1">
        <v>667</v>
      </c>
      <c r="G608" s="1">
        <v>1001</v>
      </c>
      <c r="H608" s="1">
        <v>304</v>
      </c>
      <c r="I608" s="1">
        <v>403</v>
      </c>
      <c r="J608" s="1">
        <v>494</v>
      </c>
      <c r="K608" s="1">
        <v>712</v>
      </c>
      <c r="L608" s="1">
        <v>1001</v>
      </c>
      <c r="M608" s="1">
        <v>72.7</v>
      </c>
      <c r="N608" s="1">
        <v>36.638392000000003</v>
      </c>
      <c r="O608" s="1">
        <v>127.69611879999999</v>
      </c>
      <c r="P608" s="14">
        <f t="shared" si="69"/>
        <v>50.7</v>
      </c>
      <c r="Q608" s="13">
        <v>20</v>
      </c>
      <c r="R608" s="16">
        <f t="shared" si="70"/>
        <v>0</v>
      </c>
      <c r="S608" s="14">
        <f t="shared" si="71"/>
        <v>0</v>
      </c>
      <c r="T608" s="13">
        <f t="shared" si="72"/>
        <v>59.8</v>
      </c>
      <c r="U608" s="14">
        <f t="shared" si="73"/>
        <v>28.9</v>
      </c>
      <c r="V608" s="14">
        <f t="shared" si="74"/>
        <v>0</v>
      </c>
      <c r="W608" s="1">
        <f t="shared" si="75"/>
        <v>39.4</v>
      </c>
      <c r="X608" s="1" t="str">
        <f>IF(Table1[[#This Row],[World Rank]]&lt;=250,"Q1-Elite",IF(Table1[[#This Row],[World Rank]]&lt;=500,"Q2-Strong",IF(Table1[[#This Row],[World Rank]]&lt;=750,"Q3-Developing","Q4-Emerging")))</f>
        <v>Q3-Developing</v>
      </c>
    </row>
    <row r="609" spans="1:24" x14ac:dyDescent="0.2">
      <c r="A609" s="1">
        <v>608</v>
      </c>
      <c r="B609" s="1" t="s">
        <v>674</v>
      </c>
      <c r="C609" s="1" t="s">
        <v>85</v>
      </c>
      <c r="D609" s="1" t="s">
        <v>1125</v>
      </c>
      <c r="E609" s="1">
        <v>19</v>
      </c>
      <c r="F609" s="1">
        <v>667</v>
      </c>
      <c r="G609" s="1">
        <v>1001</v>
      </c>
      <c r="H609" s="1">
        <v>304</v>
      </c>
      <c r="I609" s="1">
        <v>441</v>
      </c>
      <c r="J609" s="1">
        <v>545</v>
      </c>
      <c r="K609" s="1">
        <v>1001</v>
      </c>
      <c r="L609" s="1">
        <v>673</v>
      </c>
      <c r="M609" s="1">
        <v>72.7</v>
      </c>
      <c r="N609" s="1">
        <v>36.638392000000003</v>
      </c>
      <c r="O609" s="1">
        <v>127.69611879999999</v>
      </c>
      <c r="P609" s="14">
        <f t="shared" si="69"/>
        <v>45.6</v>
      </c>
      <c r="Q609" s="13">
        <v>20</v>
      </c>
      <c r="R609" s="16">
        <f t="shared" si="70"/>
        <v>0</v>
      </c>
      <c r="S609" s="14">
        <f t="shared" si="71"/>
        <v>0</v>
      </c>
      <c r="T609" s="13">
        <f t="shared" si="72"/>
        <v>56.000000000000007</v>
      </c>
      <c r="U609" s="14">
        <f t="shared" si="73"/>
        <v>0</v>
      </c>
      <c r="V609" s="14">
        <f t="shared" si="74"/>
        <v>32.800000000000004</v>
      </c>
      <c r="W609" s="1">
        <f t="shared" si="75"/>
        <v>39.300000000000004</v>
      </c>
      <c r="X609" s="1" t="str">
        <f>IF(Table1[[#This Row],[World Rank]]&lt;=250,"Q1-Elite",IF(Table1[[#This Row],[World Rank]]&lt;=500,"Q2-Strong",IF(Table1[[#This Row],[World Rank]]&lt;=750,"Q3-Developing","Q4-Emerging")))</f>
        <v>Q3-Developing</v>
      </c>
    </row>
    <row r="610" spans="1:24" x14ac:dyDescent="0.2">
      <c r="A610" s="1">
        <v>609</v>
      </c>
      <c r="B610" s="1" t="s">
        <v>675</v>
      </c>
      <c r="C610" s="1" t="s">
        <v>85</v>
      </c>
      <c r="D610" s="1" t="s">
        <v>1125</v>
      </c>
      <c r="E610" s="1">
        <v>20</v>
      </c>
      <c r="F610" s="1">
        <v>667</v>
      </c>
      <c r="G610" s="1">
        <v>670</v>
      </c>
      <c r="H610" s="1">
        <v>304</v>
      </c>
      <c r="I610" s="1">
        <v>434</v>
      </c>
      <c r="J610" s="1">
        <v>592</v>
      </c>
      <c r="K610" s="1">
        <v>1001</v>
      </c>
      <c r="L610" s="1">
        <v>673</v>
      </c>
      <c r="M610" s="1">
        <v>72.7</v>
      </c>
      <c r="N610" s="1">
        <v>36.638392000000003</v>
      </c>
      <c r="O610" s="1">
        <v>127.69611879999999</v>
      </c>
      <c r="P610" s="14">
        <f t="shared" si="69"/>
        <v>40.9</v>
      </c>
      <c r="Q610" s="13">
        <v>20</v>
      </c>
      <c r="R610" s="16">
        <f t="shared" si="70"/>
        <v>33.1</v>
      </c>
      <c r="S610" s="14">
        <f t="shared" si="71"/>
        <v>0</v>
      </c>
      <c r="T610" s="13">
        <f t="shared" si="72"/>
        <v>56.699999999999996</v>
      </c>
      <c r="U610" s="14">
        <f t="shared" si="73"/>
        <v>0</v>
      </c>
      <c r="V610" s="14">
        <f t="shared" si="74"/>
        <v>32.800000000000004</v>
      </c>
      <c r="W610" s="1">
        <f t="shared" si="75"/>
        <v>39.200000000000003</v>
      </c>
      <c r="X610" s="1" t="str">
        <f>IF(Table1[[#This Row],[World Rank]]&lt;=250,"Q1-Elite",IF(Table1[[#This Row],[World Rank]]&lt;=500,"Q2-Strong",IF(Table1[[#This Row],[World Rank]]&lt;=750,"Q3-Developing","Q4-Emerging")))</f>
        <v>Q3-Developing</v>
      </c>
    </row>
    <row r="611" spans="1:24" x14ac:dyDescent="0.2">
      <c r="A611" s="1">
        <v>610</v>
      </c>
      <c r="B611" s="1" t="s">
        <v>676</v>
      </c>
      <c r="C611" s="1" t="s">
        <v>244</v>
      </c>
      <c r="D611" s="1" t="s">
        <v>1124</v>
      </c>
      <c r="E611" s="1">
        <v>3</v>
      </c>
      <c r="F611" s="1">
        <v>667</v>
      </c>
      <c r="G611" s="1">
        <v>1001</v>
      </c>
      <c r="H611" s="1">
        <v>304</v>
      </c>
      <c r="I611" s="1">
        <v>690</v>
      </c>
      <c r="J611" s="1">
        <v>713</v>
      </c>
      <c r="K611" s="1">
        <v>563</v>
      </c>
      <c r="L611" s="1">
        <v>405</v>
      </c>
      <c r="M611" s="1">
        <v>72.7</v>
      </c>
      <c r="N611" s="1">
        <v>49.743904700000002</v>
      </c>
      <c r="O611" s="1">
        <v>15.338106099999999</v>
      </c>
      <c r="P611" s="14">
        <f t="shared" si="69"/>
        <v>28.799999999999997</v>
      </c>
      <c r="Q611" s="13">
        <v>20</v>
      </c>
      <c r="R611" s="16">
        <f t="shared" si="70"/>
        <v>0</v>
      </c>
      <c r="S611" s="14">
        <f t="shared" si="71"/>
        <v>0</v>
      </c>
      <c r="T611" s="13">
        <f t="shared" si="72"/>
        <v>31.1</v>
      </c>
      <c r="U611" s="14">
        <f t="shared" si="73"/>
        <v>43.8</v>
      </c>
      <c r="V611" s="14">
        <f t="shared" si="74"/>
        <v>59.599999999999994</v>
      </c>
      <c r="W611" s="1">
        <f t="shared" si="75"/>
        <v>39.1</v>
      </c>
      <c r="X611" s="1" t="str">
        <f>IF(Table1[[#This Row],[World Rank]]&lt;=250,"Q1-Elite",IF(Table1[[#This Row],[World Rank]]&lt;=500,"Q2-Strong",IF(Table1[[#This Row],[World Rank]]&lt;=750,"Q3-Developing","Q4-Emerging")))</f>
        <v>Q3-Developing</v>
      </c>
    </row>
    <row r="612" spans="1:24" x14ac:dyDescent="0.2">
      <c r="A612" s="1">
        <v>611</v>
      </c>
      <c r="B612" s="1" t="s">
        <v>677</v>
      </c>
      <c r="C612" s="1" t="s">
        <v>93</v>
      </c>
      <c r="D612" s="1" t="s">
        <v>1124</v>
      </c>
      <c r="E612" s="1">
        <v>28</v>
      </c>
      <c r="F612" s="1">
        <v>667</v>
      </c>
      <c r="G612" s="1">
        <v>1001</v>
      </c>
      <c r="H612" s="1">
        <v>304</v>
      </c>
      <c r="I612" s="1">
        <v>610</v>
      </c>
      <c r="J612" s="1">
        <v>557</v>
      </c>
      <c r="K612" s="1">
        <v>737</v>
      </c>
      <c r="L612" s="1">
        <v>541</v>
      </c>
      <c r="M612" s="1">
        <v>72.7</v>
      </c>
      <c r="N612" s="1">
        <v>42.638426099999997</v>
      </c>
      <c r="O612" s="1">
        <v>12.674296999999999</v>
      </c>
      <c r="P612" s="14">
        <f t="shared" si="69"/>
        <v>44.4</v>
      </c>
      <c r="Q612" s="13">
        <v>20</v>
      </c>
      <c r="R612" s="16">
        <f t="shared" si="70"/>
        <v>0</v>
      </c>
      <c r="S612" s="14">
        <f t="shared" si="71"/>
        <v>0</v>
      </c>
      <c r="T612" s="13">
        <f t="shared" si="72"/>
        <v>39.1</v>
      </c>
      <c r="U612" s="14">
        <f t="shared" si="73"/>
        <v>26.400000000000002</v>
      </c>
      <c r="V612" s="14">
        <f t="shared" si="74"/>
        <v>46</v>
      </c>
      <c r="W612" s="1">
        <f t="shared" si="75"/>
        <v>39</v>
      </c>
      <c r="X612" s="1" t="str">
        <f>IF(Table1[[#This Row],[World Rank]]&lt;=250,"Q1-Elite",IF(Table1[[#This Row],[World Rank]]&lt;=500,"Q2-Strong",IF(Table1[[#This Row],[World Rank]]&lt;=750,"Q3-Developing","Q4-Emerging")))</f>
        <v>Q3-Developing</v>
      </c>
    </row>
    <row r="613" spans="1:24" x14ac:dyDescent="0.2">
      <c r="A613" s="1">
        <v>612</v>
      </c>
      <c r="B613" s="1" t="s">
        <v>678</v>
      </c>
      <c r="C613" s="1" t="s">
        <v>19</v>
      </c>
      <c r="D613" s="1" t="s">
        <v>1124</v>
      </c>
      <c r="E613" s="1">
        <v>44</v>
      </c>
      <c r="F613" s="1">
        <v>667</v>
      </c>
      <c r="G613" s="1">
        <v>1001</v>
      </c>
      <c r="H613" s="1">
        <v>304</v>
      </c>
      <c r="I613" s="1">
        <v>520</v>
      </c>
      <c r="J613" s="1">
        <v>562</v>
      </c>
      <c r="K613" s="1">
        <v>1001</v>
      </c>
      <c r="L613" s="1">
        <v>541</v>
      </c>
      <c r="M613" s="1">
        <v>72.599999999999994</v>
      </c>
      <c r="N613" s="1">
        <v>54.702354499999998</v>
      </c>
      <c r="O613" s="1">
        <v>-3.2765753000000002</v>
      </c>
      <c r="P613" s="14">
        <f t="shared" si="69"/>
        <v>43.9</v>
      </c>
      <c r="Q613" s="13">
        <v>20</v>
      </c>
      <c r="R613" s="16">
        <f t="shared" si="70"/>
        <v>0</v>
      </c>
      <c r="S613" s="14">
        <f t="shared" si="71"/>
        <v>0</v>
      </c>
      <c r="T613" s="13">
        <f t="shared" si="72"/>
        <v>48.1</v>
      </c>
      <c r="U613" s="14">
        <f t="shared" si="73"/>
        <v>0</v>
      </c>
      <c r="V613" s="14">
        <f t="shared" si="74"/>
        <v>46</v>
      </c>
      <c r="W613" s="1">
        <f t="shared" si="75"/>
        <v>38.9</v>
      </c>
      <c r="X613" s="1" t="str">
        <f>IF(Table1[[#This Row],[World Rank]]&lt;=250,"Q1-Elite",IF(Table1[[#This Row],[World Rank]]&lt;=500,"Q2-Strong",IF(Table1[[#This Row],[World Rank]]&lt;=750,"Q3-Developing","Q4-Emerging")))</f>
        <v>Q3-Developing</v>
      </c>
    </row>
    <row r="614" spans="1:24" x14ac:dyDescent="0.2">
      <c r="A614" s="1">
        <v>613</v>
      </c>
      <c r="B614" s="1" t="s">
        <v>679</v>
      </c>
      <c r="C614" s="1" t="s">
        <v>212</v>
      </c>
      <c r="D614" s="1" t="s">
        <v>1124</v>
      </c>
      <c r="E614" s="1">
        <v>6</v>
      </c>
      <c r="F614" s="1">
        <v>667</v>
      </c>
      <c r="G614" s="1">
        <v>1001</v>
      </c>
      <c r="H614" s="1">
        <v>304</v>
      </c>
      <c r="I614" s="1">
        <v>671</v>
      </c>
      <c r="J614" s="1">
        <v>530</v>
      </c>
      <c r="K614" s="1">
        <v>446</v>
      </c>
      <c r="L614" s="1">
        <v>898</v>
      </c>
      <c r="M614" s="1">
        <v>72.599999999999994</v>
      </c>
      <c r="N614" s="1">
        <v>47.593969999999999</v>
      </c>
      <c r="O614" s="1">
        <v>14.124560000000001</v>
      </c>
      <c r="P614" s="14">
        <f t="shared" si="69"/>
        <v>47.099999999999994</v>
      </c>
      <c r="Q614" s="13">
        <v>20</v>
      </c>
      <c r="R614" s="16">
        <f t="shared" si="70"/>
        <v>0</v>
      </c>
      <c r="S614" s="14">
        <f t="shared" si="71"/>
        <v>0</v>
      </c>
      <c r="T614" s="13">
        <f t="shared" si="72"/>
        <v>33</v>
      </c>
      <c r="U614" s="14">
        <f t="shared" si="73"/>
        <v>55.500000000000007</v>
      </c>
      <c r="V614" s="14">
        <f t="shared" si="74"/>
        <v>10.299999999999999</v>
      </c>
      <c r="W614" s="1">
        <f t="shared" si="75"/>
        <v>38.800000000000004</v>
      </c>
      <c r="X614" s="1" t="str">
        <f>IF(Table1[[#This Row],[World Rank]]&lt;=250,"Q1-Elite",IF(Table1[[#This Row],[World Rank]]&lt;=500,"Q2-Strong",IF(Table1[[#This Row],[World Rank]]&lt;=750,"Q3-Developing","Q4-Emerging")))</f>
        <v>Q3-Developing</v>
      </c>
    </row>
    <row r="615" spans="1:24" x14ac:dyDescent="0.2">
      <c r="A615" s="1">
        <v>614</v>
      </c>
      <c r="B615" s="1" t="s">
        <v>680</v>
      </c>
      <c r="C615" s="1" t="s">
        <v>93</v>
      </c>
      <c r="D615" s="1" t="s">
        <v>1124</v>
      </c>
      <c r="E615" s="1">
        <v>29</v>
      </c>
      <c r="F615" s="1">
        <v>667</v>
      </c>
      <c r="G615" s="1">
        <v>816</v>
      </c>
      <c r="H615" s="1">
        <v>304</v>
      </c>
      <c r="I615" s="1">
        <v>484</v>
      </c>
      <c r="J615" s="1">
        <v>493</v>
      </c>
      <c r="K615" s="1">
        <v>919</v>
      </c>
      <c r="L615" s="1">
        <v>898</v>
      </c>
      <c r="M615" s="1">
        <v>72.599999999999994</v>
      </c>
      <c r="N615" s="1">
        <v>42.638426099999997</v>
      </c>
      <c r="O615" s="1">
        <v>12.674296999999999</v>
      </c>
      <c r="P615" s="14">
        <f t="shared" si="69"/>
        <v>50.8</v>
      </c>
      <c r="Q615" s="13">
        <v>20</v>
      </c>
      <c r="R615" s="16">
        <f t="shared" si="70"/>
        <v>18.5</v>
      </c>
      <c r="S615" s="14">
        <f t="shared" si="71"/>
        <v>0</v>
      </c>
      <c r="T615" s="13">
        <f t="shared" si="72"/>
        <v>51.7</v>
      </c>
      <c r="U615" s="14">
        <f t="shared" si="73"/>
        <v>8.2000000000000011</v>
      </c>
      <c r="V615" s="14">
        <f t="shared" si="74"/>
        <v>10.299999999999999</v>
      </c>
      <c r="W615" s="1">
        <f t="shared" si="75"/>
        <v>38.700000000000003</v>
      </c>
      <c r="X615" s="1" t="str">
        <f>IF(Table1[[#This Row],[World Rank]]&lt;=250,"Q1-Elite",IF(Table1[[#This Row],[World Rank]]&lt;=500,"Q2-Strong",IF(Table1[[#This Row],[World Rank]]&lt;=750,"Q3-Developing","Q4-Emerging")))</f>
        <v>Q3-Developing</v>
      </c>
    </row>
    <row r="616" spans="1:24" x14ac:dyDescent="0.2">
      <c r="A616" s="1">
        <v>615</v>
      </c>
      <c r="B616" s="1" t="s">
        <v>681</v>
      </c>
      <c r="C616" s="1" t="s">
        <v>478</v>
      </c>
      <c r="D616" s="1" t="s">
        <v>1125</v>
      </c>
      <c r="E616" s="1">
        <v>3</v>
      </c>
      <c r="F616" s="1">
        <v>667</v>
      </c>
      <c r="G616" s="1">
        <v>809</v>
      </c>
      <c r="H616" s="1">
        <v>304</v>
      </c>
      <c r="I616" s="1">
        <v>531</v>
      </c>
      <c r="J616" s="1">
        <v>516</v>
      </c>
      <c r="K616" s="1">
        <v>1001</v>
      </c>
      <c r="L616" s="1">
        <v>673</v>
      </c>
      <c r="M616" s="1">
        <v>72.599999999999994</v>
      </c>
      <c r="N616" s="1">
        <v>22.351114800000001</v>
      </c>
      <c r="O616" s="1">
        <v>78.667742799999999</v>
      </c>
      <c r="P616" s="14">
        <f t="shared" si="69"/>
        <v>48.5</v>
      </c>
      <c r="Q616" s="13">
        <v>20</v>
      </c>
      <c r="R616" s="16">
        <f t="shared" si="70"/>
        <v>19.2</v>
      </c>
      <c r="S616" s="14">
        <f t="shared" si="71"/>
        <v>0</v>
      </c>
      <c r="T616" s="13">
        <f t="shared" si="72"/>
        <v>47</v>
      </c>
      <c r="U616" s="14">
        <f t="shared" si="73"/>
        <v>0</v>
      </c>
      <c r="V616" s="14">
        <f t="shared" si="74"/>
        <v>32.800000000000004</v>
      </c>
      <c r="W616" s="1">
        <f t="shared" si="75"/>
        <v>38.6</v>
      </c>
      <c r="X616" s="1" t="str">
        <f>IF(Table1[[#This Row],[World Rank]]&lt;=250,"Q1-Elite",IF(Table1[[#This Row],[World Rank]]&lt;=500,"Q2-Strong",IF(Table1[[#This Row],[World Rank]]&lt;=750,"Q3-Developing","Q4-Emerging")))</f>
        <v>Q3-Developing</v>
      </c>
    </row>
    <row r="617" spans="1:24" x14ac:dyDescent="0.2">
      <c r="A617" s="1">
        <v>616</v>
      </c>
      <c r="B617" s="1" t="s">
        <v>682</v>
      </c>
      <c r="C617" s="1" t="s">
        <v>591</v>
      </c>
      <c r="D617" s="1" t="s">
        <v>1125</v>
      </c>
      <c r="E617" s="1">
        <v>4</v>
      </c>
      <c r="F617" s="1">
        <v>667</v>
      </c>
      <c r="G617" s="1">
        <v>1001</v>
      </c>
      <c r="H617" s="1">
        <v>304</v>
      </c>
      <c r="I617" s="1">
        <v>472</v>
      </c>
      <c r="J617" s="1">
        <v>863</v>
      </c>
      <c r="K617" s="1">
        <v>979</v>
      </c>
      <c r="L617" s="1">
        <v>363</v>
      </c>
      <c r="M617" s="1">
        <v>72.599999999999994</v>
      </c>
      <c r="N617" s="1">
        <v>38.959759400000003</v>
      </c>
      <c r="O617" s="1">
        <v>34.924965299999997</v>
      </c>
      <c r="P617" s="14">
        <f t="shared" si="69"/>
        <v>13.8</v>
      </c>
      <c r="Q617" s="13">
        <v>20</v>
      </c>
      <c r="R617" s="16">
        <f t="shared" si="70"/>
        <v>0</v>
      </c>
      <c r="S617" s="14">
        <f t="shared" si="71"/>
        <v>0</v>
      </c>
      <c r="T617" s="13">
        <f t="shared" si="72"/>
        <v>52.900000000000006</v>
      </c>
      <c r="U617" s="14">
        <f t="shared" si="73"/>
        <v>2.1999999999999997</v>
      </c>
      <c r="V617" s="14">
        <f t="shared" si="74"/>
        <v>63.800000000000004</v>
      </c>
      <c r="W617" s="1">
        <f t="shared" si="75"/>
        <v>38.5</v>
      </c>
      <c r="X617" s="1" t="str">
        <f>IF(Table1[[#This Row],[World Rank]]&lt;=250,"Q1-Elite",IF(Table1[[#This Row],[World Rank]]&lt;=500,"Q2-Strong",IF(Table1[[#This Row],[World Rank]]&lt;=750,"Q3-Developing","Q4-Emerging")))</f>
        <v>Q3-Developing</v>
      </c>
    </row>
    <row r="618" spans="1:24" x14ac:dyDescent="0.2">
      <c r="A618" s="1">
        <v>617</v>
      </c>
      <c r="B618" s="1" t="s">
        <v>683</v>
      </c>
      <c r="C618" s="1" t="s">
        <v>28</v>
      </c>
      <c r="D618" s="1" t="s">
        <v>1125</v>
      </c>
      <c r="E618" s="1">
        <v>21</v>
      </c>
      <c r="F618" s="1">
        <v>667</v>
      </c>
      <c r="G618" s="1">
        <v>1001</v>
      </c>
      <c r="H618" s="1">
        <v>304</v>
      </c>
      <c r="I618" s="1">
        <v>631</v>
      </c>
      <c r="J618" s="1">
        <v>682</v>
      </c>
      <c r="K618" s="1">
        <v>716</v>
      </c>
      <c r="L618" s="1">
        <v>405</v>
      </c>
      <c r="M618" s="1">
        <v>72.599999999999994</v>
      </c>
      <c r="N618" s="1">
        <v>36.5748441</v>
      </c>
      <c r="O618" s="1">
        <v>139.23941790000001</v>
      </c>
      <c r="P618" s="14">
        <f t="shared" si="69"/>
        <v>31.900000000000002</v>
      </c>
      <c r="Q618" s="13">
        <v>20</v>
      </c>
      <c r="R618" s="16">
        <f t="shared" si="70"/>
        <v>0</v>
      </c>
      <c r="S618" s="14">
        <f t="shared" si="71"/>
        <v>0</v>
      </c>
      <c r="T618" s="13">
        <f t="shared" si="72"/>
        <v>37</v>
      </c>
      <c r="U618" s="14">
        <f t="shared" si="73"/>
        <v>28.499999999999996</v>
      </c>
      <c r="V618" s="14">
        <f t="shared" si="74"/>
        <v>59.599999999999994</v>
      </c>
      <c r="W618" s="1">
        <f t="shared" si="75"/>
        <v>38.4</v>
      </c>
      <c r="X618" s="1" t="str">
        <f>IF(Table1[[#This Row],[World Rank]]&lt;=250,"Q1-Elite",IF(Table1[[#This Row],[World Rank]]&lt;=500,"Q2-Strong",IF(Table1[[#This Row],[World Rank]]&lt;=750,"Q3-Developing","Q4-Emerging")))</f>
        <v>Q3-Developing</v>
      </c>
    </row>
    <row r="619" spans="1:24" x14ac:dyDescent="0.2">
      <c r="A619" s="1">
        <v>618</v>
      </c>
      <c r="B619" s="1" t="s">
        <v>684</v>
      </c>
      <c r="C619" s="1" t="s">
        <v>28</v>
      </c>
      <c r="D619" s="1" t="s">
        <v>1125</v>
      </c>
      <c r="E619" s="1">
        <v>22</v>
      </c>
      <c r="F619" s="1">
        <v>515</v>
      </c>
      <c r="G619" s="1">
        <v>621</v>
      </c>
      <c r="H619" s="1">
        <v>304</v>
      </c>
      <c r="I619" s="1">
        <v>615</v>
      </c>
      <c r="J619" s="1">
        <v>655</v>
      </c>
      <c r="K619" s="1">
        <v>488</v>
      </c>
      <c r="L619" s="1">
        <v>673</v>
      </c>
      <c r="M619" s="1">
        <v>72.599999999999994</v>
      </c>
      <c r="N619" s="1">
        <v>36.5748441</v>
      </c>
      <c r="O619" s="1">
        <v>139.23941790000001</v>
      </c>
      <c r="P619" s="14">
        <f t="shared" si="69"/>
        <v>34.599999999999994</v>
      </c>
      <c r="Q619" s="13">
        <f>((667 - F619) / 666) * 100</f>
        <v>22.822822822822822</v>
      </c>
      <c r="R619" s="16">
        <f t="shared" si="70"/>
        <v>38</v>
      </c>
      <c r="S619" s="14">
        <f t="shared" si="71"/>
        <v>0</v>
      </c>
      <c r="T619" s="13">
        <f t="shared" si="72"/>
        <v>38.6</v>
      </c>
      <c r="U619" s="14">
        <f t="shared" si="73"/>
        <v>51.300000000000004</v>
      </c>
      <c r="V619" s="14">
        <f t="shared" si="74"/>
        <v>32.800000000000004</v>
      </c>
      <c r="W619" s="1">
        <f t="shared" si="75"/>
        <v>38.299999999999997</v>
      </c>
      <c r="X619" s="1" t="str">
        <f>IF(Table1[[#This Row],[World Rank]]&lt;=250,"Q1-Elite",IF(Table1[[#This Row],[World Rank]]&lt;=500,"Q2-Strong",IF(Table1[[#This Row],[World Rank]]&lt;=750,"Q3-Developing","Q4-Emerging")))</f>
        <v>Q3-Developing</v>
      </c>
    </row>
    <row r="620" spans="1:24" x14ac:dyDescent="0.2">
      <c r="A620" s="1">
        <v>619</v>
      </c>
      <c r="B620" s="1" t="s">
        <v>685</v>
      </c>
      <c r="C620" s="1" t="s">
        <v>19</v>
      </c>
      <c r="D620" s="1" t="s">
        <v>1124</v>
      </c>
      <c r="E620" s="1">
        <v>45</v>
      </c>
      <c r="F620" s="1">
        <v>378</v>
      </c>
      <c r="G620" s="1">
        <v>784</v>
      </c>
      <c r="H620" s="1">
        <v>304</v>
      </c>
      <c r="I620" s="1">
        <v>706</v>
      </c>
      <c r="J620" s="1">
        <v>616</v>
      </c>
      <c r="K620" s="1">
        <v>443</v>
      </c>
      <c r="L620" s="1">
        <v>673</v>
      </c>
      <c r="M620" s="1">
        <v>72.599999999999994</v>
      </c>
      <c r="N620" s="1">
        <v>54.702354499999998</v>
      </c>
      <c r="O620" s="1">
        <v>-3.2765753000000002</v>
      </c>
      <c r="P620" s="14">
        <f t="shared" si="69"/>
        <v>38.5</v>
      </c>
      <c r="Q620" s="13">
        <f>((667 - F620) / 666) * 100</f>
        <v>43.393393393393396</v>
      </c>
      <c r="R620" s="16">
        <f t="shared" si="70"/>
        <v>21.7</v>
      </c>
      <c r="S620" s="14">
        <f t="shared" si="71"/>
        <v>0</v>
      </c>
      <c r="T620" s="13">
        <f t="shared" si="72"/>
        <v>29.5</v>
      </c>
      <c r="U620" s="14">
        <f t="shared" si="73"/>
        <v>55.800000000000004</v>
      </c>
      <c r="V620" s="14">
        <f t="shared" si="74"/>
        <v>32.800000000000004</v>
      </c>
      <c r="W620" s="1">
        <f t="shared" si="75"/>
        <v>38.200000000000003</v>
      </c>
      <c r="X620" s="1" t="str">
        <f>IF(Table1[[#This Row],[World Rank]]&lt;=250,"Q1-Elite",IF(Table1[[#This Row],[World Rank]]&lt;=500,"Q2-Strong",IF(Table1[[#This Row],[World Rank]]&lt;=750,"Q3-Developing","Q4-Emerging")))</f>
        <v>Q3-Developing</v>
      </c>
    </row>
    <row r="621" spans="1:24" x14ac:dyDescent="0.2">
      <c r="A621" s="1">
        <v>620</v>
      </c>
      <c r="B621" s="1" t="s">
        <v>686</v>
      </c>
      <c r="C621" s="1" t="s">
        <v>66</v>
      </c>
      <c r="D621" s="1" t="s">
        <v>1125</v>
      </c>
      <c r="E621" s="1">
        <v>7</v>
      </c>
      <c r="F621" s="1">
        <v>354</v>
      </c>
      <c r="G621" s="1">
        <v>935</v>
      </c>
      <c r="H621" s="1">
        <v>304</v>
      </c>
      <c r="I621" s="1">
        <v>619</v>
      </c>
      <c r="J621" s="1">
        <v>559</v>
      </c>
      <c r="K621" s="1">
        <v>476</v>
      </c>
      <c r="L621" s="1">
        <v>898</v>
      </c>
      <c r="M621" s="1">
        <v>72.599999999999994</v>
      </c>
      <c r="N621" s="1">
        <v>39.3181528</v>
      </c>
      <c r="O621" s="1">
        <v>-79.810901400000006</v>
      </c>
      <c r="P621" s="14">
        <f t="shared" si="69"/>
        <v>44.2</v>
      </c>
      <c r="Q621" s="13">
        <f>((667 - F621) / 666) * 100</f>
        <v>46.996996996996998</v>
      </c>
      <c r="R621" s="16">
        <f t="shared" si="70"/>
        <v>6.6000000000000005</v>
      </c>
      <c r="S621" s="14">
        <f t="shared" si="71"/>
        <v>0</v>
      </c>
      <c r="T621" s="13">
        <f t="shared" si="72"/>
        <v>38.200000000000003</v>
      </c>
      <c r="U621" s="14">
        <f t="shared" si="73"/>
        <v>52.5</v>
      </c>
      <c r="V621" s="14">
        <f t="shared" si="74"/>
        <v>10.299999999999999</v>
      </c>
      <c r="W621" s="1">
        <f t="shared" si="75"/>
        <v>38.1</v>
      </c>
      <c r="X621" s="1" t="str">
        <f>IF(Table1[[#This Row],[World Rank]]&lt;=250,"Q1-Elite",IF(Table1[[#This Row],[World Rank]]&lt;=500,"Q2-Strong",IF(Table1[[#This Row],[World Rank]]&lt;=750,"Q3-Developing","Q4-Emerging")))</f>
        <v>Q3-Developing</v>
      </c>
    </row>
    <row r="622" spans="1:24" x14ac:dyDescent="0.2">
      <c r="A622" s="1">
        <v>621</v>
      </c>
      <c r="B622" s="1" t="s">
        <v>687</v>
      </c>
      <c r="C622" s="1" t="s">
        <v>118</v>
      </c>
      <c r="D622" s="1" t="s">
        <v>1124</v>
      </c>
      <c r="E622" s="1">
        <v>18</v>
      </c>
      <c r="F622" s="1">
        <v>667</v>
      </c>
      <c r="G622" s="1">
        <v>1001</v>
      </c>
      <c r="H622" s="1">
        <v>304</v>
      </c>
      <c r="I622" s="1">
        <v>776</v>
      </c>
      <c r="J622" s="1">
        <v>664</v>
      </c>
      <c r="K622" s="1">
        <v>608</v>
      </c>
      <c r="L622" s="1">
        <v>363</v>
      </c>
      <c r="M622" s="1">
        <v>72.599999999999994</v>
      </c>
      <c r="N622" s="1">
        <v>39.326068499999998</v>
      </c>
      <c r="O622" s="1">
        <v>-4.8379791000000001</v>
      </c>
      <c r="P622" s="14">
        <f t="shared" si="69"/>
        <v>33.700000000000003</v>
      </c>
      <c r="Q622" s="13">
        <v>20</v>
      </c>
      <c r="R622" s="16">
        <f t="shared" si="70"/>
        <v>0</v>
      </c>
      <c r="S622" s="14">
        <f t="shared" si="71"/>
        <v>0</v>
      </c>
      <c r="T622" s="13">
        <f t="shared" si="72"/>
        <v>22.5</v>
      </c>
      <c r="U622" s="14">
        <f t="shared" si="73"/>
        <v>39.300000000000004</v>
      </c>
      <c r="V622" s="14">
        <f t="shared" si="74"/>
        <v>63.800000000000004</v>
      </c>
      <c r="W622" s="1">
        <f t="shared" si="75"/>
        <v>38</v>
      </c>
      <c r="X622" s="1" t="str">
        <f>IF(Table1[[#This Row],[World Rank]]&lt;=250,"Q1-Elite",IF(Table1[[#This Row],[World Rank]]&lt;=500,"Q2-Strong",IF(Table1[[#This Row],[World Rank]]&lt;=750,"Q3-Developing","Q4-Emerging")))</f>
        <v>Q3-Developing</v>
      </c>
    </row>
    <row r="623" spans="1:24" x14ac:dyDescent="0.2">
      <c r="A623" s="1">
        <v>622</v>
      </c>
      <c r="B623" s="1" t="s">
        <v>688</v>
      </c>
      <c r="C623" s="1" t="s">
        <v>93</v>
      </c>
      <c r="D623" s="1" t="s">
        <v>1124</v>
      </c>
      <c r="E623" s="1">
        <v>30</v>
      </c>
      <c r="F623" s="1">
        <v>667</v>
      </c>
      <c r="G623" s="1">
        <v>1001</v>
      </c>
      <c r="H623" s="1">
        <v>304</v>
      </c>
      <c r="I623" s="1">
        <v>603</v>
      </c>
      <c r="J623" s="1">
        <v>553</v>
      </c>
      <c r="K623" s="1">
        <v>651</v>
      </c>
      <c r="L623" s="1">
        <v>673</v>
      </c>
      <c r="M623" s="1">
        <v>72.599999999999994</v>
      </c>
      <c r="N623" s="1">
        <v>42.638426099999997</v>
      </c>
      <c r="O623" s="1">
        <v>12.674296999999999</v>
      </c>
      <c r="P623" s="14">
        <f t="shared" si="69"/>
        <v>44.800000000000004</v>
      </c>
      <c r="Q623" s="13">
        <v>20</v>
      </c>
      <c r="R623" s="16">
        <f t="shared" si="70"/>
        <v>0</v>
      </c>
      <c r="S623" s="14">
        <f t="shared" si="71"/>
        <v>0</v>
      </c>
      <c r="T623" s="13">
        <f t="shared" si="72"/>
        <v>39.800000000000004</v>
      </c>
      <c r="U623" s="14">
        <f t="shared" si="73"/>
        <v>35</v>
      </c>
      <c r="V623" s="14">
        <f t="shared" si="74"/>
        <v>32.800000000000004</v>
      </c>
      <c r="W623" s="1">
        <f t="shared" si="75"/>
        <v>37.9</v>
      </c>
      <c r="X623" s="1" t="str">
        <f>IF(Table1[[#This Row],[World Rank]]&lt;=250,"Q1-Elite",IF(Table1[[#This Row],[World Rank]]&lt;=500,"Q2-Strong",IF(Table1[[#This Row],[World Rank]]&lt;=750,"Q3-Developing","Q4-Emerging")))</f>
        <v>Q3-Developing</v>
      </c>
    </row>
    <row r="624" spans="1:24" x14ac:dyDescent="0.2">
      <c r="A624" s="1">
        <v>623</v>
      </c>
      <c r="B624" s="1" t="s">
        <v>689</v>
      </c>
      <c r="C624" s="1" t="s">
        <v>15</v>
      </c>
      <c r="D624" s="1" t="s">
        <v>1120</v>
      </c>
      <c r="E624" s="1">
        <v>162</v>
      </c>
      <c r="F624" s="1">
        <v>667</v>
      </c>
      <c r="G624" s="1">
        <v>1001</v>
      </c>
      <c r="H624" s="1">
        <v>304</v>
      </c>
      <c r="I624" s="1">
        <v>751</v>
      </c>
      <c r="J624" s="1">
        <v>580</v>
      </c>
      <c r="K624" s="1">
        <v>371</v>
      </c>
      <c r="L624" s="1">
        <v>898</v>
      </c>
      <c r="M624" s="1">
        <v>72.5</v>
      </c>
      <c r="N624" s="1">
        <v>39.783730400000003</v>
      </c>
      <c r="O624" s="1">
        <v>-100.445882</v>
      </c>
      <c r="P624" s="14">
        <f t="shared" si="69"/>
        <v>42.1</v>
      </c>
      <c r="Q624" s="13">
        <v>20</v>
      </c>
      <c r="R624" s="16">
        <f t="shared" si="70"/>
        <v>0</v>
      </c>
      <c r="S624" s="14">
        <f t="shared" si="71"/>
        <v>0</v>
      </c>
      <c r="T624" s="13">
        <f t="shared" si="72"/>
        <v>25</v>
      </c>
      <c r="U624" s="14">
        <f t="shared" si="73"/>
        <v>63</v>
      </c>
      <c r="V624" s="14">
        <f t="shared" si="74"/>
        <v>10.299999999999999</v>
      </c>
      <c r="W624" s="1">
        <f t="shared" si="75"/>
        <v>37.799999999999997</v>
      </c>
      <c r="X624" s="1" t="str">
        <f>IF(Table1[[#This Row],[World Rank]]&lt;=250,"Q1-Elite",IF(Table1[[#This Row],[World Rank]]&lt;=500,"Q2-Strong",IF(Table1[[#This Row],[World Rank]]&lt;=750,"Q3-Developing","Q4-Emerging")))</f>
        <v>Q3-Developing</v>
      </c>
    </row>
    <row r="625" spans="1:24" x14ac:dyDescent="0.2">
      <c r="A625" s="1">
        <v>624</v>
      </c>
      <c r="B625" s="1" t="s">
        <v>690</v>
      </c>
      <c r="C625" s="1" t="s">
        <v>85</v>
      </c>
      <c r="D625" s="1" t="s">
        <v>1125</v>
      </c>
      <c r="E625" s="1">
        <v>21</v>
      </c>
      <c r="F625" s="1">
        <v>667</v>
      </c>
      <c r="G625" s="1">
        <v>1001</v>
      </c>
      <c r="H625" s="1">
        <v>304</v>
      </c>
      <c r="I625" s="1">
        <v>555</v>
      </c>
      <c r="J625" s="1">
        <v>675</v>
      </c>
      <c r="K625" s="1">
        <v>812</v>
      </c>
      <c r="L625" s="1">
        <v>460</v>
      </c>
      <c r="M625" s="1">
        <v>72.5</v>
      </c>
      <c r="N625" s="1">
        <v>36.638392000000003</v>
      </c>
      <c r="O625" s="1">
        <v>127.69611879999999</v>
      </c>
      <c r="P625" s="14">
        <f t="shared" si="69"/>
        <v>32.6</v>
      </c>
      <c r="Q625" s="13">
        <v>20</v>
      </c>
      <c r="R625" s="16">
        <f t="shared" si="70"/>
        <v>0</v>
      </c>
      <c r="S625" s="14">
        <f t="shared" si="71"/>
        <v>0</v>
      </c>
      <c r="T625" s="13">
        <f t="shared" si="72"/>
        <v>44.6</v>
      </c>
      <c r="U625" s="14">
        <f t="shared" si="73"/>
        <v>18.899999999999999</v>
      </c>
      <c r="V625" s="14">
        <f t="shared" si="74"/>
        <v>54.1</v>
      </c>
      <c r="W625" s="1">
        <f t="shared" si="75"/>
        <v>37.700000000000003</v>
      </c>
      <c r="X625" s="1" t="str">
        <f>IF(Table1[[#This Row],[World Rank]]&lt;=250,"Q1-Elite",IF(Table1[[#This Row],[World Rank]]&lt;=500,"Q2-Strong",IF(Table1[[#This Row],[World Rank]]&lt;=750,"Q3-Developing","Q4-Emerging")))</f>
        <v>Q3-Developing</v>
      </c>
    </row>
    <row r="626" spans="1:24" x14ac:dyDescent="0.2">
      <c r="A626" s="1">
        <v>625</v>
      </c>
      <c r="B626" s="1" t="s">
        <v>691</v>
      </c>
      <c r="C626" s="1" t="s">
        <v>591</v>
      </c>
      <c r="D626" s="1" t="s">
        <v>1125</v>
      </c>
      <c r="E626" s="1">
        <v>5</v>
      </c>
      <c r="F626" s="1">
        <v>667</v>
      </c>
      <c r="G626" s="1">
        <v>775</v>
      </c>
      <c r="H626" s="1">
        <v>304</v>
      </c>
      <c r="I626" s="1">
        <v>455</v>
      </c>
      <c r="J626" s="1">
        <v>829</v>
      </c>
      <c r="K626" s="1">
        <v>666</v>
      </c>
      <c r="L626" s="1">
        <v>541</v>
      </c>
      <c r="M626" s="1">
        <v>72.5</v>
      </c>
      <c r="N626" s="1">
        <v>38.959759400000003</v>
      </c>
      <c r="O626" s="1">
        <v>34.924965299999997</v>
      </c>
      <c r="P626" s="14">
        <f t="shared" si="69"/>
        <v>17.2</v>
      </c>
      <c r="Q626" s="13">
        <v>20</v>
      </c>
      <c r="R626" s="16">
        <f t="shared" si="70"/>
        <v>22.6</v>
      </c>
      <c r="S626" s="14">
        <f t="shared" si="71"/>
        <v>0</v>
      </c>
      <c r="T626" s="13">
        <f t="shared" si="72"/>
        <v>54.6</v>
      </c>
      <c r="U626" s="14">
        <f t="shared" si="73"/>
        <v>33.5</v>
      </c>
      <c r="V626" s="14">
        <f t="shared" si="74"/>
        <v>46</v>
      </c>
      <c r="W626" s="1">
        <f t="shared" si="75"/>
        <v>37.6</v>
      </c>
      <c r="X626" s="1" t="str">
        <f>IF(Table1[[#This Row],[World Rank]]&lt;=250,"Q1-Elite",IF(Table1[[#This Row],[World Rank]]&lt;=500,"Q2-Strong",IF(Table1[[#This Row],[World Rank]]&lt;=750,"Q3-Developing","Q4-Emerging")))</f>
        <v>Q3-Developing</v>
      </c>
    </row>
    <row r="627" spans="1:24" x14ac:dyDescent="0.2">
      <c r="A627" s="1">
        <v>626</v>
      </c>
      <c r="B627" s="1" t="s">
        <v>692</v>
      </c>
      <c r="C627" s="1" t="s">
        <v>124</v>
      </c>
      <c r="D627" s="1" t="s">
        <v>1125</v>
      </c>
      <c r="E627" s="1">
        <v>49</v>
      </c>
      <c r="F627" s="1">
        <v>667</v>
      </c>
      <c r="G627" s="1">
        <v>1001</v>
      </c>
      <c r="H627" s="1">
        <v>304</v>
      </c>
      <c r="I627" s="1">
        <v>515</v>
      </c>
      <c r="J627" s="1">
        <v>602</v>
      </c>
      <c r="K627" s="1">
        <v>770</v>
      </c>
      <c r="L627" s="1">
        <v>673</v>
      </c>
      <c r="M627" s="1">
        <v>72.5</v>
      </c>
      <c r="N627" s="1">
        <v>30.047992000000001</v>
      </c>
      <c r="O627" s="1">
        <v>-94.335743300000004</v>
      </c>
      <c r="P627" s="14">
        <f t="shared" si="69"/>
        <v>39.900000000000006</v>
      </c>
      <c r="Q627" s="13">
        <v>20</v>
      </c>
      <c r="R627" s="16">
        <f t="shared" si="70"/>
        <v>0</v>
      </c>
      <c r="S627" s="14">
        <f t="shared" si="71"/>
        <v>0</v>
      </c>
      <c r="T627" s="13">
        <f t="shared" si="72"/>
        <v>48.6</v>
      </c>
      <c r="U627" s="14">
        <f t="shared" si="73"/>
        <v>23.1</v>
      </c>
      <c r="V627" s="14">
        <f t="shared" si="74"/>
        <v>32.800000000000004</v>
      </c>
      <c r="W627" s="1">
        <f t="shared" si="75"/>
        <v>37.5</v>
      </c>
      <c r="X627" s="1" t="str">
        <f>IF(Table1[[#This Row],[World Rank]]&lt;=250,"Q1-Elite",IF(Table1[[#This Row],[World Rank]]&lt;=500,"Q2-Strong",IF(Table1[[#This Row],[World Rank]]&lt;=750,"Q3-Developing","Q4-Emerging")))</f>
        <v>Q3-Developing</v>
      </c>
    </row>
    <row r="628" spans="1:24" x14ac:dyDescent="0.2">
      <c r="A628" s="1">
        <v>627</v>
      </c>
      <c r="B628" s="1" t="s">
        <v>693</v>
      </c>
      <c r="C628" s="1" t="s">
        <v>354</v>
      </c>
      <c r="D628" s="1" t="s">
        <v>1124</v>
      </c>
      <c r="E628" s="1">
        <v>4</v>
      </c>
      <c r="F628" s="1">
        <v>418</v>
      </c>
      <c r="G628" s="1">
        <v>817</v>
      </c>
      <c r="H628" s="1">
        <v>304</v>
      </c>
      <c r="I628" s="1">
        <v>551</v>
      </c>
      <c r="J628" s="1">
        <v>585</v>
      </c>
      <c r="K628" s="1">
        <v>1001</v>
      </c>
      <c r="L628" s="1">
        <v>460</v>
      </c>
      <c r="M628" s="1">
        <v>72.5</v>
      </c>
      <c r="N628" s="1">
        <v>43.209783799999997</v>
      </c>
      <c r="O628" s="1">
        <v>-77.693060200000005</v>
      </c>
      <c r="P628" s="14">
        <f t="shared" si="69"/>
        <v>41.6</v>
      </c>
      <c r="Q628" s="13">
        <f>((667 - F628) / 666) * 100</f>
        <v>37.387387387387392</v>
      </c>
      <c r="R628" s="16">
        <f t="shared" si="70"/>
        <v>18.399999999999999</v>
      </c>
      <c r="S628" s="14">
        <f t="shared" si="71"/>
        <v>0</v>
      </c>
      <c r="T628" s="13">
        <f t="shared" si="72"/>
        <v>45</v>
      </c>
      <c r="U628" s="14">
        <f t="shared" si="73"/>
        <v>0</v>
      </c>
      <c r="V628" s="14">
        <f t="shared" si="74"/>
        <v>54.1</v>
      </c>
      <c r="W628" s="1">
        <f t="shared" si="75"/>
        <v>37.4</v>
      </c>
      <c r="X628" s="1" t="str">
        <f>IF(Table1[[#This Row],[World Rank]]&lt;=250,"Q1-Elite",IF(Table1[[#This Row],[World Rank]]&lt;=500,"Q2-Strong",IF(Table1[[#This Row],[World Rank]]&lt;=750,"Q3-Developing","Q4-Emerging")))</f>
        <v>Q3-Developing</v>
      </c>
    </row>
    <row r="629" spans="1:24" x14ac:dyDescent="0.2">
      <c r="A629" s="1">
        <v>628</v>
      </c>
      <c r="B629" s="1" t="s">
        <v>694</v>
      </c>
      <c r="C629" s="1" t="s">
        <v>28</v>
      </c>
      <c r="D629" s="1" t="s">
        <v>1125</v>
      </c>
      <c r="E629" s="1">
        <v>23</v>
      </c>
      <c r="F629" s="1">
        <v>545</v>
      </c>
      <c r="G629" s="1">
        <v>638</v>
      </c>
      <c r="H629" s="1">
        <v>304</v>
      </c>
      <c r="I629" s="1">
        <v>611</v>
      </c>
      <c r="J629" s="1">
        <v>564</v>
      </c>
      <c r="K629" s="1">
        <v>522</v>
      </c>
      <c r="L629" s="1">
        <v>898</v>
      </c>
      <c r="M629" s="1">
        <v>72.5</v>
      </c>
      <c r="N629" s="1">
        <v>36.5748441</v>
      </c>
      <c r="O629" s="1">
        <v>139.23941790000001</v>
      </c>
      <c r="P629" s="14">
        <f t="shared" si="69"/>
        <v>43.7</v>
      </c>
      <c r="Q629" s="13">
        <v>20</v>
      </c>
      <c r="R629" s="16">
        <f t="shared" si="70"/>
        <v>36.299999999999997</v>
      </c>
      <c r="S629" s="14">
        <f t="shared" si="71"/>
        <v>0</v>
      </c>
      <c r="T629" s="13">
        <f t="shared" si="72"/>
        <v>39</v>
      </c>
      <c r="U629" s="14">
        <f t="shared" si="73"/>
        <v>47.9</v>
      </c>
      <c r="V629" s="14">
        <f t="shared" si="74"/>
        <v>10.299999999999999</v>
      </c>
      <c r="W629" s="1">
        <f t="shared" si="75"/>
        <v>37.299999999999997</v>
      </c>
      <c r="X629" s="1" t="str">
        <f>IF(Table1[[#This Row],[World Rank]]&lt;=250,"Q1-Elite",IF(Table1[[#This Row],[World Rank]]&lt;=500,"Q2-Strong",IF(Table1[[#This Row],[World Rank]]&lt;=750,"Q3-Developing","Q4-Emerging")))</f>
        <v>Q3-Developing</v>
      </c>
    </row>
    <row r="630" spans="1:24" x14ac:dyDescent="0.2">
      <c r="A630" s="1">
        <v>629</v>
      </c>
      <c r="B630" s="1" t="s">
        <v>695</v>
      </c>
      <c r="C630" s="1" t="s">
        <v>28</v>
      </c>
      <c r="D630" s="1" t="s">
        <v>1125</v>
      </c>
      <c r="E630" s="1">
        <v>24</v>
      </c>
      <c r="F630" s="1">
        <v>529</v>
      </c>
      <c r="G630" s="1">
        <v>247</v>
      </c>
      <c r="H630" s="1">
        <v>304</v>
      </c>
      <c r="I630" s="1">
        <v>666</v>
      </c>
      <c r="J630" s="1">
        <v>692</v>
      </c>
      <c r="K630" s="1">
        <v>766</v>
      </c>
      <c r="L630" s="1">
        <v>460</v>
      </c>
      <c r="M630" s="1">
        <v>72.5</v>
      </c>
      <c r="N630" s="1">
        <v>36.5748441</v>
      </c>
      <c r="O630" s="1">
        <v>139.23941790000001</v>
      </c>
      <c r="P630" s="14">
        <f t="shared" si="69"/>
        <v>30.9</v>
      </c>
      <c r="Q630" s="13">
        <f>((667 - F630) / 666) * 100</f>
        <v>20.72072072072072</v>
      </c>
      <c r="R630" s="16">
        <f t="shared" si="70"/>
        <v>75.400000000000006</v>
      </c>
      <c r="S630" s="14">
        <f t="shared" si="71"/>
        <v>0</v>
      </c>
      <c r="T630" s="13">
        <f t="shared" si="72"/>
        <v>33.5</v>
      </c>
      <c r="U630" s="14">
        <f t="shared" si="73"/>
        <v>23.5</v>
      </c>
      <c r="V630" s="14">
        <f t="shared" si="74"/>
        <v>54.1</v>
      </c>
      <c r="W630" s="1">
        <f t="shared" si="75"/>
        <v>37.200000000000003</v>
      </c>
      <c r="X630" s="1" t="str">
        <f>IF(Table1[[#This Row],[World Rank]]&lt;=250,"Q1-Elite",IF(Table1[[#This Row],[World Rank]]&lt;=500,"Q2-Strong",IF(Table1[[#This Row],[World Rank]]&lt;=750,"Q3-Developing","Q4-Emerging")))</f>
        <v>Q3-Developing</v>
      </c>
    </row>
    <row r="631" spans="1:24" x14ac:dyDescent="0.2">
      <c r="A631" s="1">
        <v>630</v>
      </c>
      <c r="B631" s="1" t="s">
        <v>696</v>
      </c>
      <c r="C631" s="1" t="s">
        <v>93</v>
      </c>
      <c r="D631" s="1" t="s">
        <v>1124</v>
      </c>
      <c r="E631" s="1">
        <v>31</v>
      </c>
      <c r="F631" s="1">
        <v>667</v>
      </c>
      <c r="G631" s="1">
        <v>1001</v>
      </c>
      <c r="H631" s="1">
        <v>304</v>
      </c>
      <c r="I631" s="1">
        <v>752</v>
      </c>
      <c r="J631" s="1">
        <v>653</v>
      </c>
      <c r="K631" s="1">
        <v>410</v>
      </c>
      <c r="L631" s="1">
        <v>673</v>
      </c>
      <c r="M631" s="1">
        <v>72.5</v>
      </c>
      <c r="N631" s="1">
        <v>42.638426099999997</v>
      </c>
      <c r="O631" s="1">
        <v>12.674296999999999</v>
      </c>
      <c r="P631" s="14">
        <f t="shared" si="69"/>
        <v>34.799999999999997</v>
      </c>
      <c r="Q631" s="13">
        <v>20</v>
      </c>
      <c r="R631" s="16">
        <f t="shared" si="70"/>
        <v>0</v>
      </c>
      <c r="S631" s="14">
        <f t="shared" si="71"/>
        <v>0</v>
      </c>
      <c r="T631" s="13">
        <f t="shared" si="72"/>
        <v>24.9</v>
      </c>
      <c r="U631" s="14">
        <f t="shared" si="73"/>
        <v>59.099999999999994</v>
      </c>
      <c r="V631" s="14">
        <f t="shared" si="74"/>
        <v>32.800000000000004</v>
      </c>
      <c r="W631" s="1">
        <f t="shared" si="75"/>
        <v>37.1</v>
      </c>
      <c r="X631" s="1" t="str">
        <f>IF(Table1[[#This Row],[World Rank]]&lt;=250,"Q1-Elite",IF(Table1[[#This Row],[World Rank]]&lt;=500,"Q2-Strong",IF(Table1[[#This Row],[World Rank]]&lt;=750,"Q3-Developing","Q4-Emerging")))</f>
        <v>Q3-Developing</v>
      </c>
    </row>
    <row r="632" spans="1:24" x14ac:dyDescent="0.2">
      <c r="A632" s="1">
        <v>631</v>
      </c>
      <c r="B632" s="1" t="s">
        <v>697</v>
      </c>
      <c r="C632" s="1" t="s">
        <v>68</v>
      </c>
      <c r="D632" s="1" t="s">
        <v>1124</v>
      </c>
      <c r="E632" s="1">
        <v>47</v>
      </c>
      <c r="F632" s="1">
        <v>667</v>
      </c>
      <c r="G632" s="1">
        <v>1001</v>
      </c>
      <c r="H632" s="1">
        <v>297</v>
      </c>
      <c r="I632" s="1">
        <v>755</v>
      </c>
      <c r="J632" s="1">
        <v>687</v>
      </c>
      <c r="K632" s="1">
        <v>511</v>
      </c>
      <c r="L632" s="1">
        <v>460</v>
      </c>
      <c r="M632" s="1">
        <v>72.5</v>
      </c>
      <c r="N632" s="1">
        <v>40.420347900000003</v>
      </c>
      <c r="O632" s="1">
        <v>-79.116698299999996</v>
      </c>
      <c r="P632" s="14">
        <f t="shared" si="69"/>
        <v>31.4</v>
      </c>
      <c r="Q632" s="13">
        <v>20</v>
      </c>
      <c r="R632" s="16">
        <f t="shared" si="70"/>
        <v>0</v>
      </c>
      <c r="S632" s="14">
        <f t="shared" si="71"/>
        <v>2.3102310231023102</v>
      </c>
      <c r="T632" s="13">
        <f t="shared" si="72"/>
        <v>24.6</v>
      </c>
      <c r="U632" s="14">
        <f t="shared" si="73"/>
        <v>49</v>
      </c>
      <c r="V632" s="14">
        <f t="shared" si="74"/>
        <v>54.1</v>
      </c>
      <c r="W632" s="1">
        <f t="shared" si="75"/>
        <v>37</v>
      </c>
      <c r="X632" s="1" t="str">
        <f>IF(Table1[[#This Row],[World Rank]]&lt;=250,"Q1-Elite",IF(Table1[[#This Row],[World Rank]]&lt;=500,"Q2-Strong",IF(Table1[[#This Row],[World Rank]]&lt;=750,"Q3-Developing","Q4-Emerging")))</f>
        <v>Q3-Developing</v>
      </c>
    </row>
    <row r="633" spans="1:24" x14ac:dyDescent="0.2">
      <c r="A633" s="1">
        <v>632</v>
      </c>
      <c r="B633" s="1" t="s">
        <v>698</v>
      </c>
      <c r="C633" s="1" t="s">
        <v>124</v>
      </c>
      <c r="D633" s="1" t="s">
        <v>1125</v>
      </c>
      <c r="E633" s="1">
        <v>50</v>
      </c>
      <c r="F633" s="1">
        <v>667</v>
      </c>
      <c r="G633" s="1">
        <v>1001</v>
      </c>
      <c r="H633" s="1">
        <v>304</v>
      </c>
      <c r="I633" s="1">
        <v>510</v>
      </c>
      <c r="J633" s="1">
        <v>566</v>
      </c>
      <c r="K633" s="1">
        <v>669</v>
      </c>
      <c r="L633" s="1">
        <v>898</v>
      </c>
      <c r="M633" s="1">
        <v>72.5</v>
      </c>
      <c r="N633" s="1">
        <v>30.047992000000001</v>
      </c>
      <c r="O633" s="1">
        <v>-94.335743300000004</v>
      </c>
      <c r="P633" s="14">
        <f t="shared" si="69"/>
        <v>43.5</v>
      </c>
      <c r="Q633" s="13">
        <v>20</v>
      </c>
      <c r="R633" s="16">
        <f t="shared" si="70"/>
        <v>0</v>
      </c>
      <c r="S633" s="14">
        <f t="shared" si="71"/>
        <v>0</v>
      </c>
      <c r="T633" s="13">
        <f t="shared" si="72"/>
        <v>49.1</v>
      </c>
      <c r="U633" s="14">
        <f t="shared" si="73"/>
        <v>33.200000000000003</v>
      </c>
      <c r="V633" s="14">
        <f t="shared" si="74"/>
        <v>10.299999999999999</v>
      </c>
      <c r="W633" s="1">
        <f t="shared" si="75"/>
        <v>36.9</v>
      </c>
      <c r="X633" s="1" t="str">
        <f>IF(Table1[[#This Row],[World Rank]]&lt;=250,"Q1-Elite",IF(Table1[[#This Row],[World Rank]]&lt;=500,"Q2-Strong",IF(Table1[[#This Row],[World Rank]]&lt;=750,"Q3-Developing","Q4-Emerging")))</f>
        <v>Q3-Developing</v>
      </c>
    </row>
    <row r="634" spans="1:24" x14ac:dyDescent="0.2">
      <c r="A634" s="1">
        <v>633</v>
      </c>
      <c r="B634" s="1" t="s">
        <v>699</v>
      </c>
      <c r="C634" s="1" t="s">
        <v>307</v>
      </c>
      <c r="D634" s="1" t="s">
        <v>1124</v>
      </c>
      <c r="E634" s="1">
        <v>4</v>
      </c>
      <c r="F634" s="1">
        <v>512</v>
      </c>
      <c r="G634" s="1">
        <v>719</v>
      </c>
      <c r="H634" s="1">
        <v>304</v>
      </c>
      <c r="I634" s="1">
        <v>494</v>
      </c>
      <c r="J634" s="1">
        <v>700</v>
      </c>
      <c r="K634" s="1">
        <v>908</v>
      </c>
      <c r="L634" s="1">
        <v>541</v>
      </c>
      <c r="M634" s="1">
        <v>72.5</v>
      </c>
      <c r="N634" s="1">
        <v>52.215933</v>
      </c>
      <c r="O634" s="1">
        <v>19.134422000000001</v>
      </c>
      <c r="P634" s="14">
        <f t="shared" si="69"/>
        <v>30.099999999999998</v>
      </c>
      <c r="Q634" s="13">
        <f>((667 - F634) / 666) * 100</f>
        <v>23.273273273273272</v>
      </c>
      <c r="R634" s="16">
        <f t="shared" si="70"/>
        <v>28.199999999999996</v>
      </c>
      <c r="S634" s="14">
        <f t="shared" si="71"/>
        <v>0</v>
      </c>
      <c r="T634" s="13">
        <f t="shared" si="72"/>
        <v>50.7</v>
      </c>
      <c r="U634" s="14">
        <f t="shared" si="73"/>
        <v>9.3000000000000007</v>
      </c>
      <c r="V634" s="14">
        <f t="shared" si="74"/>
        <v>46</v>
      </c>
      <c r="W634" s="1">
        <f t="shared" si="75"/>
        <v>36.799999999999997</v>
      </c>
      <c r="X634" s="1" t="str">
        <f>IF(Table1[[#This Row],[World Rank]]&lt;=250,"Q1-Elite",IF(Table1[[#This Row],[World Rank]]&lt;=500,"Q2-Strong",IF(Table1[[#This Row],[World Rank]]&lt;=750,"Q3-Developing","Q4-Emerging")))</f>
        <v>Q3-Developing</v>
      </c>
    </row>
    <row r="635" spans="1:24" x14ac:dyDescent="0.2">
      <c r="A635" s="1">
        <v>634</v>
      </c>
      <c r="B635" s="1" t="s">
        <v>700</v>
      </c>
      <c r="C635" s="1" t="s">
        <v>81</v>
      </c>
      <c r="D635" s="1" t="s">
        <v>1121</v>
      </c>
      <c r="E635" s="1">
        <v>23</v>
      </c>
      <c r="F635" s="1">
        <v>667</v>
      </c>
      <c r="G635" s="1">
        <v>1001</v>
      </c>
      <c r="H635" s="1">
        <v>304</v>
      </c>
      <c r="I635" s="1">
        <v>544</v>
      </c>
      <c r="J635" s="1">
        <v>542</v>
      </c>
      <c r="K635" s="1">
        <v>1001</v>
      </c>
      <c r="L635" s="1">
        <v>673</v>
      </c>
      <c r="M635" s="1">
        <v>72.400000000000006</v>
      </c>
      <c r="N635" s="1">
        <v>-24.776108600000001</v>
      </c>
      <c r="O635" s="1">
        <v>134.755</v>
      </c>
      <c r="P635" s="14">
        <f t="shared" si="69"/>
        <v>45.9</v>
      </c>
      <c r="Q635" s="13">
        <v>20</v>
      </c>
      <c r="R635" s="16">
        <f t="shared" si="70"/>
        <v>0</v>
      </c>
      <c r="S635" s="14">
        <f t="shared" si="71"/>
        <v>0</v>
      </c>
      <c r="T635" s="13">
        <f t="shared" si="72"/>
        <v>45.7</v>
      </c>
      <c r="U635" s="14">
        <f t="shared" si="73"/>
        <v>0</v>
      </c>
      <c r="V635" s="14">
        <f t="shared" si="74"/>
        <v>32.800000000000004</v>
      </c>
      <c r="W635" s="1">
        <f t="shared" si="75"/>
        <v>36.700000000000003</v>
      </c>
      <c r="X635" s="1" t="str">
        <f>IF(Table1[[#This Row],[World Rank]]&lt;=250,"Q1-Elite",IF(Table1[[#This Row],[World Rank]]&lt;=500,"Q2-Strong",IF(Table1[[#This Row],[World Rank]]&lt;=750,"Q3-Developing","Q4-Emerging")))</f>
        <v>Q3-Developing</v>
      </c>
    </row>
    <row r="636" spans="1:24" x14ac:dyDescent="0.2">
      <c r="A636" s="1">
        <v>635</v>
      </c>
      <c r="B636" s="1" t="s">
        <v>701</v>
      </c>
      <c r="C636" s="1" t="s">
        <v>124</v>
      </c>
      <c r="D636" s="1" t="s">
        <v>1125</v>
      </c>
      <c r="E636" s="1">
        <v>51</v>
      </c>
      <c r="F636" s="1">
        <v>667</v>
      </c>
      <c r="G636" s="1">
        <v>712</v>
      </c>
      <c r="H636" s="1">
        <v>304</v>
      </c>
      <c r="I636" s="1">
        <v>411</v>
      </c>
      <c r="J636" s="1">
        <v>578</v>
      </c>
      <c r="K636" s="1">
        <v>1001</v>
      </c>
      <c r="L636" s="1">
        <v>898</v>
      </c>
      <c r="M636" s="1">
        <v>72.400000000000006</v>
      </c>
      <c r="N636" s="1">
        <v>30.047992000000001</v>
      </c>
      <c r="O636" s="1">
        <v>-94.335743300000004</v>
      </c>
      <c r="P636" s="14">
        <f t="shared" si="69"/>
        <v>42.3</v>
      </c>
      <c r="Q636" s="13">
        <v>20</v>
      </c>
      <c r="R636" s="16">
        <f t="shared" si="70"/>
        <v>28.9</v>
      </c>
      <c r="S636" s="14">
        <f t="shared" si="71"/>
        <v>0</v>
      </c>
      <c r="T636" s="13">
        <f t="shared" si="72"/>
        <v>59</v>
      </c>
      <c r="U636" s="14">
        <f t="shared" si="73"/>
        <v>0</v>
      </c>
      <c r="V636" s="14">
        <f t="shared" si="74"/>
        <v>10.299999999999999</v>
      </c>
      <c r="W636" s="1">
        <f t="shared" si="75"/>
        <v>36.6</v>
      </c>
      <c r="X636" s="1" t="str">
        <f>IF(Table1[[#This Row],[World Rank]]&lt;=250,"Q1-Elite",IF(Table1[[#This Row],[World Rank]]&lt;=500,"Q2-Strong",IF(Table1[[#This Row],[World Rank]]&lt;=750,"Q3-Developing","Q4-Emerging")))</f>
        <v>Q3-Developing</v>
      </c>
    </row>
    <row r="637" spans="1:24" x14ac:dyDescent="0.2">
      <c r="A637" s="1">
        <v>636</v>
      </c>
      <c r="B637" s="1" t="s">
        <v>702</v>
      </c>
      <c r="C637" s="1" t="s">
        <v>124</v>
      </c>
      <c r="D637" s="1" t="s">
        <v>1125</v>
      </c>
      <c r="E637" s="1">
        <v>52</v>
      </c>
      <c r="F637" s="1">
        <v>667</v>
      </c>
      <c r="G637" s="1">
        <v>1001</v>
      </c>
      <c r="H637" s="1">
        <v>304</v>
      </c>
      <c r="I637" s="1">
        <v>469</v>
      </c>
      <c r="J637" s="1">
        <v>552</v>
      </c>
      <c r="K637" s="1">
        <v>1001</v>
      </c>
      <c r="L637" s="1">
        <v>673</v>
      </c>
      <c r="M637" s="1">
        <v>72.400000000000006</v>
      </c>
      <c r="N637" s="1">
        <v>30.047992000000001</v>
      </c>
      <c r="O637" s="1">
        <v>-94.335743300000004</v>
      </c>
      <c r="P637" s="14">
        <f t="shared" si="69"/>
        <v>44.9</v>
      </c>
      <c r="Q637" s="13">
        <v>20</v>
      </c>
      <c r="R637" s="16">
        <f t="shared" si="70"/>
        <v>0</v>
      </c>
      <c r="S637" s="14">
        <f t="shared" si="71"/>
        <v>0</v>
      </c>
      <c r="T637" s="13">
        <f t="shared" si="72"/>
        <v>53.2</v>
      </c>
      <c r="U637" s="14">
        <f t="shared" si="73"/>
        <v>0</v>
      </c>
      <c r="V637" s="14">
        <f t="shared" si="74"/>
        <v>32.800000000000004</v>
      </c>
      <c r="W637" s="1">
        <f t="shared" si="75"/>
        <v>36.5</v>
      </c>
      <c r="X637" s="1" t="str">
        <f>IF(Table1[[#This Row],[World Rank]]&lt;=250,"Q1-Elite",IF(Table1[[#This Row],[World Rank]]&lt;=500,"Q2-Strong",IF(Table1[[#This Row],[World Rank]]&lt;=750,"Q3-Developing","Q4-Emerging")))</f>
        <v>Q3-Developing</v>
      </c>
    </row>
    <row r="638" spans="1:24" x14ac:dyDescent="0.2">
      <c r="A638" s="1">
        <v>637</v>
      </c>
      <c r="B638" s="1" t="s">
        <v>703</v>
      </c>
      <c r="C638" s="1" t="s">
        <v>48</v>
      </c>
      <c r="D638" s="1" t="s">
        <v>1124</v>
      </c>
      <c r="E638" s="1">
        <v>33</v>
      </c>
      <c r="F638" s="1">
        <v>667</v>
      </c>
      <c r="G638" s="1">
        <v>4</v>
      </c>
      <c r="H638" s="1">
        <v>304</v>
      </c>
      <c r="I638" s="1">
        <v>1001</v>
      </c>
      <c r="J638" s="1">
        <v>1001</v>
      </c>
      <c r="K638" s="1">
        <v>1001</v>
      </c>
      <c r="L638" s="1">
        <v>1001</v>
      </c>
      <c r="M638" s="1">
        <v>72.400000000000006</v>
      </c>
      <c r="N638" s="1">
        <v>46.603354000000003</v>
      </c>
      <c r="O638" s="1">
        <v>1.8883335000000001</v>
      </c>
      <c r="P638" s="14">
        <f t="shared" si="69"/>
        <v>0</v>
      </c>
      <c r="Q638" s="13">
        <v>20</v>
      </c>
      <c r="R638" s="16">
        <f t="shared" si="70"/>
        <v>99.7</v>
      </c>
      <c r="S638" s="14">
        <f t="shared" si="71"/>
        <v>0</v>
      </c>
      <c r="T638" s="13">
        <f t="shared" si="72"/>
        <v>0</v>
      </c>
      <c r="U638" s="14">
        <f t="shared" si="73"/>
        <v>0</v>
      </c>
      <c r="V638" s="14">
        <f t="shared" si="74"/>
        <v>0</v>
      </c>
      <c r="W638" s="1">
        <f t="shared" si="75"/>
        <v>36.4</v>
      </c>
      <c r="X638" s="1" t="str">
        <f>IF(Table1[[#This Row],[World Rank]]&lt;=250,"Q1-Elite",IF(Table1[[#This Row],[World Rank]]&lt;=500,"Q2-Strong",IF(Table1[[#This Row],[World Rank]]&lt;=750,"Q3-Developing","Q4-Emerging")))</f>
        <v>Q3-Developing</v>
      </c>
    </row>
    <row r="639" spans="1:24" x14ac:dyDescent="0.2">
      <c r="A639" s="1">
        <v>638</v>
      </c>
      <c r="B639" s="1" t="s">
        <v>704</v>
      </c>
      <c r="C639" s="1" t="s">
        <v>15</v>
      </c>
      <c r="D639" s="1" t="s">
        <v>1120</v>
      </c>
      <c r="E639" s="1">
        <v>163</v>
      </c>
      <c r="F639" s="1">
        <v>329</v>
      </c>
      <c r="G639" s="1">
        <v>412</v>
      </c>
      <c r="H639" s="1">
        <v>304</v>
      </c>
      <c r="I639" s="1">
        <v>622</v>
      </c>
      <c r="J639" s="1">
        <v>654</v>
      </c>
      <c r="K639" s="1">
        <v>601</v>
      </c>
      <c r="L639" s="1">
        <v>673</v>
      </c>
      <c r="M639" s="1">
        <v>72.400000000000006</v>
      </c>
      <c r="N639" s="1">
        <v>39.783730400000003</v>
      </c>
      <c r="O639" s="1">
        <v>-100.445882</v>
      </c>
      <c r="P639" s="14">
        <f t="shared" si="69"/>
        <v>34.699999999999996</v>
      </c>
      <c r="Q639" s="13">
        <f>((667 - F639) / 666) * 100</f>
        <v>50.750750750750754</v>
      </c>
      <c r="R639" s="16">
        <f t="shared" si="70"/>
        <v>58.9</v>
      </c>
      <c r="S639" s="14">
        <f t="shared" si="71"/>
        <v>0</v>
      </c>
      <c r="T639" s="13">
        <f t="shared" si="72"/>
        <v>37.9</v>
      </c>
      <c r="U639" s="14">
        <f t="shared" si="73"/>
        <v>40</v>
      </c>
      <c r="V639" s="14">
        <f t="shared" si="74"/>
        <v>32.800000000000004</v>
      </c>
      <c r="W639" s="1">
        <f t="shared" si="75"/>
        <v>36.299999999999997</v>
      </c>
      <c r="X639" s="1" t="str">
        <f>IF(Table1[[#This Row],[World Rank]]&lt;=250,"Q1-Elite",IF(Table1[[#This Row],[World Rank]]&lt;=500,"Q2-Strong",IF(Table1[[#This Row],[World Rank]]&lt;=750,"Q3-Developing","Q4-Emerging")))</f>
        <v>Q3-Developing</v>
      </c>
    </row>
    <row r="640" spans="1:24" x14ac:dyDescent="0.2">
      <c r="A640" s="1">
        <v>639</v>
      </c>
      <c r="B640" s="1" t="s">
        <v>705</v>
      </c>
      <c r="C640" s="1" t="s">
        <v>15</v>
      </c>
      <c r="D640" s="1" t="s">
        <v>1120</v>
      </c>
      <c r="E640" s="1">
        <v>164</v>
      </c>
      <c r="F640" s="1">
        <v>667</v>
      </c>
      <c r="G640" s="1">
        <v>1001</v>
      </c>
      <c r="H640" s="1">
        <v>304</v>
      </c>
      <c r="I640" s="1">
        <v>894</v>
      </c>
      <c r="J640" s="1">
        <v>658</v>
      </c>
      <c r="K640" s="1">
        <v>389</v>
      </c>
      <c r="L640" s="1">
        <v>541</v>
      </c>
      <c r="M640" s="1">
        <v>72.400000000000006</v>
      </c>
      <c r="N640" s="1">
        <v>39.783730400000003</v>
      </c>
      <c r="O640" s="1">
        <v>-100.445882</v>
      </c>
      <c r="P640" s="14">
        <f t="shared" si="69"/>
        <v>34.300000000000004</v>
      </c>
      <c r="Q640" s="13">
        <v>20</v>
      </c>
      <c r="R640" s="16">
        <f t="shared" si="70"/>
        <v>0</v>
      </c>
      <c r="S640" s="14">
        <f t="shared" si="71"/>
        <v>0</v>
      </c>
      <c r="T640" s="13">
        <f t="shared" si="72"/>
        <v>10.7</v>
      </c>
      <c r="U640" s="14">
        <f t="shared" si="73"/>
        <v>61.199999999999996</v>
      </c>
      <c r="V640" s="14">
        <f t="shared" si="74"/>
        <v>46</v>
      </c>
      <c r="W640" s="1">
        <f t="shared" si="75"/>
        <v>36.199999999999996</v>
      </c>
      <c r="X640" s="1" t="str">
        <f>IF(Table1[[#This Row],[World Rank]]&lt;=250,"Q1-Elite",IF(Table1[[#This Row],[World Rank]]&lt;=500,"Q2-Strong",IF(Table1[[#This Row],[World Rank]]&lt;=750,"Q3-Developing","Q4-Emerging")))</f>
        <v>Q3-Developing</v>
      </c>
    </row>
    <row r="641" spans="1:24" x14ac:dyDescent="0.2">
      <c r="A641" s="1">
        <v>640</v>
      </c>
      <c r="B641" s="1" t="s">
        <v>706</v>
      </c>
      <c r="C641" s="1" t="s">
        <v>118</v>
      </c>
      <c r="D641" s="1" t="s">
        <v>1124</v>
      </c>
      <c r="E641" s="1">
        <v>19</v>
      </c>
      <c r="F641" s="1">
        <v>528</v>
      </c>
      <c r="G641" s="1">
        <v>1001</v>
      </c>
      <c r="H641" s="1">
        <v>304</v>
      </c>
      <c r="I641" s="1">
        <v>557</v>
      </c>
      <c r="J641" s="1">
        <v>568</v>
      </c>
      <c r="K641" s="1">
        <v>847</v>
      </c>
      <c r="L641" s="1">
        <v>673</v>
      </c>
      <c r="M641" s="1">
        <v>72.400000000000006</v>
      </c>
      <c r="N641" s="1">
        <v>39.326068499999998</v>
      </c>
      <c r="O641" s="1">
        <v>-4.8379791000000001</v>
      </c>
      <c r="P641" s="14">
        <f t="shared" si="69"/>
        <v>43.3</v>
      </c>
      <c r="Q641" s="13">
        <f>((667 - F641) / 666) * 100</f>
        <v>20.870870870870871</v>
      </c>
      <c r="R641" s="16">
        <f t="shared" si="70"/>
        <v>0</v>
      </c>
      <c r="S641" s="14">
        <f t="shared" si="71"/>
        <v>0</v>
      </c>
      <c r="T641" s="13">
        <f t="shared" si="72"/>
        <v>44.4</v>
      </c>
      <c r="U641" s="14">
        <f t="shared" si="73"/>
        <v>15.4</v>
      </c>
      <c r="V641" s="14">
        <f t="shared" si="74"/>
        <v>32.800000000000004</v>
      </c>
      <c r="W641" s="1">
        <f t="shared" si="75"/>
        <v>36.1</v>
      </c>
      <c r="X641" s="1" t="str">
        <f>IF(Table1[[#This Row],[World Rank]]&lt;=250,"Q1-Elite",IF(Table1[[#This Row],[World Rank]]&lt;=500,"Q2-Strong",IF(Table1[[#This Row],[World Rank]]&lt;=750,"Q3-Developing","Q4-Emerging")))</f>
        <v>Q3-Developing</v>
      </c>
    </row>
    <row r="642" spans="1:24" x14ac:dyDescent="0.2">
      <c r="A642" s="1">
        <v>641</v>
      </c>
      <c r="B642" s="1" t="s">
        <v>707</v>
      </c>
      <c r="C642" s="1" t="s">
        <v>15</v>
      </c>
      <c r="D642" s="1" t="s">
        <v>1120</v>
      </c>
      <c r="E642" s="1">
        <v>165</v>
      </c>
      <c r="F642" s="1">
        <v>667</v>
      </c>
      <c r="G642" s="1">
        <v>1001</v>
      </c>
      <c r="H642" s="1">
        <v>304</v>
      </c>
      <c r="I642" s="1">
        <v>779</v>
      </c>
      <c r="J642" s="1">
        <v>572</v>
      </c>
      <c r="K642" s="1">
        <v>475</v>
      </c>
      <c r="L642" s="1">
        <v>673</v>
      </c>
      <c r="M642" s="1">
        <v>72.400000000000006</v>
      </c>
      <c r="N642" s="1">
        <v>39.783730400000003</v>
      </c>
      <c r="O642" s="1">
        <v>-100.445882</v>
      </c>
      <c r="P642" s="14">
        <f t="shared" ref="P642:P705" si="76">((1001 - J642) / 1000) * 100</f>
        <v>42.9</v>
      </c>
      <c r="Q642" s="13">
        <v>20</v>
      </c>
      <c r="R642" s="16">
        <f t="shared" ref="R642:R705" si="77">(1001 - G642) / 1000 * 100</f>
        <v>0</v>
      </c>
      <c r="S642" s="14">
        <f t="shared" ref="S642:S705" si="78">(304 - H642) / 303 * 100</f>
        <v>0</v>
      </c>
      <c r="T642" s="13">
        <f t="shared" ref="T642:T705" si="79">(1001 - I642) / 1000 * 100</f>
        <v>22.2</v>
      </c>
      <c r="U642" s="14">
        <f t="shared" ref="U642:U705" si="80">(1001 - K642) / 1000 * 100</f>
        <v>52.6</v>
      </c>
      <c r="V642" s="14">
        <f t="shared" ref="V642:V705" si="81">(1001 - L642) / 1000 * 100</f>
        <v>32.800000000000004</v>
      </c>
      <c r="W642" s="1">
        <f t="shared" ref="W642:W705" si="82">(1001 - A642) / 1000 * 100</f>
        <v>36</v>
      </c>
      <c r="X642" s="1" t="str">
        <f>IF(Table1[[#This Row],[World Rank]]&lt;=250,"Q1-Elite",IF(Table1[[#This Row],[World Rank]]&lt;=500,"Q2-Strong",IF(Table1[[#This Row],[World Rank]]&lt;=750,"Q3-Developing","Q4-Emerging")))</f>
        <v>Q3-Developing</v>
      </c>
    </row>
    <row r="643" spans="1:24" x14ac:dyDescent="0.2">
      <c r="A643" s="1">
        <v>642</v>
      </c>
      <c r="B643" s="1" t="s">
        <v>708</v>
      </c>
      <c r="C643" s="1" t="s">
        <v>427</v>
      </c>
      <c r="D643" s="1" t="s">
        <v>1125</v>
      </c>
      <c r="E643" s="1">
        <v>5</v>
      </c>
      <c r="F643" s="1">
        <v>667</v>
      </c>
      <c r="G643" s="1">
        <v>1001</v>
      </c>
      <c r="H643" s="1">
        <v>304</v>
      </c>
      <c r="I643" s="1">
        <v>542</v>
      </c>
      <c r="J643" s="1">
        <v>716</v>
      </c>
      <c r="K643" s="1">
        <v>1001</v>
      </c>
      <c r="L643" s="1">
        <v>405</v>
      </c>
      <c r="M643" s="1">
        <v>72.400000000000006</v>
      </c>
      <c r="N643" s="1">
        <v>2.9368696000000001</v>
      </c>
      <c r="O643" s="1">
        <v>115.4443356</v>
      </c>
      <c r="P643" s="14">
        <f t="shared" si="76"/>
        <v>28.499999999999996</v>
      </c>
      <c r="Q643" s="13">
        <v>20</v>
      </c>
      <c r="R643" s="16">
        <f t="shared" si="77"/>
        <v>0</v>
      </c>
      <c r="S643" s="14">
        <f t="shared" si="78"/>
        <v>0</v>
      </c>
      <c r="T643" s="13">
        <f t="shared" si="79"/>
        <v>45.9</v>
      </c>
      <c r="U643" s="14">
        <f t="shared" si="80"/>
        <v>0</v>
      </c>
      <c r="V643" s="14">
        <f t="shared" si="81"/>
        <v>59.599999999999994</v>
      </c>
      <c r="W643" s="1">
        <f t="shared" si="82"/>
        <v>35.9</v>
      </c>
      <c r="X643" s="1" t="str">
        <f>IF(Table1[[#This Row],[World Rank]]&lt;=250,"Q1-Elite",IF(Table1[[#This Row],[World Rank]]&lt;=500,"Q2-Strong",IF(Table1[[#This Row],[World Rank]]&lt;=750,"Q3-Developing","Q4-Emerging")))</f>
        <v>Q3-Developing</v>
      </c>
    </row>
    <row r="644" spans="1:24" x14ac:dyDescent="0.2">
      <c r="A644" s="1">
        <v>643</v>
      </c>
      <c r="B644" s="1" t="s">
        <v>709</v>
      </c>
      <c r="C644" s="1" t="s">
        <v>81</v>
      </c>
      <c r="D644" s="1" t="s">
        <v>1121</v>
      </c>
      <c r="E644" s="1">
        <v>24</v>
      </c>
      <c r="F644" s="1">
        <v>667</v>
      </c>
      <c r="G644" s="1">
        <v>1001</v>
      </c>
      <c r="H644" s="1">
        <v>304</v>
      </c>
      <c r="I644" s="1">
        <v>822</v>
      </c>
      <c r="J644" s="1">
        <v>632</v>
      </c>
      <c r="K644" s="1">
        <v>460</v>
      </c>
      <c r="L644" s="1">
        <v>541</v>
      </c>
      <c r="M644" s="1">
        <v>72.400000000000006</v>
      </c>
      <c r="N644" s="1">
        <v>-24.776108600000001</v>
      </c>
      <c r="O644" s="1">
        <v>134.755</v>
      </c>
      <c r="P644" s="14">
        <f t="shared" si="76"/>
        <v>36.9</v>
      </c>
      <c r="Q644" s="13">
        <v>20</v>
      </c>
      <c r="R644" s="16">
        <f t="shared" si="77"/>
        <v>0</v>
      </c>
      <c r="S644" s="14">
        <f t="shared" si="78"/>
        <v>0</v>
      </c>
      <c r="T644" s="13">
        <f t="shared" si="79"/>
        <v>17.899999999999999</v>
      </c>
      <c r="U644" s="14">
        <f t="shared" si="80"/>
        <v>54.1</v>
      </c>
      <c r="V644" s="14">
        <f t="shared" si="81"/>
        <v>46</v>
      </c>
      <c r="W644" s="1">
        <f t="shared" si="82"/>
        <v>35.799999999999997</v>
      </c>
      <c r="X644" s="1" t="str">
        <f>IF(Table1[[#This Row],[World Rank]]&lt;=250,"Q1-Elite",IF(Table1[[#This Row],[World Rank]]&lt;=500,"Q2-Strong",IF(Table1[[#This Row],[World Rank]]&lt;=750,"Q3-Developing","Q4-Emerging")))</f>
        <v>Q3-Developing</v>
      </c>
    </row>
    <row r="645" spans="1:24" x14ac:dyDescent="0.2">
      <c r="A645" s="1">
        <v>644</v>
      </c>
      <c r="B645" s="1" t="s">
        <v>710</v>
      </c>
      <c r="C645" s="1" t="s">
        <v>72</v>
      </c>
      <c r="D645" s="1" t="s">
        <v>1124</v>
      </c>
      <c r="E645" s="1">
        <v>11</v>
      </c>
      <c r="F645" s="1">
        <v>667</v>
      </c>
      <c r="G645" s="1">
        <v>21</v>
      </c>
      <c r="H645" s="1">
        <v>252</v>
      </c>
      <c r="I645" s="1">
        <v>1001</v>
      </c>
      <c r="J645" s="1">
        <v>1001</v>
      </c>
      <c r="K645" s="1">
        <v>830</v>
      </c>
      <c r="L645" s="1">
        <v>673</v>
      </c>
      <c r="M645" s="1">
        <v>72.400000000000006</v>
      </c>
      <c r="N645" s="1">
        <v>44.133434999999999</v>
      </c>
      <c r="O645" s="1">
        <v>-70.822677999999996</v>
      </c>
      <c r="P645" s="14">
        <f t="shared" si="76"/>
        <v>0</v>
      </c>
      <c r="Q645" s="13">
        <v>20</v>
      </c>
      <c r="R645" s="16">
        <f t="shared" si="77"/>
        <v>98</v>
      </c>
      <c r="S645" s="14">
        <f t="shared" si="78"/>
        <v>17.161716171617162</v>
      </c>
      <c r="T645" s="13">
        <f t="shared" si="79"/>
        <v>0</v>
      </c>
      <c r="U645" s="14">
        <f t="shared" si="80"/>
        <v>17.100000000000001</v>
      </c>
      <c r="V645" s="14">
        <f t="shared" si="81"/>
        <v>32.800000000000004</v>
      </c>
      <c r="W645" s="1">
        <f t="shared" si="82"/>
        <v>35.699999999999996</v>
      </c>
      <c r="X645" s="1" t="str">
        <f>IF(Table1[[#This Row],[World Rank]]&lt;=250,"Q1-Elite",IF(Table1[[#This Row],[World Rank]]&lt;=500,"Q2-Strong",IF(Table1[[#This Row],[World Rank]]&lt;=750,"Q3-Developing","Q4-Emerging")))</f>
        <v>Q3-Developing</v>
      </c>
    </row>
    <row r="646" spans="1:24" x14ac:dyDescent="0.2">
      <c r="A646" s="1">
        <v>645</v>
      </c>
      <c r="B646" s="1" t="s">
        <v>711</v>
      </c>
      <c r="C646" s="1" t="s">
        <v>124</v>
      </c>
      <c r="D646" s="1" t="s">
        <v>1125</v>
      </c>
      <c r="E646" s="1">
        <v>53</v>
      </c>
      <c r="F646" s="1">
        <v>667</v>
      </c>
      <c r="G646" s="1">
        <v>1001</v>
      </c>
      <c r="H646" s="1">
        <v>304</v>
      </c>
      <c r="I646" s="1">
        <v>452</v>
      </c>
      <c r="J646" s="1">
        <v>501</v>
      </c>
      <c r="K646" s="1">
        <v>828</v>
      </c>
      <c r="L646" s="1">
        <v>1001</v>
      </c>
      <c r="M646" s="1">
        <v>72.3</v>
      </c>
      <c r="N646" s="1">
        <v>30.047992000000001</v>
      </c>
      <c r="O646" s="1">
        <v>-94.335743300000004</v>
      </c>
      <c r="P646" s="14">
        <f t="shared" si="76"/>
        <v>50</v>
      </c>
      <c r="Q646" s="13">
        <v>20</v>
      </c>
      <c r="R646" s="16">
        <f t="shared" si="77"/>
        <v>0</v>
      </c>
      <c r="S646" s="14">
        <f t="shared" si="78"/>
        <v>0</v>
      </c>
      <c r="T646" s="13">
        <f t="shared" si="79"/>
        <v>54.900000000000006</v>
      </c>
      <c r="U646" s="14">
        <f t="shared" si="80"/>
        <v>17.299999999999997</v>
      </c>
      <c r="V646" s="14">
        <f t="shared" si="81"/>
        <v>0</v>
      </c>
      <c r="W646" s="1">
        <f t="shared" si="82"/>
        <v>35.6</v>
      </c>
      <c r="X646" s="1" t="str">
        <f>IF(Table1[[#This Row],[World Rank]]&lt;=250,"Q1-Elite",IF(Table1[[#This Row],[World Rank]]&lt;=500,"Q2-Strong",IF(Table1[[#This Row],[World Rank]]&lt;=750,"Q3-Developing","Q4-Emerging")))</f>
        <v>Q3-Developing</v>
      </c>
    </row>
    <row r="647" spans="1:24" x14ac:dyDescent="0.2">
      <c r="A647" s="1">
        <v>646</v>
      </c>
      <c r="B647" s="1" t="s">
        <v>712</v>
      </c>
      <c r="C647" s="1" t="s">
        <v>124</v>
      </c>
      <c r="D647" s="1" t="s">
        <v>1125</v>
      </c>
      <c r="E647" s="1">
        <v>54</v>
      </c>
      <c r="F647" s="1">
        <v>667</v>
      </c>
      <c r="G647" s="1">
        <v>1001</v>
      </c>
      <c r="H647" s="1">
        <v>304</v>
      </c>
      <c r="I647" s="1">
        <v>558</v>
      </c>
      <c r="J647" s="1">
        <v>571</v>
      </c>
      <c r="K647" s="1">
        <v>1001</v>
      </c>
      <c r="L647" s="1">
        <v>541</v>
      </c>
      <c r="M647" s="1">
        <v>72.3</v>
      </c>
      <c r="N647" s="1">
        <v>30.047992000000001</v>
      </c>
      <c r="O647" s="1">
        <v>-94.335743300000004</v>
      </c>
      <c r="P647" s="14">
        <f t="shared" si="76"/>
        <v>43</v>
      </c>
      <c r="Q647" s="13">
        <v>20</v>
      </c>
      <c r="R647" s="16">
        <f t="shared" si="77"/>
        <v>0</v>
      </c>
      <c r="S647" s="14">
        <f t="shared" si="78"/>
        <v>0</v>
      </c>
      <c r="T647" s="13">
        <f t="shared" si="79"/>
        <v>44.3</v>
      </c>
      <c r="U647" s="14">
        <f t="shared" si="80"/>
        <v>0</v>
      </c>
      <c r="V647" s="14">
        <f t="shared" si="81"/>
        <v>46</v>
      </c>
      <c r="W647" s="1">
        <f t="shared" si="82"/>
        <v>35.5</v>
      </c>
      <c r="X647" s="1" t="str">
        <f>IF(Table1[[#This Row],[World Rank]]&lt;=250,"Q1-Elite",IF(Table1[[#This Row],[World Rank]]&lt;=500,"Q2-Strong",IF(Table1[[#This Row],[World Rank]]&lt;=750,"Q3-Developing","Q4-Emerging")))</f>
        <v>Q3-Developing</v>
      </c>
    </row>
    <row r="648" spans="1:24" x14ac:dyDescent="0.2">
      <c r="A648" s="1">
        <v>647</v>
      </c>
      <c r="B648" s="1" t="s">
        <v>713</v>
      </c>
      <c r="C648" s="1" t="s">
        <v>212</v>
      </c>
      <c r="D648" s="1" t="s">
        <v>1124</v>
      </c>
      <c r="E648" s="1">
        <v>7</v>
      </c>
      <c r="F648" s="1">
        <v>639</v>
      </c>
      <c r="G648" s="1">
        <v>1001</v>
      </c>
      <c r="H648" s="1">
        <v>289</v>
      </c>
      <c r="I648" s="1">
        <v>729</v>
      </c>
      <c r="J648" s="1">
        <v>626</v>
      </c>
      <c r="K648" s="1">
        <v>569</v>
      </c>
      <c r="L648" s="1">
        <v>673</v>
      </c>
      <c r="M648" s="1">
        <v>72.3</v>
      </c>
      <c r="N648" s="1">
        <v>47.593969999999999</v>
      </c>
      <c r="O648" s="1">
        <v>14.124560000000001</v>
      </c>
      <c r="P648" s="14">
        <f t="shared" si="76"/>
        <v>37.5</v>
      </c>
      <c r="Q648" s="13">
        <v>20</v>
      </c>
      <c r="R648" s="16">
        <f t="shared" si="77"/>
        <v>0</v>
      </c>
      <c r="S648" s="14">
        <f t="shared" si="78"/>
        <v>4.9504950495049505</v>
      </c>
      <c r="T648" s="13">
        <f t="shared" si="79"/>
        <v>27.200000000000003</v>
      </c>
      <c r="U648" s="14">
        <f t="shared" si="80"/>
        <v>43.2</v>
      </c>
      <c r="V648" s="14">
        <f t="shared" si="81"/>
        <v>32.800000000000004</v>
      </c>
      <c r="W648" s="1">
        <f t="shared" si="82"/>
        <v>35.4</v>
      </c>
      <c r="X648" s="1" t="str">
        <f>IF(Table1[[#This Row],[World Rank]]&lt;=250,"Q1-Elite",IF(Table1[[#This Row],[World Rank]]&lt;=500,"Q2-Strong",IF(Table1[[#This Row],[World Rank]]&lt;=750,"Q3-Developing","Q4-Emerging")))</f>
        <v>Q3-Developing</v>
      </c>
    </row>
    <row r="649" spans="1:24" x14ac:dyDescent="0.2">
      <c r="A649" s="1">
        <v>648</v>
      </c>
      <c r="B649" s="1" t="s">
        <v>714</v>
      </c>
      <c r="C649" s="1" t="s">
        <v>591</v>
      </c>
      <c r="D649" s="1" t="s">
        <v>1125</v>
      </c>
      <c r="E649" s="1">
        <v>6</v>
      </c>
      <c r="F649" s="1">
        <v>667</v>
      </c>
      <c r="G649" s="1">
        <v>785</v>
      </c>
      <c r="H649" s="1">
        <v>304</v>
      </c>
      <c r="I649" s="1">
        <v>587</v>
      </c>
      <c r="J649" s="1">
        <v>711</v>
      </c>
      <c r="K649" s="1">
        <v>1001</v>
      </c>
      <c r="L649" s="1">
        <v>405</v>
      </c>
      <c r="M649" s="1">
        <v>72.3</v>
      </c>
      <c r="N649" s="1">
        <v>38.959759400000003</v>
      </c>
      <c r="O649" s="1">
        <v>34.924965299999997</v>
      </c>
      <c r="P649" s="14">
        <f t="shared" si="76"/>
        <v>28.999999999999996</v>
      </c>
      <c r="Q649" s="13">
        <v>20</v>
      </c>
      <c r="R649" s="16">
        <f t="shared" si="77"/>
        <v>21.6</v>
      </c>
      <c r="S649" s="14">
        <f t="shared" si="78"/>
        <v>0</v>
      </c>
      <c r="T649" s="13">
        <f t="shared" si="79"/>
        <v>41.4</v>
      </c>
      <c r="U649" s="14">
        <f t="shared" si="80"/>
        <v>0</v>
      </c>
      <c r="V649" s="14">
        <f t="shared" si="81"/>
        <v>59.599999999999994</v>
      </c>
      <c r="W649" s="1">
        <f t="shared" si="82"/>
        <v>35.299999999999997</v>
      </c>
      <c r="X649" s="1" t="str">
        <f>IF(Table1[[#This Row],[World Rank]]&lt;=250,"Q1-Elite",IF(Table1[[#This Row],[World Rank]]&lt;=500,"Q2-Strong",IF(Table1[[#This Row],[World Rank]]&lt;=750,"Q3-Developing","Q4-Emerging")))</f>
        <v>Q3-Developing</v>
      </c>
    </row>
    <row r="650" spans="1:24" x14ac:dyDescent="0.2">
      <c r="A650" s="1">
        <v>649</v>
      </c>
      <c r="B650" s="1" t="s">
        <v>715</v>
      </c>
      <c r="C650" s="1" t="s">
        <v>15</v>
      </c>
      <c r="D650" s="1" t="s">
        <v>1120</v>
      </c>
      <c r="E650" s="1">
        <v>166</v>
      </c>
      <c r="F650" s="1">
        <v>667</v>
      </c>
      <c r="G650" s="1">
        <v>1001</v>
      </c>
      <c r="H650" s="1">
        <v>304</v>
      </c>
      <c r="I650" s="1">
        <v>738</v>
      </c>
      <c r="J650" s="1">
        <v>621</v>
      </c>
      <c r="K650" s="1">
        <v>486</v>
      </c>
      <c r="L650" s="1">
        <v>673</v>
      </c>
      <c r="M650" s="1">
        <v>72.3</v>
      </c>
      <c r="N650" s="1">
        <v>39.783730400000003</v>
      </c>
      <c r="O650" s="1">
        <v>-100.445882</v>
      </c>
      <c r="P650" s="14">
        <f t="shared" si="76"/>
        <v>38</v>
      </c>
      <c r="Q650" s="13">
        <v>20</v>
      </c>
      <c r="R650" s="16">
        <f t="shared" si="77"/>
        <v>0</v>
      </c>
      <c r="S650" s="14">
        <f t="shared" si="78"/>
        <v>0</v>
      </c>
      <c r="T650" s="13">
        <f t="shared" si="79"/>
        <v>26.3</v>
      </c>
      <c r="U650" s="14">
        <f t="shared" si="80"/>
        <v>51.5</v>
      </c>
      <c r="V650" s="14">
        <f t="shared" si="81"/>
        <v>32.800000000000004</v>
      </c>
      <c r="W650" s="1">
        <f t="shared" si="82"/>
        <v>35.199999999999996</v>
      </c>
      <c r="X650" s="1" t="str">
        <f>IF(Table1[[#This Row],[World Rank]]&lt;=250,"Q1-Elite",IF(Table1[[#This Row],[World Rank]]&lt;=500,"Q2-Strong",IF(Table1[[#This Row],[World Rank]]&lt;=750,"Q3-Developing","Q4-Emerging")))</f>
        <v>Q3-Developing</v>
      </c>
    </row>
    <row r="651" spans="1:24" x14ac:dyDescent="0.2">
      <c r="A651" s="1">
        <v>650</v>
      </c>
      <c r="B651" s="1" t="s">
        <v>716</v>
      </c>
      <c r="C651" s="1" t="s">
        <v>93</v>
      </c>
      <c r="D651" s="1" t="s">
        <v>1124</v>
      </c>
      <c r="E651" s="1">
        <v>32</v>
      </c>
      <c r="F651" s="1">
        <v>667</v>
      </c>
      <c r="G651" s="1">
        <v>1001</v>
      </c>
      <c r="H651" s="1">
        <v>304</v>
      </c>
      <c r="I651" s="1">
        <v>942</v>
      </c>
      <c r="J651" s="1">
        <v>753</v>
      </c>
      <c r="K651" s="1">
        <v>493</v>
      </c>
      <c r="L651" s="1">
        <v>327</v>
      </c>
      <c r="M651" s="1">
        <v>72.3</v>
      </c>
      <c r="N651" s="1">
        <v>42.638426099999997</v>
      </c>
      <c r="O651" s="1">
        <v>12.674296999999999</v>
      </c>
      <c r="P651" s="14">
        <f t="shared" si="76"/>
        <v>24.8</v>
      </c>
      <c r="Q651" s="13">
        <v>20</v>
      </c>
      <c r="R651" s="16">
        <f t="shared" si="77"/>
        <v>0</v>
      </c>
      <c r="S651" s="14">
        <f t="shared" si="78"/>
        <v>0</v>
      </c>
      <c r="T651" s="13">
        <f t="shared" si="79"/>
        <v>5.8999999999999995</v>
      </c>
      <c r="U651" s="14">
        <f t="shared" si="80"/>
        <v>50.8</v>
      </c>
      <c r="V651" s="14">
        <f t="shared" si="81"/>
        <v>67.400000000000006</v>
      </c>
      <c r="W651" s="1">
        <f t="shared" si="82"/>
        <v>35.099999999999994</v>
      </c>
      <c r="X651" s="1" t="str">
        <f>IF(Table1[[#This Row],[World Rank]]&lt;=250,"Q1-Elite",IF(Table1[[#This Row],[World Rank]]&lt;=500,"Q2-Strong",IF(Table1[[#This Row],[World Rank]]&lt;=750,"Q3-Developing","Q4-Emerging")))</f>
        <v>Q3-Developing</v>
      </c>
    </row>
    <row r="652" spans="1:24" x14ac:dyDescent="0.2">
      <c r="A652" s="1">
        <v>651</v>
      </c>
      <c r="B652" s="1" t="s">
        <v>717</v>
      </c>
      <c r="C652" s="1" t="s">
        <v>478</v>
      </c>
      <c r="D652" s="1" t="s">
        <v>1125</v>
      </c>
      <c r="E652" s="1">
        <v>4</v>
      </c>
      <c r="F652" s="1">
        <v>667</v>
      </c>
      <c r="G652" s="1">
        <v>189</v>
      </c>
      <c r="H652" s="1">
        <v>304</v>
      </c>
      <c r="I652" s="1">
        <v>534</v>
      </c>
      <c r="J652" s="1">
        <v>551</v>
      </c>
      <c r="K652" s="1">
        <v>1001</v>
      </c>
      <c r="L652" s="1">
        <v>898</v>
      </c>
      <c r="M652" s="1">
        <v>72.3</v>
      </c>
      <c r="N652" s="1">
        <v>22.351114800000001</v>
      </c>
      <c r="O652" s="1">
        <v>78.667742799999999</v>
      </c>
      <c r="P652" s="14">
        <f t="shared" si="76"/>
        <v>45</v>
      </c>
      <c r="Q652" s="13">
        <v>20</v>
      </c>
      <c r="R652" s="16">
        <f t="shared" si="77"/>
        <v>81.2</v>
      </c>
      <c r="S652" s="14">
        <f t="shared" si="78"/>
        <v>0</v>
      </c>
      <c r="T652" s="13">
        <f t="shared" si="79"/>
        <v>46.7</v>
      </c>
      <c r="U652" s="14">
        <f t="shared" si="80"/>
        <v>0</v>
      </c>
      <c r="V652" s="14">
        <f t="shared" si="81"/>
        <v>10.299999999999999</v>
      </c>
      <c r="W652" s="1">
        <f t="shared" si="82"/>
        <v>35</v>
      </c>
      <c r="X652" s="1" t="str">
        <f>IF(Table1[[#This Row],[World Rank]]&lt;=250,"Q1-Elite",IF(Table1[[#This Row],[World Rank]]&lt;=500,"Q2-Strong",IF(Table1[[#This Row],[World Rank]]&lt;=750,"Q3-Developing","Q4-Emerging")))</f>
        <v>Q3-Developing</v>
      </c>
    </row>
    <row r="653" spans="1:24" x14ac:dyDescent="0.2">
      <c r="A653" s="1">
        <v>652</v>
      </c>
      <c r="B653" s="1" t="s">
        <v>718</v>
      </c>
      <c r="C653" s="1" t="s">
        <v>48</v>
      </c>
      <c r="D653" s="1" t="s">
        <v>1124</v>
      </c>
      <c r="E653" s="1">
        <v>34</v>
      </c>
      <c r="F653" s="1">
        <v>592</v>
      </c>
      <c r="G653" s="1">
        <v>1001</v>
      </c>
      <c r="H653" s="1">
        <v>260</v>
      </c>
      <c r="I653" s="1">
        <v>1001</v>
      </c>
      <c r="J653" s="1">
        <v>741</v>
      </c>
      <c r="K653" s="1">
        <v>401</v>
      </c>
      <c r="L653" s="1">
        <v>673</v>
      </c>
      <c r="M653" s="1">
        <v>72.3</v>
      </c>
      <c r="N653" s="1">
        <v>46.603354000000003</v>
      </c>
      <c r="O653" s="1">
        <v>1.8883335000000001</v>
      </c>
      <c r="P653" s="14">
        <f t="shared" si="76"/>
        <v>26</v>
      </c>
      <c r="Q653" s="13">
        <v>20</v>
      </c>
      <c r="R653" s="16">
        <f t="shared" si="77"/>
        <v>0</v>
      </c>
      <c r="S653" s="14">
        <f t="shared" si="78"/>
        <v>14.521452145214523</v>
      </c>
      <c r="T653" s="13">
        <f t="shared" si="79"/>
        <v>0</v>
      </c>
      <c r="U653" s="14">
        <f t="shared" si="80"/>
        <v>60</v>
      </c>
      <c r="V653" s="14">
        <f t="shared" si="81"/>
        <v>32.800000000000004</v>
      </c>
      <c r="W653" s="1">
        <f t="shared" si="82"/>
        <v>34.9</v>
      </c>
      <c r="X653" s="1" t="str">
        <f>IF(Table1[[#This Row],[World Rank]]&lt;=250,"Q1-Elite",IF(Table1[[#This Row],[World Rank]]&lt;=500,"Q2-Strong",IF(Table1[[#This Row],[World Rank]]&lt;=750,"Q3-Developing","Q4-Emerging")))</f>
        <v>Q3-Developing</v>
      </c>
    </row>
    <row r="654" spans="1:24" x14ac:dyDescent="0.2">
      <c r="A654" s="1">
        <v>653</v>
      </c>
      <c r="B654" s="1" t="s">
        <v>719</v>
      </c>
      <c r="C654" s="1" t="s">
        <v>118</v>
      </c>
      <c r="D654" s="1" t="s">
        <v>1124</v>
      </c>
      <c r="E654" s="1">
        <v>20</v>
      </c>
      <c r="F654" s="1">
        <v>667</v>
      </c>
      <c r="G654" s="1">
        <v>99</v>
      </c>
      <c r="H654" s="1">
        <v>304</v>
      </c>
      <c r="I654" s="1">
        <v>677</v>
      </c>
      <c r="J654" s="1">
        <v>589</v>
      </c>
      <c r="K654" s="1">
        <v>701</v>
      </c>
      <c r="L654" s="1">
        <v>1001</v>
      </c>
      <c r="M654" s="1">
        <v>72.3</v>
      </c>
      <c r="N654" s="1">
        <v>39.326068499999998</v>
      </c>
      <c r="O654" s="1">
        <v>-4.8379791000000001</v>
      </c>
      <c r="P654" s="14">
        <f t="shared" si="76"/>
        <v>41.199999999999996</v>
      </c>
      <c r="Q654" s="13">
        <v>20</v>
      </c>
      <c r="R654" s="16">
        <f t="shared" si="77"/>
        <v>90.2</v>
      </c>
      <c r="S654" s="14">
        <f t="shared" si="78"/>
        <v>0</v>
      </c>
      <c r="T654" s="13">
        <f t="shared" si="79"/>
        <v>32.4</v>
      </c>
      <c r="U654" s="14">
        <f t="shared" si="80"/>
        <v>30</v>
      </c>
      <c r="V654" s="14">
        <f t="shared" si="81"/>
        <v>0</v>
      </c>
      <c r="W654" s="1">
        <f t="shared" si="82"/>
        <v>34.799999999999997</v>
      </c>
      <c r="X654" s="1" t="str">
        <f>IF(Table1[[#This Row],[World Rank]]&lt;=250,"Q1-Elite",IF(Table1[[#This Row],[World Rank]]&lt;=500,"Q2-Strong",IF(Table1[[#This Row],[World Rank]]&lt;=750,"Q3-Developing","Q4-Emerging")))</f>
        <v>Q3-Developing</v>
      </c>
    </row>
    <row r="655" spans="1:24" x14ac:dyDescent="0.2">
      <c r="A655" s="1">
        <v>654</v>
      </c>
      <c r="B655" s="1" t="s">
        <v>720</v>
      </c>
      <c r="C655" s="1" t="s">
        <v>145</v>
      </c>
      <c r="D655" s="1" t="s">
        <v>1125</v>
      </c>
      <c r="E655" s="1">
        <v>11</v>
      </c>
      <c r="F655" s="1">
        <v>667</v>
      </c>
      <c r="G655" s="1">
        <v>1001</v>
      </c>
      <c r="H655" s="1">
        <v>304</v>
      </c>
      <c r="I655" s="1">
        <v>498</v>
      </c>
      <c r="J655" s="1">
        <v>466</v>
      </c>
      <c r="K655" s="1">
        <v>852</v>
      </c>
      <c r="L655" s="1">
        <v>1001</v>
      </c>
      <c r="M655" s="1">
        <v>72.3</v>
      </c>
      <c r="N655" s="1">
        <v>23.598322700000001</v>
      </c>
      <c r="O655" s="2" t="s">
        <v>146</v>
      </c>
      <c r="P655" s="14">
        <f t="shared" si="76"/>
        <v>53.5</v>
      </c>
      <c r="Q655" s="13">
        <v>20</v>
      </c>
      <c r="R655" s="16">
        <f t="shared" si="77"/>
        <v>0</v>
      </c>
      <c r="S655" s="14">
        <f t="shared" si="78"/>
        <v>0</v>
      </c>
      <c r="T655" s="13">
        <f t="shared" si="79"/>
        <v>50.3</v>
      </c>
      <c r="U655" s="14">
        <f t="shared" si="80"/>
        <v>14.899999999999999</v>
      </c>
      <c r="V655" s="14">
        <f t="shared" si="81"/>
        <v>0</v>
      </c>
      <c r="W655" s="1">
        <f t="shared" si="82"/>
        <v>34.699999999999996</v>
      </c>
      <c r="X655" s="1" t="str">
        <f>IF(Table1[[#This Row],[World Rank]]&lt;=250,"Q1-Elite",IF(Table1[[#This Row],[World Rank]]&lt;=500,"Q2-Strong",IF(Table1[[#This Row],[World Rank]]&lt;=750,"Q3-Developing","Q4-Emerging")))</f>
        <v>Q3-Developing</v>
      </c>
    </row>
    <row r="656" spans="1:24" x14ac:dyDescent="0.2">
      <c r="A656" s="1">
        <v>655</v>
      </c>
      <c r="B656" s="1" t="s">
        <v>721</v>
      </c>
      <c r="C656" s="1" t="s">
        <v>145</v>
      </c>
      <c r="D656" s="1" t="s">
        <v>1125</v>
      </c>
      <c r="E656" s="1">
        <v>12</v>
      </c>
      <c r="F656" s="1">
        <v>667</v>
      </c>
      <c r="G656" s="1">
        <v>1001</v>
      </c>
      <c r="H656" s="1">
        <v>304</v>
      </c>
      <c r="I656" s="1">
        <v>522</v>
      </c>
      <c r="J656" s="1">
        <v>531</v>
      </c>
      <c r="K656" s="1">
        <v>903</v>
      </c>
      <c r="L656" s="1">
        <v>898</v>
      </c>
      <c r="M656" s="1">
        <v>72.3</v>
      </c>
      <c r="N656" s="1">
        <v>23.598322700000001</v>
      </c>
      <c r="O656" s="2" t="s">
        <v>146</v>
      </c>
      <c r="P656" s="14">
        <f t="shared" si="76"/>
        <v>47</v>
      </c>
      <c r="Q656" s="13">
        <v>20</v>
      </c>
      <c r="R656" s="16">
        <f t="shared" si="77"/>
        <v>0</v>
      </c>
      <c r="S656" s="14">
        <f t="shared" si="78"/>
        <v>0</v>
      </c>
      <c r="T656" s="13">
        <f t="shared" si="79"/>
        <v>47.9</v>
      </c>
      <c r="U656" s="14">
        <f t="shared" si="80"/>
        <v>9.8000000000000007</v>
      </c>
      <c r="V656" s="14">
        <f t="shared" si="81"/>
        <v>10.299999999999999</v>
      </c>
      <c r="W656" s="1">
        <f t="shared" si="82"/>
        <v>34.599999999999994</v>
      </c>
      <c r="X656" s="1" t="str">
        <f>IF(Table1[[#This Row],[World Rank]]&lt;=250,"Q1-Elite",IF(Table1[[#This Row],[World Rank]]&lt;=500,"Q2-Strong",IF(Table1[[#This Row],[World Rank]]&lt;=750,"Q3-Developing","Q4-Emerging")))</f>
        <v>Q3-Developing</v>
      </c>
    </row>
    <row r="657" spans="1:24" x14ac:dyDescent="0.2">
      <c r="A657" s="1">
        <v>656</v>
      </c>
      <c r="B657" s="1" t="s">
        <v>722</v>
      </c>
      <c r="C657" s="1" t="s">
        <v>48</v>
      </c>
      <c r="D657" s="1" t="s">
        <v>1124</v>
      </c>
      <c r="E657" s="1">
        <v>35</v>
      </c>
      <c r="F657" s="1">
        <v>92</v>
      </c>
      <c r="G657" s="1">
        <v>198</v>
      </c>
      <c r="H657" s="1">
        <v>141</v>
      </c>
      <c r="I657" s="1">
        <v>1001</v>
      </c>
      <c r="J657" s="1">
        <v>959</v>
      </c>
      <c r="K657" s="1">
        <v>835</v>
      </c>
      <c r="L657" s="1">
        <v>541</v>
      </c>
      <c r="M657" s="1">
        <v>72.3</v>
      </c>
      <c r="N657" s="1">
        <v>46.603354000000003</v>
      </c>
      <c r="O657" s="1">
        <v>1.8883335000000001</v>
      </c>
      <c r="P657" s="14">
        <f t="shared" si="76"/>
        <v>4.2</v>
      </c>
      <c r="Q657" s="13">
        <f>((667 - F657) / 666) * 100</f>
        <v>86.336336336336345</v>
      </c>
      <c r="R657" s="16">
        <f t="shared" si="77"/>
        <v>80.300000000000011</v>
      </c>
      <c r="S657" s="14">
        <f t="shared" si="78"/>
        <v>53.795379537953792</v>
      </c>
      <c r="T657" s="13">
        <f t="shared" si="79"/>
        <v>0</v>
      </c>
      <c r="U657" s="14">
        <f t="shared" si="80"/>
        <v>16.600000000000001</v>
      </c>
      <c r="V657" s="14">
        <f t="shared" si="81"/>
        <v>46</v>
      </c>
      <c r="W657" s="1">
        <f t="shared" si="82"/>
        <v>34.5</v>
      </c>
      <c r="X657" s="1" t="str">
        <f>IF(Table1[[#This Row],[World Rank]]&lt;=250,"Q1-Elite",IF(Table1[[#This Row],[World Rank]]&lt;=500,"Q2-Strong",IF(Table1[[#This Row],[World Rank]]&lt;=750,"Q3-Developing","Q4-Emerging")))</f>
        <v>Q3-Developing</v>
      </c>
    </row>
    <row r="658" spans="1:24" x14ac:dyDescent="0.2">
      <c r="A658" s="1">
        <v>657</v>
      </c>
      <c r="B658" s="1" t="s">
        <v>723</v>
      </c>
      <c r="C658" s="1" t="s">
        <v>124</v>
      </c>
      <c r="D658" s="1" t="s">
        <v>1125</v>
      </c>
      <c r="E658" s="1">
        <v>55</v>
      </c>
      <c r="F658" s="1">
        <v>547</v>
      </c>
      <c r="G658" s="1">
        <v>1001</v>
      </c>
      <c r="H658" s="1">
        <v>304</v>
      </c>
      <c r="I658" s="1">
        <v>497</v>
      </c>
      <c r="J658" s="1">
        <v>520</v>
      </c>
      <c r="K658" s="1">
        <v>1001</v>
      </c>
      <c r="L658" s="1">
        <v>898</v>
      </c>
      <c r="M658" s="1">
        <v>72.2</v>
      </c>
      <c r="N658" s="1">
        <v>30.047992000000001</v>
      </c>
      <c r="O658" s="1">
        <v>-94.335743300000004</v>
      </c>
      <c r="P658" s="14">
        <f t="shared" si="76"/>
        <v>48.1</v>
      </c>
      <c r="Q658" s="13">
        <v>20</v>
      </c>
      <c r="R658" s="16">
        <f t="shared" si="77"/>
        <v>0</v>
      </c>
      <c r="S658" s="14">
        <f t="shared" si="78"/>
        <v>0</v>
      </c>
      <c r="T658" s="13">
        <f t="shared" si="79"/>
        <v>50.4</v>
      </c>
      <c r="U658" s="14">
        <f t="shared" si="80"/>
        <v>0</v>
      </c>
      <c r="V658" s="14">
        <f t="shared" si="81"/>
        <v>10.299999999999999</v>
      </c>
      <c r="W658" s="1">
        <f t="shared" si="82"/>
        <v>34.4</v>
      </c>
      <c r="X658" s="1" t="str">
        <f>IF(Table1[[#This Row],[World Rank]]&lt;=250,"Q1-Elite",IF(Table1[[#This Row],[World Rank]]&lt;=500,"Q2-Strong",IF(Table1[[#This Row],[World Rank]]&lt;=750,"Q3-Developing","Q4-Emerging")))</f>
        <v>Q3-Developing</v>
      </c>
    </row>
    <row r="659" spans="1:24" x14ac:dyDescent="0.2">
      <c r="A659" s="1">
        <v>658</v>
      </c>
      <c r="B659" s="1" t="s">
        <v>724</v>
      </c>
      <c r="C659" s="1" t="s">
        <v>470</v>
      </c>
      <c r="D659" s="1" t="s">
        <v>1124</v>
      </c>
      <c r="E659" s="1">
        <v>2</v>
      </c>
      <c r="F659" s="1">
        <v>667</v>
      </c>
      <c r="G659" s="1">
        <v>1001</v>
      </c>
      <c r="H659" s="1">
        <v>304</v>
      </c>
      <c r="I659" s="1">
        <v>681</v>
      </c>
      <c r="J659" s="1">
        <v>669</v>
      </c>
      <c r="K659" s="1">
        <v>412</v>
      </c>
      <c r="L659" s="1">
        <v>898</v>
      </c>
      <c r="M659" s="1">
        <v>72.2</v>
      </c>
      <c r="N659" s="1">
        <v>41.976762899999997</v>
      </c>
      <c r="O659" s="1">
        <v>-72.778984199999996</v>
      </c>
      <c r="P659" s="14">
        <f t="shared" si="76"/>
        <v>33.200000000000003</v>
      </c>
      <c r="Q659" s="13">
        <v>20</v>
      </c>
      <c r="R659" s="16">
        <f t="shared" si="77"/>
        <v>0</v>
      </c>
      <c r="S659" s="14">
        <f t="shared" si="78"/>
        <v>0</v>
      </c>
      <c r="T659" s="13">
        <f t="shared" si="79"/>
        <v>32</v>
      </c>
      <c r="U659" s="14">
        <f t="shared" si="80"/>
        <v>58.9</v>
      </c>
      <c r="V659" s="14">
        <f t="shared" si="81"/>
        <v>10.299999999999999</v>
      </c>
      <c r="W659" s="1">
        <f t="shared" si="82"/>
        <v>34.300000000000004</v>
      </c>
      <c r="X659" s="1" t="str">
        <f>IF(Table1[[#This Row],[World Rank]]&lt;=250,"Q1-Elite",IF(Table1[[#This Row],[World Rank]]&lt;=500,"Q2-Strong",IF(Table1[[#This Row],[World Rank]]&lt;=750,"Q3-Developing","Q4-Emerging")))</f>
        <v>Q3-Developing</v>
      </c>
    </row>
    <row r="660" spans="1:24" x14ac:dyDescent="0.2">
      <c r="A660" s="1">
        <v>659</v>
      </c>
      <c r="B660" s="1" t="s">
        <v>725</v>
      </c>
      <c r="C660" s="1" t="s">
        <v>107</v>
      </c>
      <c r="D660" s="1" t="s">
        <v>1123</v>
      </c>
      <c r="E660" s="1">
        <v>8</v>
      </c>
      <c r="F660" s="1">
        <v>667</v>
      </c>
      <c r="G660" s="1">
        <v>1001</v>
      </c>
      <c r="H660" s="1">
        <v>304</v>
      </c>
      <c r="I660" s="1">
        <v>582</v>
      </c>
      <c r="J660" s="1">
        <v>667</v>
      </c>
      <c r="K660" s="1">
        <v>624</v>
      </c>
      <c r="L660" s="1">
        <v>673</v>
      </c>
      <c r="M660" s="1">
        <v>72.2</v>
      </c>
      <c r="N660" s="1">
        <v>-10.3333333</v>
      </c>
      <c r="O660" s="1">
        <v>-53.2</v>
      </c>
      <c r="P660" s="14">
        <f t="shared" si="76"/>
        <v>33.4</v>
      </c>
      <c r="Q660" s="13">
        <v>20</v>
      </c>
      <c r="R660" s="16">
        <f t="shared" si="77"/>
        <v>0</v>
      </c>
      <c r="S660" s="14">
        <f t="shared" si="78"/>
        <v>0</v>
      </c>
      <c r="T660" s="13">
        <f t="shared" si="79"/>
        <v>41.9</v>
      </c>
      <c r="U660" s="14">
        <f t="shared" si="80"/>
        <v>37.700000000000003</v>
      </c>
      <c r="V660" s="14">
        <f t="shared" si="81"/>
        <v>32.800000000000004</v>
      </c>
      <c r="W660" s="1">
        <f t="shared" si="82"/>
        <v>34.200000000000003</v>
      </c>
      <c r="X660" s="1" t="str">
        <f>IF(Table1[[#This Row],[World Rank]]&lt;=250,"Q1-Elite",IF(Table1[[#This Row],[World Rank]]&lt;=500,"Q2-Strong",IF(Table1[[#This Row],[World Rank]]&lt;=750,"Q3-Developing","Q4-Emerging")))</f>
        <v>Q3-Developing</v>
      </c>
    </row>
    <row r="661" spans="1:24" x14ac:dyDescent="0.2">
      <c r="A661" s="1">
        <v>660</v>
      </c>
      <c r="B661" s="1" t="s">
        <v>726</v>
      </c>
      <c r="C661" s="1" t="s">
        <v>85</v>
      </c>
      <c r="D661" s="1" t="s">
        <v>1125</v>
      </c>
      <c r="E661" s="1">
        <v>22</v>
      </c>
      <c r="F661" s="1">
        <v>667</v>
      </c>
      <c r="G661" s="1">
        <v>1001</v>
      </c>
      <c r="H661" s="1">
        <v>304</v>
      </c>
      <c r="I661" s="1">
        <v>781</v>
      </c>
      <c r="J661" s="1">
        <v>637</v>
      </c>
      <c r="K661" s="1">
        <v>648</v>
      </c>
      <c r="L661" s="1">
        <v>460</v>
      </c>
      <c r="M661" s="1">
        <v>72.2</v>
      </c>
      <c r="N661" s="1">
        <v>36.638392000000003</v>
      </c>
      <c r="O661" s="1">
        <v>127.69611879999999</v>
      </c>
      <c r="P661" s="14">
        <f t="shared" si="76"/>
        <v>36.4</v>
      </c>
      <c r="Q661" s="13">
        <v>20</v>
      </c>
      <c r="R661" s="16">
        <f t="shared" si="77"/>
        <v>0</v>
      </c>
      <c r="S661" s="14">
        <f t="shared" si="78"/>
        <v>0</v>
      </c>
      <c r="T661" s="13">
        <f t="shared" si="79"/>
        <v>22</v>
      </c>
      <c r="U661" s="14">
        <f t="shared" si="80"/>
        <v>35.299999999999997</v>
      </c>
      <c r="V661" s="14">
        <f t="shared" si="81"/>
        <v>54.1</v>
      </c>
      <c r="W661" s="1">
        <f t="shared" si="82"/>
        <v>34.1</v>
      </c>
      <c r="X661" s="1" t="str">
        <f>IF(Table1[[#This Row],[World Rank]]&lt;=250,"Q1-Elite",IF(Table1[[#This Row],[World Rank]]&lt;=500,"Q2-Strong",IF(Table1[[#This Row],[World Rank]]&lt;=750,"Q3-Developing","Q4-Emerging")))</f>
        <v>Q3-Developing</v>
      </c>
    </row>
    <row r="662" spans="1:24" x14ac:dyDescent="0.2">
      <c r="A662" s="1">
        <v>661</v>
      </c>
      <c r="B662" s="1" t="s">
        <v>727</v>
      </c>
      <c r="C662" s="1" t="s">
        <v>93</v>
      </c>
      <c r="D662" s="1" t="s">
        <v>1124</v>
      </c>
      <c r="E662" s="1">
        <v>33</v>
      </c>
      <c r="F662" s="1">
        <v>667</v>
      </c>
      <c r="G662" s="1">
        <v>1001</v>
      </c>
      <c r="H662" s="1">
        <v>304</v>
      </c>
      <c r="I662" s="1">
        <v>669</v>
      </c>
      <c r="J662" s="1">
        <v>630</v>
      </c>
      <c r="K662" s="1">
        <v>1001</v>
      </c>
      <c r="L662" s="1">
        <v>460</v>
      </c>
      <c r="M662" s="1">
        <v>72.2</v>
      </c>
      <c r="N662" s="1">
        <v>42.638426099999997</v>
      </c>
      <c r="O662" s="1">
        <v>12.674296999999999</v>
      </c>
      <c r="P662" s="14">
        <f t="shared" si="76"/>
        <v>37.1</v>
      </c>
      <c r="Q662" s="13">
        <v>20</v>
      </c>
      <c r="R662" s="16">
        <f t="shared" si="77"/>
        <v>0</v>
      </c>
      <c r="S662" s="14">
        <f t="shared" si="78"/>
        <v>0</v>
      </c>
      <c r="T662" s="13">
        <f t="shared" si="79"/>
        <v>33.200000000000003</v>
      </c>
      <c r="U662" s="14">
        <f t="shared" si="80"/>
        <v>0</v>
      </c>
      <c r="V662" s="14">
        <f t="shared" si="81"/>
        <v>54.1</v>
      </c>
      <c r="W662" s="1">
        <f t="shared" si="82"/>
        <v>34</v>
      </c>
      <c r="X662" s="1" t="str">
        <f>IF(Table1[[#This Row],[World Rank]]&lt;=250,"Q1-Elite",IF(Table1[[#This Row],[World Rank]]&lt;=500,"Q2-Strong",IF(Table1[[#This Row],[World Rank]]&lt;=750,"Q3-Developing","Q4-Emerging")))</f>
        <v>Q3-Developing</v>
      </c>
    </row>
    <row r="663" spans="1:24" x14ac:dyDescent="0.2">
      <c r="A663" s="1">
        <v>662</v>
      </c>
      <c r="B663" s="1" t="s">
        <v>728</v>
      </c>
      <c r="C663" s="1" t="s">
        <v>118</v>
      </c>
      <c r="D663" s="1" t="s">
        <v>1124</v>
      </c>
      <c r="E663" s="1">
        <v>21</v>
      </c>
      <c r="F663" s="1">
        <v>667</v>
      </c>
      <c r="G663" s="1">
        <v>1001</v>
      </c>
      <c r="H663" s="1">
        <v>304</v>
      </c>
      <c r="I663" s="1">
        <v>686</v>
      </c>
      <c r="J663" s="1">
        <v>623</v>
      </c>
      <c r="K663" s="1">
        <v>961</v>
      </c>
      <c r="L663" s="1">
        <v>460</v>
      </c>
      <c r="M663" s="1">
        <v>72.2</v>
      </c>
      <c r="N663" s="1">
        <v>39.326068499999998</v>
      </c>
      <c r="O663" s="1">
        <v>-4.8379791000000001</v>
      </c>
      <c r="P663" s="14">
        <f t="shared" si="76"/>
        <v>37.799999999999997</v>
      </c>
      <c r="Q663" s="13">
        <v>20</v>
      </c>
      <c r="R663" s="16">
        <f t="shared" si="77"/>
        <v>0</v>
      </c>
      <c r="S663" s="14">
        <f t="shared" si="78"/>
        <v>0</v>
      </c>
      <c r="T663" s="13">
        <f t="shared" si="79"/>
        <v>31.5</v>
      </c>
      <c r="U663" s="14">
        <f t="shared" si="80"/>
        <v>4</v>
      </c>
      <c r="V663" s="14">
        <f t="shared" si="81"/>
        <v>54.1</v>
      </c>
      <c r="W663" s="1">
        <f t="shared" si="82"/>
        <v>33.900000000000006</v>
      </c>
      <c r="X663" s="1" t="str">
        <f>IF(Table1[[#This Row],[World Rank]]&lt;=250,"Q1-Elite",IF(Table1[[#This Row],[World Rank]]&lt;=500,"Q2-Strong",IF(Table1[[#This Row],[World Rank]]&lt;=750,"Q3-Developing","Q4-Emerging")))</f>
        <v>Q3-Developing</v>
      </c>
    </row>
    <row r="664" spans="1:24" x14ac:dyDescent="0.2">
      <c r="A664" s="1">
        <v>663</v>
      </c>
      <c r="B664" s="1" t="s">
        <v>729</v>
      </c>
      <c r="C664" s="1" t="s">
        <v>93</v>
      </c>
      <c r="D664" s="1" t="s">
        <v>1124</v>
      </c>
      <c r="E664" s="1">
        <v>34</v>
      </c>
      <c r="F664" s="1">
        <v>667</v>
      </c>
      <c r="G664" s="1">
        <v>1001</v>
      </c>
      <c r="H664" s="1">
        <v>304</v>
      </c>
      <c r="I664" s="1">
        <v>609</v>
      </c>
      <c r="J664" s="1">
        <v>595</v>
      </c>
      <c r="K664" s="1">
        <v>761</v>
      </c>
      <c r="L664" s="1">
        <v>673</v>
      </c>
      <c r="M664" s="1">
        <v>72.2</v>
      </c>
      <c r="N664" s="1">
        <v>42.638426099999997</v>
      </c>
      <c r="O664" s="1">
        <v>12.674296999999999</v>
      </c>
      <c r="P664" s="14">
        <f t="shared" si="76"/>
        <v>40.6</v>
      </c>
      <c r="Q664" s="13">
        <v>20</v>
      </c>
      <c r="R664" s="16">
        <f t="shared" si="77"/>
        <v>0</v>
      </c>
      <c r="S664" s="14">
        <f t="shared" si="78"/>
        <v>0</v>
      </c>
      <c r="T664" s="13">
        <f t="shared" si="79"/>
        <v>39.200000000000003</v>
      </c>
      <c r="U664" s="14">
        <f t="shared" si="80"/>
        <v>24</v>
      </c>
      <c r="V664" s="14">
        <f t="shared" si="81"/>
        <v>32.800000000000004</v>
      </c>
      <c r="W664" s="1">
        <f t="shared" si="82"/>
        <v>33.800000000000004</v>
      </c>
      <c r="X664" s="1" t="str">
        <f>IF(Table1[[#This Row],[World Rank]]&lt;=250,"Q1-Elite",IF(Table1[[#This Row],[World Rank]]&lt;=500,"Q2-Strong",IF(Table1[[#This Row],[World Rank]]&lt;=750,"Q3-Developing","Q4-Emerging")))</f>
        <v>Q3-Developing</v>
      </c>
    </row>
    <row r="665" spans="1:24" x14ac:dyDescent="0.2">
      <c r="A665" s="1">
        <v>664</v>
      </c>
      <c r="B665" s="1" t="s">
        <v>730</v>
      </c>
      <c r="C665" s="1" t="s">
        <v>118</v>
      </c>
      <c r="D665" s="1" t="s">
        <v>1124</v>
      </c>
      <c r="E665" s="1">
        <v>22</v>
      </c>
      <c r="F665" s="1">
        <v>667</v>
      </c>
      <c r="G665" s="1">
        <v>1001</v>
      </c>
      <c r="H665" s="1">
        <v>304</v>
      </c>
      <c r="I665" s="1">
        <v>668</v>
      </c>
      <c r="J665" s="1">
        <v>535</v>
      </c>
      <c r="K665" s="1">
        <v>603</v>
      </c>
      <c r="L665" s="1">
        <v>898</v>
      </c>
      <c r="M665" s="1">
        <v>72.2</v>
      </c>
      <c r="N665" s="1">
        <v>39.326068499999998</v>
      </c>
      <c r="O665" s="1">
        <v>-4.8379791000000001</v>
      </c>
      <c r="P665" s="14">
        <f t="shared" si="76"/>
        <v>46.6</v>
      </c>
      <c r="Q665" s="13">
        <v>20</v>
      </c>
      <c r="R665" s="16">
        <f t="shared" si="77"/>
        <v>0</v>
      </c>
      <c r="S665" s="14">
        <f t="shared" si="78"/>
        <v>0</v>
      </c>
      <c r="T665" s="13">
        <f t="shared" si="79"/>
        <v>33.300000000000004</v>
      </c>
      <c r="U665" s="14">
        <f t="shared" si="80"/>
        <v>39.800000000000004</v>
      </c>
      <c r="V665" s="14">
        <f t="shared" si="81"/>
        <v>10.299999999999999</v>
      </c>
      <c r="W665" s="1">
        <f t="shared" si="82"/>
        <v>33.700000000000003</v>
      </c>
      <c r="X665" s="1" t="str">
        <f>IF(Table1[[#This Row],[World Rank]]&lt;=250,"Q1-Elite",IF(Table1[[#This Row],[World Rank]]&lt;=500,"Q2-Strong",IF(Table1[[#This Row],[World Rank]]&lt;=750,"Q3-Developing","Q4-Emerging")))</f>
        <v>Q3-Developing</v>
      </c>
    </row>
    <row r="666" spans="1:24" x14ac:dyDescent="0.2">
      <c r="A666" s="1">
        <v>665</v>
      </c>
      <c r="B666" s="1" t="s">
        <v>731</v>
      </c>
      <c r="C666" s="1" t="s">
        <v>15</v>
      </c>
      <c r="D666" s="1" t="s">
        <v>1120</v>
      </c>
      <c r="E666" s="1">
        <v>167</v>
      </c>
      <c r="F666" s="1">
        <v>667</v>
      </c>
      <c r="G666" s="1">
        <v>1001</v>
      </c>
      <c r="H666" s="1">
        <v>304</v>
      </c>
      <c r="I666" s="1">
        <v>818</v>
      </c>
      <c r="J666" s="1">
        <v>698</v>
      </c>
      <c r="K666" s="1">
        <v>524</v>
      </c>
      <c r="L666" s="1">
        <v>460</v>
      </c>
      <c r="M666" s="1">
        <v>72.2</v>
      </c>
      <c r="N666" s="1">
        <v>39.783730400000003</v>
      </c>
      <c r="O666" s="1">
        <v>-100.445882</v>
      </c>
      <c r="P666" s="14">
        <f t="shared" si="76"/>
        <v>30.3</v>
      </c>
      <c r="Q666" s="13">
        <v>20</v>
      </c>
      <c r="R666" s="16">
        <f t="shared" si="77"/>
        <v>0</v>
      </c>
      <c r="S666" s="14">
        <f t="shared" si="78"/>
        <v>0</v>
      </c>
      <c r="T666" s="13">
        <f t="shared" si="79"/>
        <v>18.3</v>
      </c>
      <c r="U666" s="14">
        <f t="shared" si="80"/>
        <v>47.699999999999996</v>
      </c>
      <c r="V666" s="14">
        <f t="shared" si="81"/>
        <v>54.1</v>
      </c>
      <c r="W666" s="1">
        <f t="shared" si="82"/>
        <v>33.6</v>
      </c>
      <c r="X666" s="1" t="str">
        <f>IF(Table1[[#This Row],[World Rank]]&lt;=250,"Q1-Elite",IF(Table1[[#This Row],[World Rank]]&lt;=500,"Q2-Strong",IF(Table1[[#This Row],[World Rank]]&lt;=750,"Q3-Developing","Q4-Emerging")))</f>
        <v>Q3-Developing</v>
      </c>
    </row>
    <row r="667" spans="1:24" x14ac:dyDescent="0.2">
      <c r="A667" s="1">
        <v>666</v>
      </c>
      <c r="B667" s="1" t="s">
        <v>732</v>
      </c>
      <c r="C667" s="1" t="s">
        <v>15</v>
      </c>
      <c r="D667" s="1" t="s">
        <v>1120</v>
      </c>
      <c r="E667" s="1">
        <v>168</v>
      </c>
      <c r="F667" s="1">
        <v>667</v>
      </c>
      <c r="G667" s="1">
        <v>1001</v>
      </c>
      <c r="H667" s="1">
        <v>304</v>
      </c>
      <c r="I667" s="1">
        <v>984</v>
      </c>
      <c r="J667" s="1">
        <v>768</v>
      </c>
      <c r="K667" s="1">
        <v>538</v>
      </c>
      <c r="L667" s="1">
        <v>304</v>
      </c>
      <c r="M667" s="1">
        <v>72.2</v>
      </c>
      <c r="N667" s="1">
        <v>39.783730400000003</v>
      </c>
      <c r="O667" s="1">
        <v>-100.445882</v>
      </c>
      <c r="P667" s="14">
        <f t="shared" si="76"/>
        <v>23.3</v>
      </c>
      <c r="Q667" s="13">
        <v>20</v>
      </c>
      <c r="R667" s="16">
        <f t="shared" si="77"/>
        <v>0</v>
      </c>
      <c r="S667" s="14">
        <f t="shared" si="78"/>
        <v>0</v>
      </c>
      <c r="T667" s="13">
        <f t="shared" si="79"/>
        <v>1.7000000000000002</v>
      </c>
      <c r="U667" s="14">
        <f t="shared" si="80"/>
        <v>46.300000000000004</v>
      </c>
      <c r="V667" s="14">
        <f t="shared" si="81"/>
        <v>69.699999999999989</v>
      </c>
      <c r="W667" s="1">
        <f t="shared" si="82"/>
        <v>33.5</v>
      </c>
      <c r="X667" s="1" t="str">
        <f>IF(Table1[[#This Row],[World Rank]]&lt;=250,"Q1-Elite",IF(Table1[[#This Row],[World Rank]]&lt;=500,"Q2-Strong",IF(Table1[[#This Row],[World Rank]]&lt;=750,"Q3-Developing","Q4-Emerging")))</f>
        <v>Q3-Developing</v>
      </c>
    </row>
    <row r="668" spans="1:24" x14ac:dyDescent="0.2">
      <c r="A668" s="1">
        <v>667</v>
      </c>
      <c r="B668" s="1" t="s">
        <v>733</v>
      </c>
      <c r="C668" s="1" t="s">
        <v>244</v>
      </c>
      <c r="D668" s="1" t="s">
        <v>1124</v>
      </c>
      <c r="E668" s="1">
        <v>4</v>
      </c>
      <c r="F668" s="1">
        <v>631</v>
      </c>
      <c r="G668" s="1">
        <v>1001</v>
      </c>
      <c r="H668" s="1">
        <v>304</v>
      </c>
      <c r="I668" s="1">
        <v>673</v>
      </c>
      <c r="J668" s="1">
        <v>679</v>
      </c>
      <c r="K668" s="1">
        <v>789</v>
      </c>
      <c r="L668" s="1">
        <v>460</v>
      </c>
      <c r="M668" s="1">
        <v>72.2</v>
      </c>
      <c r="N668" s="1">
        <v>49.743904700000002</v>
      </c>
      <c r="O668" s="1">
        <v>15.338106099999999</v>
      </c>
      <c r="P668" s="14">
        <f t="shared" si="76"/>
        <v>32.200000000000003</v>
      </c>
      <c r="Q668" s="13">
        <v>20</v>
      </c>
      <c r="R668" s="16">
        <f t="shared" si="77"/>
        <v>0</v>
      </c>
      <c r="S668" s="14">
        <f t="shared" si="78"/>
        <v>0</v>
      </c>
      <c r="T668" s="13">
        <f t="shared" si="79"/>
        <v>32.800000000000004</v>
      </c>
      <c r="U668" s="14">
        <f t="shared" si="80"/>
        <v>21.2</v>
      </c>
      <c r="V668" s="14">
        <f t="shared" si="81"/>
        <v>54.1</v>
      </c>
      <c r="W668" s="1">
        <f t="shared" si="82"/>
        <v>33.4</v>
      </c>
      <c r="X668" s="1" t="str">
        <f>IF(Table1[[#This Row],[World Rank]]&lt;=250,"Q1-Elite",IF(Table1[[#This Row],[World Rank]]&lt;=500,"Q2-Strong",IF(Table1[[#This Row],[World Rank]]&lt;=750,"Q3-Developing","Q4-Emerging")))</f>
        <v>Q3-Developing</v>
      </c>
    </row>
    <row r="669" spans="1:24" x14ac:dyDescent="0.2">
      <c r="A669" s="1">
        <v>668</v>
      </c>
      <c r="B669" s="1" t="s">
        <v>734</v>
      </c>
      <c r="C669" s="1" t="s">
        <v>48</v>
      </c>
      <c r="D669" s="1" t="s">
        <v>1124</v>
      </c>
      <c r="E669" s="1">
        <v>36</v>
      </c>
      <c r="F669" s="1">
        <v>410</v>
      </c>
      <c r="G669" s="1">
        <v>1001</v>
      </c>
      <c r="H669" s="1">
        <v>304</v>
      </c>
      <c r="I669" s="1">
        <v>701</v>
      </c>
      <c r="J669" s="1">
        <v>641</v>
      </c>
      <c r="K669" s="1">
        <v>705</v>
      </c>
      <c r="L669" s="1">
        <v>541</v>
      </c>
      <c r="M669" s="1">
        <v>72.099999999999994</v>
      </c>
      <c r="N669" s="1">
        <v>46.603354000000003</v>
      </c>
      <c r="O669" s="1">
        <v>1.8883335000000001</v>
      </c>
      <c r="P669" s="14">
        <f t="shared" si="76"/>
        <v>36</v>
      </c>
      <c r="Q669" s="13">
        <f>((667 - F669) / 666) * 100</f>
        <v>38.588588588588593</v>
      </c>
      <c r="R669" s="16">
        <f t="shared" si="77"/>
        <v>0</v>
      </c>
      <c r="S669" s="14">
        <f t="shared" si="78"/>
        <v>0</v>
      </c>
      <c r="T669" s="13">
        <f t="shared" si="79"/>
        <v>30</v>
      </c>
      <c r="U669" s="14">
        <f t="shared" si="80"/>
        <v>29.599999999999998</v>
      </c>
      <c r="V669" s="14">
        <f t="shared" si="81"/>
        <v>46</v>
      </c>
      <c r="W669" s="1">
        <f t="shared" si="82"/>
        <v>33.300000000000004</v>
      </c>
      <c r="X669" s="1" t="str">
        <f>IF(Table1[[#This Row],[World Rank]]&lt;=250,"Q1-Elite",IF(Table1[[#This Row],[World Rank]]&lt;=500,"Q2-Strong",IF(Table1[[#This Row],[World Rank]]&lt;=750,"Q3-Developing","Q4-Emerging")))</f>
        <v>Q3-Developing</v>
      </c>
    </row>
    <row r="670" spans="1:24" x14ac:dyDescent="0.2">
      <c r="A670" s="1">
        <v>669</v>
      </c>
      <c r="B670" s="1" t="s">
        <v>735</v>
      </c>
      <c r="C670" s="1" t="s">
        <v>15</v>
      </c>
      <c r="D670" s="1" t="s">
        <v>1120</v>
      </c>
      <c r="E670" s="1">
        <v>169</v>
      </c>
      <c r="F670" s="1">
        <v>667</v>
      </c>
      <c r="G670" s="1">
        <v>1001</v>
      </c>
      <c r="H670" s="1">
        <v>157</v>
      </c>
      <c r="I670" s="1">
        <v>1001</v>
      </c>
      <c r="J670" s="1">
        <v>775</v>
      </c>
      <c r="K670" s="1">
        <v>527</v>
      </c>
      <c r="L670" s="1">
        <v>1001</v>
      </c>
      <c r="M670" s="1">
        <v>72.099999999999994</v>
      </c>
      <c r="N670" s="1">
        <v>39.783730400000003</v>
      </c>
      <c r="O670" s="1">
        <v>-100.445882</v>
      </c>
      <c r="P670" s="14">
        <f t="shared" si="76"/>
        <v>22.6</v>
      </c>
      <c r="Q670" s="13">
        <v>20</v>
      </c>
      <c r="R670" s="16">
        <f t="shared" si="77"/>
        <v>0</v>
      </c>
      <c r="S670" s="14">
        <f t="shared" si="78"/>
        <v>48.514851485148512</v>
      </c>
      <c r="T670" s="13">
        <f t="shared" si="79"/>
        <v>0</v>
      </c>
      <c r="U670" s="14">
        <f t="shared" si="80"/>
        <v>47.4</v>
      </c>
      <c r="V670" s="14">
        <f t="shared" si="81"/>
        <v>0</v>
      </c>
      <c r="W670" s="1">
        <f t="shared" si="82"/>
        <v>33.200000000000003</v>
      </c>
      <c r="X670" s="1" t="str">
        <f>IF(Table1[[#This Row],[World Rank]]&lt;=250,"Q1-Elite",IF(Table1[[#This Row],[World Rank]]&lt;=500,"Q2-Strong",IF(Table1[[#This Row],[World Rank]]&lt;=750,"Q3-Developing","Q4-Emerging")))</f>
        <v>Q3-Developing</v>
      </c>
    </row>
    <row r="671" spans="1:24" x14ac:dyDescent="0.2">
      <c r="A671" s="1">
        <v>670</v>
      </c>
      <c r="B671" s="1" t="s">
        <v>736</v>
      </c>
      <c r="C671" s="1" t="s">
        <v>354</v>
      </c>
      <c r="D671" s="1" t="s">
        <v>1124</v>
      </c>
      <c r="E671" s="1">
        <v>5</v>
      </c>
      <c r="F671" s="1">
        <v>667</v>
      </c>
      <c r="G671" s="1">
        <v>1001</v>
      </c>
      <c r="H671" s="1">
        <v>304</v>
      </c>
      <c r="I671" s="1">
        <v>545</v>
      </c>
      <c r="J671" s="1">
        <v>596</v>
      </c>
      <c r="K671" s="1">
        <v>1001</v>
      </c>
      <c r="L671" s="1">
        <v>673</v>
      </c>
      <c r="M671" s="1">
        <v>72.099999999999994</v>
      </c>
      <c r="N671" s="1">
        <v>43.209783799999997</v>
      </c>
      <c r="O671" s="1">
        <v>-77.693060200000005</v>
      </c>
      <c r="P671" s="14">
        <f t="shared" si="76"/>
        <v>40.5</v>
      </c>
      <c r="Q671" s="13">
        <v>20</v>
      </c>
      <c r="R671" s="16">
        <f t="shared" si="77"/>
        <v>0</v>
      </c>
      <c r="S671" s="14">
        <f t="shared" si="78"/>
        <v>0</v>
      </c>
      <c r="T671" s="13">
        <f t="shared" si="79"/>
        <v>45.6</v>
      </c>
      <c r="U671" s="14">
        <f t="shared" si="80"/>
        <v>0</v>
      </c>
      <c r="V671" s="14">
        <f t="shared" si="81"/>
        <v>32.800000000000004</v>
      </c>
      <c r="W671" s="1">
        <f t="shared" si="82"/>
        <v>33.1</v>
      </c>
      <c r="X671" s="1" t="str">
        <f>IF(Table1[[#This Row],[World Rank]]&lt;=250,"Q1-Elite",IF(Table1[[#This Row],[World Rank]]&lt;=500,"Q2-Strong",IF(Table1[[#This Row],[World Rank]]&lt;=750,"Q3-Developing","Q4-Emerging")))</f>
        <v>Q3-Developing</v>
      </c>
    </row>
    <row r="672" spans="1:24" x14ac:dyDescent="0.2">
      <c r="A672" s="1">
        <v>671</v>
      </c>
      <c r="B672" s="1" t="s">
        <v>737</v>
      </c>
      <c r="C672" s="1" t="s">
        <v>478</v>
      </c>
      <c r="D672" s="1" t="s">
        <v>1125</v>
      </c>
      <c r="E672" s="1">
        <v>5</v>
      </c>
      <c r="F672" s="1">
        <v>283</v>
      </c>
      <c r="G672" s="1">
        <v>95</v>
      </c>
      <c r="H672" s="1">
        <v>304</v>
      </c>
      <c r="I672" s="1">
        <v>549</v>
      </c>
      <c r="J672" s="1">
        <v>634</v>
      </c>
      <c r="K672" s="1">
        <v>1001</v>
      </c>
      <c r="L672" s="1">
        <v>1001</v>
      </c>
      <c r="M672" s="1">
        <v>72.099999999999994</v>
      </c>
      <c r="N672" s="1">
        <v>22.351114800000001</v>
      </c>
      <c r="O672" s="1">
        <v>78.667742799999999</v>
      </c>
      <c r="P672" s="14">
        <f t="shared" si="76"/>
        <v>36.700000000000003</v>
      </c>
      <c r="Q672" s="13">
        <f>((667 - F672) / 666) * 100</f>
        <v>57.657657657657658</v>
      </c>
      <c r="R672" s="16">
        <f t="shared" si="77"/>
        <v>90.600000000000009</v>
      </c>
      <c r="S672" s="14">
        <f t="shared" si="78"/>
        <v>0</v>
      </c>
      <c r="T672" s="13">
        <f t="shared" si="79"/>
        <v>45.2</v>
      </c>
      <c r="U672" s="14">
        <f t="shared" si="80"/>
        <v>0</v>
      </c>
      <c r="V672" s="14">
        <f t="shared" si="81"/>
        <v>0</v>
      </c>
      <c r="W672" s="1">
        <f t="shared" si="82"/>
        <v>33</v>
      </c>
      <c r="X672" s="1" t="str">
        <f>IF(Table1[[#This Row],[World Rank]]&lt;=250,"Q1-Elite",IF(Table1[[#This Row],[World Rank]]&lt;=500,"Q2-Strong",IF(Table1[[#This Row],[World Rank]]&lt;=750,"Q3-Developing","Q4-Emerging")))</f>
        <v>Q3-Developing</v>
      </c>
    </row>
    <row r="673" spans="1:24" x14ac:dyDescent="0.2">
      <c r="A673" s="1">
        <v>672</v>
      </c>
      <c r="B673" s="1" t="s">
        <v>738</v>
      </c>
      <c r="C673" s="1" t="s">
        <v>124</v>
      </c>
      <c r="D673" s="1" t="s">
        <v>1125</v>
      </c>
      <c r="E673" s="1">
        <v>56</v>
      </c>
      <c r="F673" s="1">
        <v>667</v>
      </c>
      <c r="G673" s="1">
        <v>797</v>
      </c>
      <c r="H673" s="1">
        <v>304</v>
      </c>
      <c r="I673" s="1">
        <v>694</v>
      </c>
      <c r="J673" s="1">
        <v>649</v>
      </c>
      <c r="K673" s="1">
        <v>1001</v>
      </c>
      <c r="L673" s="1">
        <v>363</v>
      </c>
      <c r="M673" s="1">
        <v>72.099999999999994</v>
      </c>
      <c r="N673" s="1">
        <v>30.047992000000001</v>
      </c>
      <c r="O673" s="1">
        <v>-94.335743300000004</v>
      </c>
      <c r="P673" s="14">
        <f t="shared" si="76"/>
        <v>35.199999999999996</v>
      </c>
      <c r="Q673" s="13">
        <v>20</v>
      </c>
      <c r="R673" s="16">
        <f t="shared" si="77"/>
        <v>20.399999999999999</v>
      </c>
      <c r="S673" s="14">
        <f t="shared" si="78"/>
        <v>0</v>
      </c>
      <c r="T673" s="13">
        <f t="shared" si="79"/>
        <v>30.7</v>
      </c>
      <c r="U673" s="14">
        <f t="shared" si="80"/>
        <v>0</v>
      </c>
      <c r="V673" s="14">
        <f t="shared" si="81"/>
        <v>63.800000000000004</v>
      </c>
      <c r="W673" s="1">
        <f t="shared" si="82"/>
        <v>32.9</v>
      </c>
      <c r="X673" s="1" t="str">
        <f>IF(Table1[[#This Row],[World Rank]]&lt;=250,"Q1-Elite",IF(Table1[[#This Row],[World Rank]]&lt;=500,"Q2-Strong",IF(Table1[[#This Row],[World Rank]]&lt;=750,"Q3-Developing","Q4-Emerging")))</f>
        <v>Q3-Developing</v>
      </c>
    </row>
    <row r="674" spans="1:24" x14ac:dyDescent="0.2">
      <c r="A674" s="1">
        <v>673</v>
      </c>
      <c r="B674" s="1" t="s">
        <v>739</v>
      </c>
      <c r="C674" s="1" t="s">
        <v>740</v>
      </c>
      <c r="D674" s="1" t="s">
        <v>1124</v>
      </c>
      <c r="E674" s="1">
        <v>1</v>
      </c>
      <c r="F674" s="1">
        <v>667</v>
      </c>
      <c r="G674" s="1">
        <v>1001</v>
      </c>
      <c r="H674" s="1">
        <v>304</v>
      </c>
      <c r="I674" s="1">
        <v>602</v>
      </c>
      <c r="J674" s="1">
        <v>762</v>
      </c>
      <c r="K674" s="1">
        <v>691</v>
      </c>
      <c r="L674" s="1">
        <v>541</v>
      </c>
      <c r="M674" s="1">
        <v>72.099999999999994</v>
      </c>
      <c r="N674" s="1">
        <v>48.741152200000002</v>
      </c>
      <c r="O674" s="1">
        <v>19.452864600000002</v>
      </c>
      <c r="P674" s="14">
        <f t="shared" si="76"/>
        <v>23.9</v>
      </c>
      <c r="Q674" s="13">
        <v>20</v>
      </c>
      <c r="R674" s="16">
        <f t="shared" si="77"/>
        <v>0</v>
      </c>
      <c r="S674" s="14">
        <f t="shared" si="78"/>
        <v>0</v>
      </c>
      <c r="T674" s="13">
        <f t="shared" si="79"/>
        <v>39.900000000000006</v>
      </c>
      <c r="U674" s="14">
        <f t="shared" si="80"/>
        <v>31</v>
      </c>
      <c r="V674" s="14">
        <f t="shared" si="81"/>
        <v>46</v>
      </c>
      <c r="W674" s="1">
        <f t="shared" si="82"/>
        <v>32.800000000000004</v>
      </c>
      <c r="X674" s="1" t="str">
        <f>IF(Table1[[#This Row],[World Rank]]&lt;=250,"Q1-Elite",IF(Table1[[#This Row],[World Rank]]&lt;=500,"Q2-Strong",IF(Table1[[#This Row],[World Rank]]&lt;=750,"Q3-Developing","Q4-Emerging")))</f>
        <v>Q3-Developing</v>
      </c>
    </row>
    <row r="675" spans="1:24" x14ac:dyDescent="0.2">
      <c r="A675" s="1">
        <v>674</v>
      </c>
      <c r="B675" s="1" t="s">
        <v>741</v>
      </c>
      <c r="C675" s="1" t="s">
        <v>19</v>
      </c>
      <c r="D675" s="1" t="s">
        <v>1124</v>
      </c>
      <c r="E675" s="1">
        <v>46</v>
      </c>
      <c r="F675" s="1">
        <v>667</v>
      </c>
      <c r="G675" s="1">
        <v>540</v>
      </c>
      <c r="H675" s="1">
        <v>304</v>
      </c>
      <c r="I675" s="1">
        <v>654</v>
      </c>
      <c r="J675" s="1">
        <v>584</v>
      </c>
      <c r="K675" s="1">
        <v>850</v>
      </c>
      <c r="L675" s="1">
        <v>673</v>
      </c>
      <c r="M675" s="1">
        <v>72.099999999999994</v>
      </c>
      <c r="N675" s="1">
        <v>54.702354499999998</v>
      </c>
      <c r="O675" s="1">
        <v>-3.2765753000000002</v>
      </c>
      <c r="P675" s="14">
        <f t="shared" si="76"/>
        <v>41.699999999999996</v>
      </c>
      <c r="Q675" s="13">
        <v>20</v>
      </c>
      <c r="R675" s="16">
        <f t="shared" si="77"/>
        <v>46.1</v>
      </c>
      <c r="S675" s="14">
        <f t="shared" si="78"/>
        <v>0</v>
      </c>
      <c r="T675" s="13">
        <f t="shared" si="79"/>
        <v>34.699999999999996</v>
      </c>
      <c r="U675" s="14">
        <f t="shared" si="80"/>
        <v>15.1</v>
      </c>
      <c r="V675" s="14">
        <f t="shared" si="81"/>
        <v>32.800000000000004</v>
      </c>
      <c r="W675" s="1">
        <f t="shared" si="82"/>
        <v>32.700000000000003</v>
      </c>
      <c r="X675" s="1" t="str">
        <f>IF(Table1[[#This Row],[World Rank]]&lt;=250,"Q1-Elite",IF(Table1[[#This Row],[World Rank]]&lt;=500,"Q2-Strong",IF(Table1[[#This Row],[World Rank]]&lt;=750,"Q3-Developing","Q4-Emerging")))</f>
        <v>Q3-Developing</v>
      </c>
    </row>
    <row r="676" spans="1:24" x14ac:dyDescent="0.2">
      <c r="A676" s="1">
        <v>675</v>
      </c>
      <c r="B676" s="1" t="s">
        <v>742</v>
      </c>
      <c r="C676" s="1" t="s">
        <v>28</v>
      </c>
      <c r="D676" s="1" t="s">
        <v>1125</v>
      </c>
      <c r="E676" s="1">
        <v>25</v>
      </c>
      <c r="F676" s="1">
        <v>153</v>
      </c>
      <c r="G676" s="1">
        <v>591</v>
      </c>
      <c r="H676" s="1">
        <v>304</v>
      </c>
      <c r="I676" s="1">
        <v>689</v>
      </c>
      <c r="J676" s="1">
        <v>673</v>
      </c>
      <c r="K676" s="1">
        <v>786</v>
      </c>
      <c r="L676" s="1">
        <v>541</v>
      </c>
      <c r="M676" s="1">
        <v>72.099999999999994</v>
      </c>
      <c r="N676" s="1">
        <v>36.5748441</v>
      </c>
      <c r="O676" s="1">
        <v>139.23941790000001</v>
      </c>
      <c r="P676" s="14">
        <f t="shared" si="76"/>
        <v>32.800000000000004</v>
      </c>
      <c r="Q676" s="13">
        <f>((667 - F676) / 666) * 100</f>
        <v>77.177177177177185</v>
      </c>
      <c r="R676" s="16">
        <f t="shared" si="77"/>
        <v>41</v>
      </c>
      <c r="S676" s="14">
        <f t="shared" si="78"/>
        <v>0</v>
      </c>
      <c r="T676" s="13">
        <f t="shared" si="79"/>
        <v>31.2</v>
      </c>
      <c r="U676" s="14">
        <f t="shared" si="80"/>
        <v>21.5</v>
      </c>
      <c r="V676" s="14">
        <f t="shared" si="81"/>
        <v>46</v>
      </c>
      <c r="W676" s="1">
        <f t="shared" si="82"/>
        <v>32.6</v>
      </c>
      <c r="X676" s="1" t="str">
        <f>IF(Table1[[#This Row],[World Rank]]&lt;=250,"Q1-Elite",IF(Table1[[#This Row],[World Rank]]&lt;=500,"Q2-Strong",IF(Table1[[#This Row],[World Rank]]&lt;=750,"Q3-Developing","Q4-Emerging")))</f>
        <v>Q3-Developing</v>
      </c>
    </row>
    <row r="677" spans="1:24" x14ac:dyDescent="0.2">
      <c r="A677" s="1">
        <v>676</v>
      </c>
      <c r="B677" s="1" t="s">
        <v>743</v>
      </c>
      <c r="C677" s="1" t="s">
        <v>478</v>
      </c>
      <c r="D677" s="1" t="s">
        <v>1125</v>
      </c>
      <c r="E677" s="1">
        <v>6</v>
      </c>
      <c r="F677" s="1">
        <v>667</v>
      </c>
      <c r="G677" s="1">
        <v>435</v>
      </c>
      <c r="H677" s="1">
        <v>304</v>
      </c>
      <c r="I677" s="1">
        <v>433</v>
      </c>
      <c r="J677" s="1">
        <v>503</v>
      </c>
      <c r="K677" s="1">
        <v>1001</v>
      </c>
      <c r="L677" s="1">
        <v>1001</v>
      </c>
      <c r="M677" s="1">
        <v>72.099999999999994</v>
      </c>
      <c r="N677" s="1">
        <v>22.351114800000001</v>
      </c>
      <c r="O677" s="1">
        <v>78.667742799999999</v>
      </c>
      <c r="P677" s="14">
        <f t="shared" si="76"/>
        <v>49.8</v>
      </c>
      <c r="Q677" s="13">
        <v>20</v>
      </c>
      <c r="R677" s="16">
        <f t="shared" si="77"/>
        <v>56.599999999999994</v>
      </c>
      <c r="S677" s="14">
        <f t="shared" si="78"/>
        <v>0</v>
      </c>
      <c r="T677" s="13">
        <f t="shared" si="79"/>
        <v>56.8</v>
      </c>
      <c r="U677" s="14">
        <f t="shared" si="80"/>
        <v>0</v>
      </c>
      <c r="V677" s="14">
        <f t="shared" si="81"/>
        <v>0</v>
      </c>
      <c r="W677" s="1">
        <f t="shared" si="82"/>
        <v>32.5</v>
      </c>
      <c r="X677" s="1" t="str">
        <f>IF(Table1[[#This Row],[World Rank]]&lt;=250,"Q1-Elite",IF(Table1[[#This Row],[World Rank]]&lt;=500,"Q2-Strong",IF(Table1[[#This Row],[World Rank]]&lt;=750,"Q3-Developing","Q4-Emerging")))</f>
        <v>Q3-Developing</v>
      </c>
    </row>
    <row r="678" spans="1:24" x14ac:dyDescent="0.2">
      <c r="A678" s="1">
        <v>677</v>
      </c>
      <c r="B678" s="1" t="s">
        <v>744</v>
      </c>
      <c r="C678" s="1" t="s">
        <v>15</v>
      </c>
      <c r="D678" s="1" t="s">
        <v>1120</v>
      </c>
      <c r="E678" s="1">
        <v>170</v>
      </c>
      <c r="F678" s="1">
        <v>667</v>
      </c>
      <c r="G678" s="1">
        <v>734</v>
      </c>
      <c r="H678" s="1">
        <v>304</v>
      </c>
      <c r="I678" s="1">
        <v>848</v>
      </c>
      <c r="J678" s="1">
        <v>720</v>
      </c>
      <c r="K678" s="1">
        <v>733</v>
      </c>
      <c r="L678" s="1">
        <v>363</v>
      </c>
      <c r="M678" s="1">
        <v>72.099999999999994</v>
      </c>
      <c r="N678" s="1">
        <v>39.783730400000003</v>
      </c>
      <c r="O678" s="1">
        <v>-100.445882</v>
      </c>
      <c r="P678" s="14">
        <f t="shared" si="76"/>
        <v>28.1</v>
      </c>
      <c r="Q678" s="13">
        <v>20</v>
      </c>
      <c r="R678" s="16">
        <f t="shared" si="77"/>
        <v>26.700000000000003</v>
      </c>
      <c r="S678" s="14">
        <f t="shared" si="78"/>
        <v>0</v>
      </c>
      <c r="T678" s="13">
        <f t="shared" si="79"/>
        <v>15.299999999999999</v>
      </c>
      <c r="U678" s="14">
        <f t="shared" si="80"/>
        <v>26.8</v>
      </c>
      <c r="V678" s="14">
        <f t="shared" si="81"/>
        <v>63.800000000000004</v>
      </c>
      <c r="W678" s="1">
        <f t="shared" si="82"/>
        <v>32.4</v>
      </c>
      <c r="X678" s="1" t="str">
        <f>IF(Table1[[#This Row],[World Rank]]&lt;=250,"Q1-Elite",IF(Table1[[#This Row],[World Rank]]&lt;=500,"Q2-Strong",IF(Table1[[#This Row],[World Rank]]&lt;=750,"Q3-Developing","Q4-Emerging")))</f>
        <v>Q3-Developing</v>
      </c>
    </row>
    <row r="679" spans="1:24" x14ac:dyDescent="0.2">
      <c r="A679" s="1">
        <v>678</v>
      </c>
      <c r="B679" s="1" t="s">
        <v>745</v>
      </c>
      <c r="C679" s="1" t="s">
        <v>28</v>
      </c>
      <c r="D679" s="1" t="s">
        <v>1125</v>
      </c>
      <c r="E679" s="1">
        <v>26</v>
      </c>
      <c r="F679" s="1">
        <v>667</v>
      </c>
      <c r="G679" s="1">
        <v>1001</v>
      </c>
      <c r="H679" s="1">
        <v>304</v>
      </c>
      <c r="I679" s="1">
        <v>713</v>
      </c>
      <c r="J679" s="1">
        <v>772</v>
      </c>
      <c r="K679" s="1">
        <v>778</v>
      </c>
      <c r="L679" s="1">
        <v>405</v>
      </c>
      <c r="M679" s="1">
        <v>72.099999999999994</v>
      </c>
      <c r="N679" s="1">
        <v>36.5748441</v>
      </c>
      <c r="O679" s="1">
        <v>139.23941790000001</v>
      </c>
      <c r="P679" s="14">
        <f t="shared" si="76"/>
        <v>22.900000000000002</v>
      </c>
      <c r="Q679" s="13">
        <v>20</v>
      </c>
      <c r="R679" s="16">
        <f t="shared" si="77"/>
        <v>0</v>
      </c>
      <c r="S679" s="14">
        <f t="shared" si="78"/>
        <v>0</v>
      </c>
      <c r="T679" s="13">
        <f t="shared" si="79"/>
        <v>28.799999999999997</v>
      </c>
      <c r="U679" s="14">
        <f t="shared" si="80"/>
        <v>22.3</v>
      </c>
      <c r="V679" s="14">
        <f t="shared" si="81"/>
        <v>59.599999999999994</v>
      </c>
      <c r="W679" s="1">
        <f t="shared" si="82"/>
        <v>32.300000000000004</v>
      </c>
      <c r="X679" s="1" t="str">
        <f>IF(Table1[[#This Row],[World Rank]]&lt;=250,"Q1-Elite",IF(Table1[[#This Row],[World Rank]]&lt;=500,"Q2-Strong",IF(Table1[[#This Row],[World Rank]]&lt;=750,"Q3-Developing","Q4-Emerging")))</f>
        <v>Q3-Developing</v>
      </c>
    </row>
    <row r="680" spans="1:24" x14ac:dyDescent="0.2">
      <c r="A680" s="1">
        <v>679</v>
      </c>
      <c r="B680" s="1" t="s">
        <v>746</v>
      </c>
      <c r="C680" s="1" t="s">
        <v>591</v>
      </c>
      <c r="D680" s="1" t="s">
        <v>1125</v>
      </c>
      <c r="E680" s="1">
        <v>7</v>
      </c>
      <c r="F680" s="1">
        <v>667</v>
      </c>
      <c r="G680" s="1">
        <v>1001</v>
      </c>
      <c r="H680" s="1">
        <v>304</v>
      </c>
      <c r="I680" s="1">
        <v>443</v>
      </c>
      <c r="J680" s="1">
        <v>854</v>
      </c>
      <c r="K680" s="1">
        <v>1001</v>
      </c>
      <c r="L680" s="1">
        <v>541</v>
      </c>
      <c r="M680" s="1">
        <v>72.099999999999994</v>
      </c>
      <c r="N680" s="1">
        <v>38.959759400000003</v>
      </c>
      <c r="O680" s="1">
        <v>34.924965299999997</v>
      </c>
      <c r="P680" s="14">
        <f t="shared" si="76"/>
        <v>14.7</v>
      </c>
      <c r="Q680" s="13">
        <v>20</v>
      </c>
      <c r="R680" s="16">
        <f t="shared" si="77"/>
        <v>0</v>
      </c>
      <c r="S680" s="14">
        <f t="shared" si="78"/>
        <v>0</v>
      </c>
      <c r="T680" s="13">
        <f t="shared" si="79"/>
        <v>55.800000000000004</v>
      </c>
      <c r="U680" s="14">
        <f t="shared" si="80"/>
        <v>0</v>
      </c>
      <c r="V680" s="14">
        <f t="shared" si="81"/>
        <v>46</v>
      </c>
      <c r="W680" s="1">
        <f t="shared" si="82"/>
        <v>32.200000000000003</v>
      </c>
      <c r="X680" s="1" t="str">
        <f>IF(Table1[[#This Row],[World Rank]]&lt;=250,"Q1-Elite",IF(Table1[[#This Row],[World Rank]]&lt;=500,"Q2-Strong",IF(Table1[[#This Row],[World Rank]]&lt;=750,"Q3-Developing","Q4-Emerging")))</f>
        <v>Q3-Developing</v>
      </c>
    </row>
    <row r="681" spans="1:24" x14ac:dyDescent="0.2">
      <c r="A681" s="1">
        <v>680</v>
      </c>
      <c r="B681" s="1" t="s">
        <v>747</v>
      </c>
      <c r="C681" s="1" t="s">
        <v>124</v>
      </c>
      <c r="D681" s="1" t="s">
        <v>1125</v>
      </c>
      <c r="E681" s="1">
        <v>57</v>
      </c>
      <c r="F681" s="1">
        <v>667</v>
      </c>
      <c r="G681" s="1">
        <v>1001</v>
      </c>
      <c r="H681" s="1">
        <v>304</v>
      </c>
      <c r="I681" s="1">
        <v>476</v>
      </c>
      <c r="J681" s="1">
        <v>607</v>
      </c>
      <c r="K681" s="1">
        <v>1001</v>
      </c>
      <c r="L681" s="1">
        <v>898</v>
      </c>
      <c r="M681" s="1">
        <v>72</v>
      </c>
      <c r="N681" s="1">
        <v>30.047992000000001</v>
      </c>
      <c r="O681" s="1">
        <v>-94.335743300000004</v>
      </c>
      <c r="P681" s="14">
        <f t="shared" si="76"/>
        <v>39.4</v>
      </c>
      <c r="Q681" s="13">
        <v>20</v>
      </c>
      <c r="R681" s="16">
        <f t="shared" si="77"/>
        <v>0</v>
      </c>
      <c r="S681" s="14">
        <f t="shared" si="78"/>
        <v>0</v>
      </c>
      <c r="T681" s="13">
        <f t="shared" si="79"/>
        <v>52.5</v>
      </c>
      <c r="U681" s="14">
        <f t="shared" si="80"/>
        <v>0</v>
      </c>
      <c r="V681" s="14">
        <f t="shared" si="81"/>
        <v>10.299999999999999</v>
      </c>
      <c r="W681" s="1">
        <f t="shared" si="82"/>
        <v>32.1</v>
      </c>
      <c r="X681" s="1" t="str">
        <f>IF(Table1[[#This Row],[World Rank]]&lt;=250,"Q1-Elite",IF(Table1[[#This Row],[World Rank]]&lt;=500,"Q2-Strong",IF(Table1[[#This Row],[World Rank]]&lt;=750,"Q3-Developing","Q4-Emerging")))</f>
        <v>Q3-Developing</v>
      </c>
    </row>
    <row r="682" spans="1:24" x14ac:dyDescent="0.2">
      <c r="A682" s="1">
        <v>681</v>
      </c>
      <c r="B682" s="1" t="s">
        <v>748</v>
      </c>
      <c r="C682" s="1" t="s">
        <v>15</v>
      </c>
      <c r="D682" s="1" t="s">
        <v>1120</v>
      </c>
      <c r="E682" s="1">
        <v>171</v>
      </c>
      <c r="F682" s="1">
        <v>667</v>
      </c>
      <c r="G682" s="1">
        <v>487</v>
      </c>
      <c r="H682" s="1">
        <v>304</v>
      </c>
      <c r="I682" s="1">
        <v>907</v>
      </c>
      <c r="J682" s="1">
        <v>738</v>
      </c>
      <c r="K682" s="1">
        <v>441</v>
      </c>
      <c r="L682" s="1">
        <v>541</v>
      </c>
      <c r="M682" s="1">
        <v>72</v>
      </c>
      <c r="N682" s="1">
        <v>39.783730400000003</v>
      </c>
      <c r="O682" s="1">
        <v>-100.445882</v>
      </c>
      <c r="P682" s="14">
        <f t="shared" si="76"/>
        <v>26.3</v>
      </c>
      <c r="Q682" s="13">
        <v>20</v>
      </c>
      <c r="R682" s="16">
        <f t="shared" si="77"/>
        <v>51.4</v>
      </c>
      <c r="S682" s="14">
        <f t="shared" si="78"/>
        <v>0</v>
      </c>
      <c r="T682" s="13">
        <f t="shared" si="79"/>
        <v>9.4</v>
      </c>
      <c r="U682" s="14">
        <f t="shared" si="80"/>
        <v>56.000000000000007</v>
      </c>
      <c r="V682" s="14">
        <f t="shared" si="81"/>
        <v>46</v>
      </c>
      <c r="W682" s="1">
        <f t="shared" si="82"/>
        <v>32</v>
      </c>
      <c r="X682" s="1" t="str">
        <f>IF(Table1[[#This Row],[World Rank]]&lt;=250,"Q1-Elite",IF(Table1[[#This Row],[World Rank]]&lt;=500,"Q2-Strong",IF(Table1[[#This Row],[World Rank]]&lt;=750,"Q3-Developing","Q4-Emerging")))</f>
        <v>Q3-Developing</v>
      </c>
    </row>
    <row r="683" spans="1:24" x14ac:dyDescent="0.2">
      <c r="A683" s="1">
        <v>682</v>
      </c>
      <c r="B683" s="1" t="s">
        <v>749</v>
      </c>
      <c r="C683" s="1" t="s">
        <v>15</v>
      </c>
      <c r="D683" s="1" t="s">
        <v>1120</v>
      </c>
      <c r="E683" s="1">
        <v>172</v>
      </c>
      <c r="F683" s="1">
        <v>667</v>
      </c>
      <c r="G683" s="1">
        <v>986</v>
      </c>
      <c r="H683" s="1">
        <v>304</v>
      </c>
      <c r="I683" s="1">
        <v>745</v>
      </c>
      <c r="J683" s="1">
        <v>699</v>
      </c>
      <c r="K683" s="1">
        <v>730</v>
      </c>
      <c r="L683" s="1">
        <v>460</v>
      </c>
      <c r="M683" s="1">
        <v>72</v>
      </c>
      <c r="N683" s="1">
        <v>39.783730400000003</v>
      </c>
      <c r="O683" s="1">
        <v>-100.445882</v>
      </c>
      <c r="P683" s="14">
        <f t="shared" si="76"/>
        <v>30.2</v>
      </c>
      <c r="Q683" s="13">
        <v>20</v>
      </c>
      <c r="R683" s="16">
        <f t="shared" si="77"/>
        <v>1.5</v>
      </c>
      <c r="S683" s="14">
        <f t="shared" si="78"/>
        <v>0</v>
      </c>
      <c r="T683" s="13">
        <f t="shared" si="79"/>
        <v>25.6</v>
      </c>
      <c r="U683" s="14">
        <f t="shared" si="80"/>
        <v>27.1</v>
      </c>
      <c r="V683" s="14">
        <f t="shared" si="81"/>
        <v>54.1</v>
      </c>
      <c r="W683" s="1">
        <f t="shared" si="82"/>
        <v>31.900000000000002</v>
      </c>
      <c r="X683" s="1" t="str">
        <f>IF(Table1[[#This Row],[World Rank]]&lt;=250,"Q1-Elite",IF(Table1[[#This Row],[World Rank]]&lt;=500,"Q2-Strong",IF(Table1[[#This Row],[World Rank]]&lt;=750,"Q3-Developing","Q4-Emerging")))</f>
        <v>Q3-Developing</v>
      </c>
    </row>
    <row r="684" spans="1:24" x14ac:dyDescent="0.2">
      <c r="A684" s="1">
        <v>683</v>
      </c>
      <c r="B684" s="1" t="s">
        <v>750</v>
      </c>
      <c r="C684" s="1" t="s">
        <v>118</v>
      </c>
      <c r="D684" s="1" t="s">
        <v>1124</v>
      </c>
      <c r="E684" s="1">
        <v>23</v>
      </c>
      <c r="F684" s="1">
        <v>667</v>
      </c>
      <c r="G684" s="1">
        <v>1001</v>
      </c>
      <c r="H684" s="1">
        <v>304</v>
      </c>
      <c r="I684" s="1">
        <v>628</v>
      </c>
      <c r="J684" s="1">
        <v>600</v>
      </c>
      <c r="K684" s="1">
        <v>922</v>
      </c>
      <c r="L684" s="1">
        <v>673</v>
      </c>
      <c r="M684" s="1">
        <v>72</v>
      </c>
      <c r="N684" s="1">
        <v>39.326068499999998</v>
      </c>
      <c r="O684" s="1">
        <v>-4.8379791000000001</v>
      </c>
      <c r="P684" s="14">
        <f t="shared" si="76"/>
        <v>40.1</v>
      </c>
      <c r="Q684" s="13">
        <v>20</v>
      </c>
      <c r="R684" s="16">
        <f t="shared" si="77"/>
        <v>0</v>
      </c>
      <c r="S684" s="14">
        <f t="shared" si="78"/>
        <v>0</v>
      </c>
      <c r="T684" s="13">
        <f t="shared" si="79"/>
        <v>37.299999999999997</v>
      </c>
      <c r="U684" s="14">
        <f t="shared" si="80"/>
        <v>7.9</v>
      </c>
      <c r="V684" s="14">
        <f t="shared" si="81"/>
        <v>32.800000000000004</v>
      </c>
      <c r="W684" s="1">
        <f t="shared" si="82"/>
        <v>31.8</v>
      </c>
      <c r="X684" s="1" t="str">
        <f>IF(Table1[[#This Row],[World Rank]]&lt;=250,"Q1-Elite",IF(Table1[[#This Row],[World Rank]]&lt;=500,"Q2-Strong",IF(Table1[[#This Row],[World Rank]]&lt;=750,"Q3-Developing","Q4-Emerging")))</f>
        <v>Q3-Developing</v>
      </c>
    </row>
    <row r="685" spans="1:24" x14ac:dyDescent="0.2">
      <c r="A685" s="1">
        <v>684</v>
      </c>
      <c r="B685" s="1" t="s">
        <v>751</v>
      </c>
      <c r="C685" s="1" t="s">
        <v>48</v>
      </c>
      <c r="D685" s="1" t="s">
        <v>1124</v>
      </c>
      <c r="E685" s="1">
        <v>37</v>
      </c>
      <c r="F685" s="1">
        <v>667</v>
      </c>
      <c r="G685" s="1">
        <v>1001</v>
      </c>
      <c r="H685" s="1">
        <v>304</v>
      </c>
      <c r="I685" s="1">
        <v>661</v>
      </c>
      <c r="J685" s="1">
        <v>587</v>
      </c>
      <c r="K685" s="1">
        <v>888</v>
      </c>
      <c r="L685" s="1">
        <v>673</v>
      </c>
      <c r="M685" s="1">
        <v>72</v>
      </c>
      <c r="N685" s="1">
        <v>46.603354000000003</v>
      </c>
      <c r="O685" s="1">
        <v>1.8883335000000001</v>
      </c>
      <c r="P685" s="14">
        <f t="shared" si="76"/>
        <v>41.4</v>
      </c>
      <c r="Q685" s="13">
        <v>20</v>
      </c>
      <c r="R685" s="16">
        <f t="shared" si="77"/>
        <v>0</v>
      </c>
      <c r="S685" s="14">
        <f t="shared" si="78"/>
        <v>0</v>
      </c>
      <c r="T685" s="13">
        <f t="shared" si="79"/>
        <v>34</v>
      </c>
      <c r="U685" s="14">
        <f t="shared" si="80"/>
        <v>11.3</v>
      </c>
      <c r="V685" s="14">
        <f t="shared" si="81"/>
        <v>32.800000000000004</v>
      </c>
      <c r="W685" s="1">
        <f t="shared" si="82"/>
        <v>31.7</v>
      </c>
      <c r="X685" s="1" t="str">
        <f>IF(Table1[[#This Row],[World Rank]]&lt;=250,"Q1-Elite",IF(Table1[[#This Row],[World Rank]]&lt;=500,"Q2-Strong",IF(Table1[[#This Row],[World Rank]]&lt;=750,"Q3-Developing","Q4-Emerging")))</f>
        <v>Q3-Developing</v>
      </c>
    </row>
    <row r="686" spans="1:24" x14ac:dyDescent="0.2">
      <c r="A686" s="1">
        <v>685</v>
      </c>
      <c r="B686" s="1" t="s">
        <v>752</v>
      </c>
      <c r="C686" s="1" t="s">
        <v>124</v>
      </c>
      <c r="D686" s="1" t="s">
        <v>1125</v>
      </c>
      <c r="E686" s="1">
        <v>58</v>
      </c>
      <c r="F686" s="1">
        <v>667</v>
      </c>
      <c r="G686" s="1">
        <v>783</v>
      </c>
      <c r="H686" s="1">
        <v>304</v>
      </c>
      <c r="I686" s="1">
        <v>665</v>
      </c>
      <c r="J686" s="1">
        <v>627</v>
      </c>
      <c r="K686" s="1">
        <v>785</v>
      </c>
      <c r="L686" s="1">
        <v>673</v>
      </c>
      <c r="M686" s="1">
        <v>72</v>
      </c>
      <c r="N686" s="1">
        <v>30.047992000000001</v>
      </c>
      <c r="O686" s="1">
        <v>-94.335743300000004</v>
      </c>
      <c r="P686" s="14">
        <f t="shared" si="76"/>
        <v>37.4</v>
      </c>
      <c r="Q686" s="13">
        <v>20</v>
      </c>
      <c r="R686" s="16">
        <f t="shared" si="77"/>
        <v>21.8</v>
      </c>
      <c r="S686" s="14">
        <f t="shared" si="78"/>
        <v>0</v>
      </c>
      <c r="T686" s="13">
        <f t="shared" si="79"/>
        <v>33.6</v>
      </c>
      <c r="U686" s="14">
        <f t="shared" si="80"/>
        <v>21.6</v>
      </c>
      <c r="V686" s="14">
        <f t="shared" si="81"/>
        <v>32.800000000000004</v>
      </c>
      <c r="W686" s="1">
        <f t="shared" si="82"/>
        <v>31.6</v>
      </c>
      <c r="X686" s="1" t="str">
        <f>IF(Table1[[#This Row],[World Rank]]&lt;=250,"Q1-Elite",IF(Table1[[#This Row],[World Rank]]&lt;=500,"Q2-Strong",IF(Table1[[#This Row],[World Rank]]&lt;=750,"Q3-Developing","Q4-Emerging")))</f>
        <v>Q3-Developing</v>
      </c>
    </row>
    <row r="687" spans="1:24" x14ac:dyDescent="0.2">
      <c r="A687" s="1">
        <v>686</v>
      </c>
      <c r="B687" s="1" t="s">
        <v>753</v>
      </c>
      <c r="C687" s="1" t="s">
        <v>93</v>
      </c>
      <c r="D687" s="1" t="s">
        <v>1124</v>
      </c>
      <c r="E687" s="1">
        <v>35</v>
      </c>
      <c r="F687" s="1">
        <v>667</v>
      </c>
      <c r="G687" s="1">
        <v>1001</v>
      </c>
      <c r="H687" s="1">
        <v>304</v>
      </c>
      <c r="I687" s="1">
        <v>851</v>
      </c>
      <c r="J687" s="1">
        <v>706</v>
      </c>
      <c r="K687" s="1">
        <v>674</v>
      </c>
      <c r="L687" s="1">
        <v>405</v>
      </c>
      <c r="M687" s="1">
        <v>72</v>
      </c>
      <c r="N687" s="1">
        <v>42.638426099999997</v>
      </c>
      <c r="O687" s="1">
        <v>12.674296999999999</v>
      </c>
      <c r="P687" s="14">
        <f t="shared" si="76"/>
        <v>29.5</v>
      </c>
      <c r="Q687" s="13">
        <v>20</v>
      </c>
      <c r="R687" s="16">
        <f t="shared" si="77"/>
        <v>0</v>
      </c>
      <c r="S687" s="14">
        <f t="shared" si="78"/>
        <v>0</v>
      </c>
      <c r="T687" s="13">
        <f t="shared" si="79"/>
        <v>15</v>
      </c>
      <c r="U687" s="14">
        <f t="shared" si="80"/>
        <v>32.700000000000003</v>
      </c>
      <c r="V687" s="14">
        <f t="shared" si="81"/>
        <v>59.599999999999994</v>
      </c>
      <c r="W687" s="1">
        <f t="shared" si="82"/>
        <v>31.5</v>
      </c>
      <c r="X687" s="1" t="str">
        <f>IF(Table1[[#This Row],[World Rank]]&lt;=250,"Q1-Elite",IF(Table1[[#This Row],[World Rank]]&lt;=500,"Q2-Strong",IF(Table1[[#This Row],[World Rank]]&lt;=750,"Q3-Developing","Q4-Emerging")))</f>
        <v>Q3-Developing</v>
      </c>
    </row>
    <row r="688" spans="1:24" x14ac:dyDescent="0.2">
      <c r="A688" s="1">
        <v>687</v>
      </c>
      <c r="B688" s="1" t="s">
        <v>754</v>
      </c>
      <c r="C688" s="1" t="s">
        <v>15</v>
      </c>
      <c r="D688" s="1" t="s">
        <v>1120</v>
      </c>
      <c r="E688" s="1">
        <v>173</v>
      </c>
      <c r="F688" s="1">
        <v>667</v>
      </c>
      <c r="G688" s="1">
        <v>1001</v>
      </c>
      <c r="H688" s="1">
        <v>304</v>
      </c>
      <c r="I688" s="1">
        <v>789</v>
      </c>
      <c r="J688" s="1">
        <v>697</v>
      </c>
      <c r="K688" s="1">
        <v>472</v>
      </c>
      <c r="L688" s="1">
        <v>673</v>
      </c>
      <c r="M688" s="1">
        <v>72</v>
      </c>
      <c r="N688" s="1">
        <v>39.783730400000003</v>
      </c>
      <c r="O688" s="1">
        <v>-100.445882</v>
      </c>
      <c r="P688" s="14">
        <f t="shared" si="76"/>
        <v>30.4</v>
      </c>
      <c r="Q688" s="13">
        <v>20</v>
      </c>
      <c r="R688" s="16">
        <f t="shared" si="77"/>
        <v>0</v>
      </c>
      <c r="S688" s="14">
        <f t="shared" si="78"/>
        <v>0</v>
      </c>
      <c r="T688" s="13">
        <f t="shared" si="79"/>
        <v>21.2</v>
      </c>
      <c r="U688" s="14">
        <f t="shared" si="80"/>
        <v>52.900000000000006</v>
      </c>
      <c r="V688" s="14">
        <f t="shared" si="81"/>
        <v>32.800000000000004</v>
      </c>
      <c r="W688" s="1">
        <f t="shared" si="82"/>
        <v>31.4</v>
      </c>
      <c r="X688" s="1" t="str">
        <f>IF(Table1[[#This Row],[World Rank]]&lt;=250,"Q1-Elite",IF(Table1[[#This Row],[World Rank]]&lt;=500,"Q2-Strong",IF(Table1[[#This Row],[World Rank]]&lt;=750,"Q3-Developing","Q4-Emerging")))</f>
        <v>Q3-Developing</v>
      </c>
    </row>
    <row r="689" spans="1:24" x14ac:dyDescent="0.2">
      <c r="A689" s="1">
        <v>688</v>
      </c>
      <c r="B689" s="1" t="s">
        <v>755</v>
      </c>
      <c r="C689" s="1" t="s">
        <v>124</v>
      </c>
      <c r="D689" s="1" t="s">
        <v>1125</v>
      </c>
      <c r="E689" s="1">
        <v>59</v>
      </c>
      <c r="F689" s="1">
        <v>667</v>
      </c>
      <c r="G689" s="1">
        <v>1001</v>
      </c>
      <c r="H689" s="1">
        <v>304</v>
      </c>
      <c r="I689" s="1">
        <v>599</v>
      </c>
      <c r="J689" s="1">
        <v>639</v>
      </c>
      <c r="K689" s="1">
        <v>653</v>
      </c>
      <c r="L689" s="1">
        <v>898</v>
      </c>
      <c r="M689" s="1">
        <v>72</v>
      </c>
      <c r="N689" s="1">
        <v>30.047992000000001</v>
      </c>
      <c r="O689" s="1">
        <v>-94.335743300000004</v>
      </c>
      <c r="P689" s="14">
        <f t="shared" si="76"/>
        <v>36.199999999999996</v>
      </c>
      <c r="Q689" s="13">
        <v>20</v>
      </c>
      <c r="R689" s="16">
        <f t="shared" si="77"/>
        <v>0</v>
      </c>
      <c r="S689" s="14">
        <f t="shared" si="78"/>
        <v>0</v>
      </c>
      <c r="T689" s="13">
        <f t="shared" si="79"/>
        <v>40.200000000000003</v>
      </c>
      <c r="U689" s="14">
        <f t="shared" si="80"/>
        <v>34.799999999999997</v>
      </c>
      <c r="V689" s="14">
        <f t="shared" si="81"/>
        <v>10.299999999999999</v>
      </c>
      <c r="W689" s="1">
        <f t="shared" si="82"/>
        <v>31.3</v>
      </c>
      <c r="X689" s="1" t="str">
        <f>IF(Table1[[#This Row],[World Rank]]&lt;=250,"Q1-Elite",IF(Table1[[#This Row],[World Rank]]&lt;=500,"Q2-Strong",IF(Table1[[#This Row],[World Rank]]&lt;=750,"Q3-Developing","Q4-Emerging")))</f>
        <v>Q3-Developing</v>
      </c>
    </row>
    <row r="690" spans="1:24" x14ac:dyDescent="0.2">
      <c r="A690" s="1">
        <v>689</v>
      </c>
      <c r="B690" s="1" t="s">
        <v>756</v>
      </c>
      <c r="C690" s="1" t="s">
        <v>427</v>
      </c>
      <c r="D690" s="1" t="s">
        <v>1125</v>
      </c>
      <c r="E690" s="1">
        <v>6</v>
      </c>
      <c r="F690" s="1">
        <v>667</v>
      </c>
      <c r="G690" s="1">
        <v>1001</v>
      </c>
      <c r="H690" s="1">
        <v>304</v>
      </c>
      <c r="I690" s="1">
        <v>396</v>
      </c>
      <c r="J690" s="1">
        <v>659</v>
      </c>
      <c r="K690" s="1">
        <v>1001</v>
      </c>
      <c r="L690" s="1">
        <v>898</v>
      </c>
      <c r="M690" s="1">
        <v>72</v>
      </c>
      <c r="N690" s="1">
        <v>2.9368696000000001</v>
      </c>
      <c r="O690" s="1">
        <v>115.4443356</v>
      </c>
      <c r="P690" s="14">
        <f t="shared" si="76"/>
        <v>34.200000000000003</v>
      </c>
      <c r="Q690" s="13">
        <v>20</v>
      </c>
      <c r="R690" s="16">
        <f t="shared" si="77"/>
        <v>0</v>
      </c>
      <c r="S690" s="14">
        <f t="shared" si="78"/>
        <v>0</v>
      </c>
      <c r="T690" s="13">
        <f t="shared" si="79"/>
        <v>60.5</v>
      </c>
      <c r="U690" s="14">
        <f t="shared" si="80"/>
        <v>0</v>
      </c>
      <c r="V690" s="14">
        <f t="shared" si="81"/>
        <v>10.299999999999999</v>
      </c>
      <c r="W690" s="1">
        <f t="shared" si="82"/>
        <v>31.2</v>
      </c>
      <c r="X690" s="1" t="str">
        <f>IF(Table1[[#This Row],[World Rank]]&lt;=250,"Q1-Elite",IF(Table1[[#This Row],[World Rank]]&lt;=500,"Q2-Strong",IF(Table1[[#This Row],[World Rank]]&lt;=750,"Q3-Developing","Q4-Emerging")))</f>
        <v>Q3-Developing</v>
      </c>
    </row>
    <row r="691" spans="1:24" x14ac:dyDescent="0.2">
      <c r="A691" s="1">
        <v>690</v>
      </c>
      <c r="B691" s="1" t="s">
        <v>757</v>
      </c>
      <c r="C691" s="1" t="s">
        <v>85</v>
      </c>
      <c r="D691" s="1" t="s">
        <v>1125</v>
      </c>
      <c r="E691" s="1">
        <v>23</v>
      </c>
      <c r="F691" s="1">
        <v>667</v>
      </c>
      <c r="G691" s="1">
        <v>1001</v>
      </c>
      <c r="H691" s="1">
        <v>304</v>
      </c>
      <c r="I691" s="1">
        <v>572</v>
      </c>
      <c r="J691" s="1">
        <v>670</v>
      </c>
      <c r="K691" s="1">
        <v>865</v>
      </c>
      <c r="L691" s="1">
        <v>673</v>
      </c>
      <c r="M691" s="1">
        <v>72</v>
      </c>
      <c r="N691" s="1">
        <v>36.638392000000003</v>
      </c>
      <c r="O691" s="1">
        <v>127.69611879999999</v>
      </c>
      <c r="P691" s="14">
        <f t="shared" si="76"/>
        <v>33.1</v>
      </c>
      <c r="Q691" s="13">
        <v>20</v>
      </c>
      <c r="R691" s="16">
        <f t="shared" si="77"/>
        <v>0</v>
      </c>
      <c r="S691" s="14">
        <f t="shared" si="78"/>
        <v>0</v>
      </c>
      <c r="T691" s="13">
        <f t="shared" si="79"/>
        <v>42.9</v>
      </c>
      <c r="U691" s="14">
        <f t="shared" si="80"/>
        <v>13.600000000000001</v>
      </c>
      <c r="V691" s="14">
        <f t="shared" si="81"/>
        <v>32.800000000000004</v>
      </c>
      <c r="W691" s="1">
        <f t="shared" si="82"/>
        <v>31.1</v>
      </c>
      <c r="X691" s="1" t="str">
        <f>IF(Table1[[#This Row],[World Rank]]&lt;=250,"Q1-Elite",IF(Table1[[#This Row],[World Rank]]&lt;=500,"Q2-Strong",IF(Table1[[#This Row],[World Rank]]&lt;=750,"Q3-Developing","Q4-Emerging")))</f>
        <v>Q3-Developing</v>
      </c>
    </row>
    <row r="692" spans="1:24" x14ac:dyDescent="0.2">
      <c r="A692" s="1">
        <v>691</v>
      </c>
      <c r="B692" s="1" t="s">
        <v>758</v>
      </c>
      <c r="C692" s="1" t="s">
        <v>124</v>
      </c>
      <c r="D692" s="1" t="s">
        <v>1125</v>
      </c>
      <c r="E692" s="1">
        <v>60</v>
      </c>
      <c r="F692" s="1">
        <v>667</v>
      </c>
      <c r="G692" s="1">
        <v>603</v>
      </c>
      <c r="H692" s="1">
        <v>304</v>
      </c>
      <c r="I692" s="1">
        <v>517</v>
      </c>
      <c r="J692" s="1">
        <v>597</v>
      </c>
      <c r="K692" s="1">
        <v>679</v>
      </c>
      <c r="L692" s="1">
        <v>1001</v>
      </c>
      <c r="M692" s="1">
        <v>72</v>
      </c>
      <c r="N692" s="1">
        <v>30.047992000000001</v>
      </c>
      <c r="O692" s="1">
        <v>-94.335743300000004</v>
      </c>
      <c r="P692" s="14">
        <f t="shared" si="76"/>
        <v>40.400000000000006</v>
      </c>
      <c r="Q692" s="13">
        <v>20</v>
      </c>
      <c r="R692" s="16">
        <f t="shared" si="77"/>
        <v>39.800000000000004</v>
      </c>
      <c r="S692" s="14">
        <f t="shared" si="78"/>
        <v>0</v>
      </c>
      <c r="T692" s="13">
        <f t="shared" si="79"/>
        <v>48.4</v>
      </c>
      <c r="U692" s="14">
        <f t="shared" si="80"/>
        <v>32.200000000000003</v>
      </c>
      <c r="V692" s="14">
        <f t="shared" si="81"/>
        <v>0</v>
      </c>
      <c r="W692" s="1">
        <f t="shared" si="82"/>
        <v>31</v>
      </c>
      <c r="X692" s="1" t="str">
        <f>IF(Table1[[#This Row],[World Rank]]&lt;=250,"Q1-Elite",IF(Table1[[#This Row],[World Rank]]&lt;=500,"Q2-Strong",IF(Table1[[#This Row],[World Rank]]&lt;=750,"Q3-Developing","Q4-Emerging")))</f>
        <v>Q3-Developing</v>
      </c>
    </row>
    <row r="693" spans="1:24" x14ac:dyDescent="0.2">
      <c r="A693" s="1">
        <v>692</v>
      </c>
      <c r="B693" s="1" t="s">
        <v>759</v>
      </c>
      <c r="C693" s="1" t="s">
        <v>124</v>
      </c>
      <c r="D693" s="1" t="s">
        <v>1125</v>
      </c>
      <c r="E693" s="1">
        <v>61</v>
      </c>
      <c r="F693" s="1">
        <v>667</v>
      </c>
      <c r="G693" s="1">
        <v>1001</v>
      </c>
      <c r="H693" s="1">
        <v>304</v>
      </c>
      <c r="I693" s="1">
        <v>691</v>
      </c>
      <c r="J693" s="1">
        <v>813</v>
      </c>
      <c r="K693" s="1">
        <v>1001</v>
      </c>
      <c r="L693" s="1">
        <v>363</v>
      </c>
      <c r="M693" s="1">
        <v>71.900000000000006</v>
      </c>
      <c r="N693" s="1">
        <v>30.047992000000001</v>
      </c>
      <c r="O693" s="1">
        <v>-94.335743300000004</v>
      </c>
      <c r="P693" s="14">
        <f t="shared" si="76"/>
        <v>18.8</v>
      </c>
      <c r="Q693" s="13">
        <v>20</v>
      </c>
      <c r="R693" s="16">
        <f t="shared" si="77"/>
        <v>0</v>
      </c>
      <c r="S693" s="14">
        <f t="shared" si="78"/>
        <v>0</v>
      </c>
      <c r="T693" s="13">
        <f t="shared" si="79"/>
        <v>31</v>
      </c>
      <c r="U693" s="14">
        <f t="shared" si="80"/>
        <v>0</v>
      </c>
      <c r="V693" s="14">
        <f t="shared" si="81"/>
        <v>63.800000000000004</v>
      </c>
      <c r="W693" s="1">
        <f t="shared" si="82"/>
        <v>30.9</v>
      </c>
      <c r="X693" s="1" t="str">
        <f>IF(Table1[[#This Row],[World Rank]]&lt;=250,"Q1-Elite",IF(Table1[[#This Row],[World Rank]]&lt;=500,"Q2-Strong",IF(Table1[[#This Row],[World Rank]]&lt;=750,"Q3-Developing","Q4-Emerging")))</f>
        <v>Q3-Developing</v>
      </c>
    </row>
    <row r="694" spans="1:24" x14ac:dyDescent="0.2">
      <c r="A694" s="1">
        <v>693</v>
      </c>
      <c r="B694" s="1" t="s">
        <v>760</v>
      </c>
      <c r="C694" s="1" t="s">
        <v>124</v>
      </c>
      <c r="D694" s="1" t="s">
        <v>1125</v>
      </c>
      <c r="E694" s="1">
        <v>62</v>
      </c>
      <c r="F694" s="1">
        <v>667</v>
      </c>
      <c r="G694" s="1">
        <v>1001</v>
      </c>
      <c r="H694" s="1">
        <v>304</v>
      </c>
      <c r="I694" s="1">
        <v>716</v>
      </c>
      <c r="J694" s="1">
        <v>647</v>
      </c>
      <c r="K694" s="1">
        <v>864</v>
      </c>
      <c r="L694" s="1">
        <v>541</v>
      </c>
      <c r="M694" s="1">
        <v>71.900000000000006</v>
      </c>
      <c r="N694" s="1">
        <v>30.047992000000001</v>
      </c>
      <c r="O694" s="1">
        <v>-94.335743300000004</v>
      </c>
      <c r="P694" s="14">
        <f t="shared" si="76"/>
        <v>35.4</v>
      </c>
      <c r="Q694" s="13">
        <v>20</v>
      </c>
      <c r="R694" s="16">
        <f t="shared" si="77"/>
        <v>0</v>
      </c>
      <c r="S694" s="14">
        <f t="shared" si="78"/>
        <v>0</v>
      </c>
      <c r="T694" s="13">
        <f t="shared" si="79"/>
        <v>28.499999999999996</v>
      </c>
      <c r="U694" s="14">
        <f t="shared" si="80"/>
        <v>13.700000000000001</v>
      </c>
      <c r="V694" s="14">
        <f t="shared" si="81"/>
        <v>46</v>
      </c>
      <c r="W694" s="1">
        <f t="shared" si="82"/>
        <v>30.8</v>
      </c>
      <c r="X694" s="1" t="str">
        <f>IF(Table1[[#This Row],[World Rank]]&lt;=250,"Q1-Elite",IF(Table1[[#This Row],[World Rank]]&lt;=500,"Q2-Strong",IF(Table1[[#This Row],[World Rank]]&lt;=750,"Q3-Developing","Q4-Emerging")))</f>
        <v>Q3-Developing</v>
      </c>
    </row>
    <row r="695" spans="1:24" x14ac:dyDescent="0.2">
      <c r="A695" s="1">
        <v>694</v>
      </c>
      <c r="B695" s="1" t="s">
        <v>761</v>
      </c>
      <c r="C695" s="1" t="s">
        <v>107</v>
      </c>
      <c r="D695" s="1" t="s">
        <v>1123</v>
      </c>
      <c r="E695" s="1">
        <v>9</v>
      </c>
      <c r="F695" s="1">
        <v>667</v>
      </c>
      <c r="G695" s="1">
        <v>1001</v>
      </c>
      <c r="H695" s="1">
        <v>304</v>
      </c>
      <c r="I695" s="1">
        <v>453</v>
      </c>
      <c r="J695" s="1">
        <v>603</v>
      </c>
      <c r="K695" s="1">
        <v>884</v>
      </c>
      <c r="L695" s="1">
        <v>1001</v>
      </c>
      <c r="M695" s="1">
        <v>71.900000000000006</v>
      </c>
      <c r="N695" s="1">
        <v>-10.3333333</v>
      </c>
      <c r="O695" s="1">
        <v>-53.2</v>
      </c>
      <c r="P695" s="14">
        <f t="shared" si="76"/>
        <v>39.800000000000004</v>
      </c>
      <c r="Q695" s="13">
        <v>20</v>
      </c>
      <c r="R695" s="16">
        <f t="shared" si="77"/>
        <v>0</v>
      </c>
      <c r="S695" s="14">
        <f t="shared" si="78"/>
        <v>0</v>
      </c>
      <c r="T695" s="13">
        <f t="shared" si="79"/>
        <v>54.800000000000004</v>
      </c>
      <c r="U695" s="14">
        <f t="shared" si="80"/>
        <v>11.700000000000001</v>
      </c>
      <c r="V695" s="14">
        <f t="shared" si="81"/>
        <v>0</v>
      </c>
      <c r="W695" s="1">
        <f t="shared" si="82"/>
        <v>30.7</v>
      </c>
      <c r="X695" s="1" t="str">
        <f>IF(Table1[[#This Row],[World Rank]]&lt;=250,"Q1-Elite",IF(Table1[[#This Row],[World Rank]]&lt;=500,"Q2-Strong",IF(Table1[[#This Row],[World Rank]]&lt;=750,"Q3-Developing","Q4-Emerging")))</f>
        <v>Q3-Developing</v>
      </c>
    </row>
    <row r="696" spans="1:24" x14ac:dyDescent="0.2">
      <c r="A696" s="1">
        <v>695</v>
      </c>
      <c r="B696" s="1" t="s">
        <v>762</v>
      </c>
      <c r="C696" s="1" t="s">
        <v>19</v>
      </c>
      <c r="D696" s="1" t="s">
        <v>1124</v>
      </c>
      <c r="E696" s="1">
        <v>47</v>
      </c>
      <c r="F696" s="1">
        <v>667</v>
      </c>
      <c r="G696" s="1">
        <v>1001</v>
      </c>
      <c r="H696" s="1">
        <v>304</v>
      </c>
      <c r="I696" s="1">
        <v>885</v>
      </c>
      <c r="J696" s="1">
        <v>693</v>
      </c>
      <c r="K696" s="1">
        <v>420</v>
      </c>
      <c r="L696" s="1">
        <v>673</v>
      </c>
      <c r="M696" s="1">
        <v>71.900000000000006</v>
      </c>
      <c r="N696" s="1">
        <v>54.702354499999998</v>
      </c>
      <c r="O696" s="1">
        <v>-3.2765753000000002</v>
      </c>
      <c r="P696" s="14">
        <f t="shared" si="76"/>
        <v>30.8</v>
      </c>
      <c r="Q696" s="13">
        <v>20</v>
      </c>
      <c r="R696" s="16">
        <f t="shared" si="77"/>
        <v>0</v>
      </c>
      <c r="S696" s="14">
        <f t="shared" si="78"/>
        <v>0</v>
      </c>
      <c r="T696" s="13">
        <f t="shared" si="79"/>
        <v>11.600000000000001</v>
      </c>
      <c r="U696" s="14">
        <f t="shared" si="80"/>
        <v>58.099999999999994</v>
      </c>
      <c r="V696" s="14">
        <f t="shared" si="81"/>
        <v>32.800000000000004</v>
      </c>
      <c r="W696" s="1">
        <f t="shared" si="82"/>
        <v>30.599999999999998</v>
      </c>
      <c r="X696" s="1" t="str">
        <f>IF(Table1[[#This Row],[World Rank]]&lt;=250,"Q1-Elite",IF(Table1[[#This Row],[World Rank]]&lt;=500,"Q2-Strong",IF(Table1[[#This Row],[World Rank]]&lt;=750,"Q3-Developing","Q4-Emerging")))</f>
        <v>Q3-Developing</v>
      </c>
    </row>
    <row r="697" spans="1:24" x14ac:dyDescent="0.2">
      <c r="A697" s="1">
        <v>696</v>
      </c>
      <c r="B697" s="1" t="s">
        <v>763</v>
      </c>
      <c r="C697" s="1" t="s">
        <v>470</v>
      </c>
      <c r="D697" s="1" t="s">
        <v>1124</v>
      </c>
      <c r="E697" s="1">
        <v>3</v>
      </c>
      <c r="F697" s="1">
        <v>667</v>
      </c>
      <c r="G697" s="1">
        <v>1001</v>
      </c>
      <c r="H697" s="1">
        <v>304</v>
      </c>
      <c r="I697" s="1">
        <v>696</v>
      </c>
      <c r="J697" s="1">
        <v>755</v>
      </c>
      <c r="K697" s="1">
        <v>655</v>
      </c>
      <c r="L697" s="1">
        <v>541</v>
      </c>
      <c r="M697" s="1">
        <v>71.900000000000006</v>
      </c>
      <c r="N697" s="1">
        <v>41.976762899999997</v>
      </c>
      <c r="O697" s="1">
        <v>-72.778984199999996</v>
      </c>
      <c r="P697" s="14">
        <f t="shared" si="76"/>
        <v>24.6</v>
      </c>
      <c r="Q697" s="13">
        <v>20</v>
      </c>
      <c r="R697" s="16">
        <f t="shared" si="77"/>
        <v>0</v>
      </c>
      <c r="S697" s="14">
        <f t="shared" si="78"/>
        <v>0</v>
      </c>
      <c r="T697" s="13">
        <f t="shared" si="79"/>
        <v>30.5</v>
      </c>
      <c r="U697" s="14">
        <f t="shared" si="80"/>
        <v>34.599999999999994</v>
      </c>
      <c r="V697" s="14">
        <f t="shared" si="81"/>
        <v>46</v>
      </c>
      <c r="W697" s="1">
        <f t="shared" si="82"/>
        <v>30.5</v>
      </c>
      <c r="X697" s="1" t="str">
        <f>IF(Table1[[#This Row],[World Rank]]&lt;=250,"Q1-Elite",IF(Table1[[#This Row],[World Rank]]&lt;=500,"Q2-Strong",IF(Table1[[#This Row],[World Rank]]&lt;=750,"Q3-Developing","Q4-Emerging")))</f>
        <v>Q3-Developing</v>
      </c>
    </row>
    <row r="698" spans="1:24" x14ac:dyDescent="0.2">
      <c r="A698" s="1">
        <v>697</v>
      </c>
      <c r="B698" s="1" t="s">
        <v>764</v>
      </c>
      <c r="C698" s="1" t="s">
        <v>124</v>
      </c>
      <c r="D698" s="1" t="s">
        <v>1125</v>
      </c>
      <c r="E698" s="1">
        <v>63</v>
      </c>
      <c r="F698" s="1">
        <v>667</v>
      </c>
      <c r="G698" s="1">
        <v>1001</v>
      </c>
      <c r="H698" s="1">
        <v>304</v>
      </c>
      <c r="I698" s="1">
        <v>483</v>
      </c>
      <c r="J698" s="1">
        <v>573</v>
      </c>
      <c r="K698" s="1">
        <v>876</v>
      </c>
      <c r="L698" s="1">
        <v>1001</v>
      </c>
      <c r="M698" s="1">
        <v>71.900000000000006</v>
      </c>
      <c r="N698" s="1">
        <v>30.047992000000001</v>
      </c>
      <c r="O698" s="1">
        <v>-94.335743300000004</v>
      </c>
      <c r="P698" s="14">
        <f t="shared" si="76"/>
        <v>42.8</v>
      </c>
      <c r="Q698" s="13">
        <v>20</v>
      </c>
      <c r="R698" s="16">
        <f t="shared" si="77"/>
        <v>0</v>
      </c>
      <c r="S698" s="14">
        <f t="shared" si="78"/>
        <v>0</v>
      </c>
      <c r="T698" s="13">
        <f t="shared" si="79"/>
        <v>51.800000000000004</v>
      </c>
      <c r="U698" s="14">
        <f t="shared" si="80"/>
        <v>12.5</v>
      </c>
      <c r="V698" s="14">
        <f t="shared" si="81"/>
        <v>0</v>
      </c>
      <c r="W698" s="1">
        <f t="shared" si="82"/>
        <v>30.4</v>
      </c>
      <c r="X698" s="1" t="str">
        <f>IF(Table1[[#This Row],[World Rank]]&lt;=250,"Q1-Elite",IF(Table1[[#This Row],[World Rank]]&lt;=500,"Q2-Strong",IF(Table1[[#This Row],[World Rank]]&lt;=750,"Q3-Developing","Q4-Emerging")))</f>
        <v>Q3-Developing</v>
      </c>
    </row>
    <row r="699" spans="1:24" x14ac:dyDescent="0.2">
      <c r="A699" s="1">
        <v>698</v>
      </c>
      <c r="B699" s="1" t="s">
        <v>765</v>
      </c>
      <c r="C699" s="1" t="s">
        <v>28</v>
      </c>
      <c r="D699" s="1" t="s">
        <v>1125</v>
      </c>
      <c r="E699" s="1">
        <v>27</v>
      </c>
      <c r="F699" s="1">
        <v>580</v>
      </c>
      <c r="G699" s="1">
        <v>1001</v>
      </c>
      <c r="H699" s="1">
        <v>304</v>
      </c>
      <c r="I699" s="1">
        <v>547</v>
      </c>
      <c r="J699" s="1">
        <v>733</v>
      </c>
      <c r="K699" s="1">
        <v>630</v>
      </c>
      <c r="L699" s="1">
        <v>898</v>
      </c>
      <c r="M699" s="1">
        <v>71.900000000000006</v>
      </c>
      <c r="N699" s="1">
        <v>36.5748441</v>
      </c>
      <c r="O699" s="1">
        <v>139.23941790000001</v>
      </c>
      <c r="P699" s="14">
        <f t="shared" si="76"/>
        <v>26.8</v>
      </c>
      <c r="Q699" s="13">
        <v>20</v>
      </c>
      <c r="R699" s="16">
        <f t="shared" si="77"/>
        <v>0</v>
      </c>
      <c r="S699" s="14">
        <f t="shared" si="78"/>
        <v>0</v>
      </c>
      <c r="T699" s="13">
        <f t="shared" si="79"/>
        <v>45.4</v>
      </c>
      <c r="U699" s="14">
        <f t="shared" si="80"/>
        <v>37.1</v>
      </c>
      <c r="V699" s="14">
        <f t="shared" si="81"/>
        <v>10.299999999999999</v>
      </c>
      <c r="W699" s="1">
        <f t="shared" si="82"/>
        <v>30.3</v>
      </c>
      <c r="X699" s="1" t="str">
        <f>IF(Table1[[#This Row],[World Rank]]&lt;=250,"Q1-Elite",IF(Table1[[#This Row],[World Rank]]&lt;=500,"Q2-Strong",IF(Table1[[#This Row],[World Rank]]&lt;=750,"Q3-Developing","Q4-Emerging")))</f>
        <v>Q3-Developing</v>
      </c>
    </row>
    <row r="700" spans="1:24" x14ac:dyDescent="0.2">
      <c r="A700" s="1">
        <v>699</v>
      </c>
      <c r="B700" s="1" t="s">
        <v>766</v>
      </c>
      <c r="C700" s="1" t="s">
        <v>93</v>
      </c>
      <c r="D700" s="1" t="s">
        <v>1124</v>
      </c>
      <c r="E700" s="1">
        <v>36</v>
      </c>
      <c r="F700" s="1">
        <v>667</v>
      </c>
      <c r="G700" s="1">
        <v>1001</v>
      </c>
      <c r="H700" s="1">
        <v>304</v>
      </c>
      <c r="I700" s="1">
        <v>748</v>
      </c>
      <c r="J700" s="1">
        <v>671</v>
      </c>
      <c r="K700" s="1">
        <v>711</v>
      </c>
      <c r="L700" s="1">
        <v>541</v>
      </c>
      <c r="M700" s="1">
        <v>71.900000000000006</v>
      </c>
      <c r="N700" s="1">
        <v>42.638426099999997</v>
      </c>
      <c r="O700" s="1">
        <v>12.674296999999999</v>
      </c>
      <c r="P700" s="14">
        <f t="shared" si="76"/>
        <v>33</v>
      </c>
      <c r="Q700" s="13">
        <v>20</v>
      </c>
      <c r="R700" s="16">
        <f t="shared" si="77"/>
        <v>0</v>
      </c>
      <c r="S700" s="14">
        <f t="shared" si="78"/>
        <v>0</v>
      </c>
      <c r="T700" s="13">
        <f t="shared" si="79"/>
        <v>25.3</v>
      </c>
      <c r="U700" s="14">
        <f t="shared" si="80"/>
        <v>28.999999999999996</v>
      </c>
      <c r="V700" s="14">
        <f t="shared" si="81"/>
        <v>46</v>
      </c>
      <c r="W700" s="1">
        <f t="shared" si="82"/>
        <v>30.2</v>
      </c>
      <c r="X700" s="1" t="str">
        <f>IF(Table1[[#This Row],[World Rank]]&lt;=250,"Q1-Elite",IF(Table1[[#This Row],[World Rank]]&lt;=500,"Q2-Strong",IF(Table1[[#This Row],[World Rank]]&lt;=750,"Q3-Developing","Q4-Emerging")))</f>
        <v>Q3-Developing</v>
      </c>
    </row>
    <row r="701" spans="1:24" x14ac:dyDescent="0.2">
      <c r="A701" s="1">
        <v>700</v>
      </c>
      <c r="B701" s="1" t="s">
        <v>767</v>
      </c>
      <c r="C701" s="1" t="s">
        <v>85</v>
      </c>
      <c r="D701" s="1" t="s">
        <v>1125</v>
      </c>
      <c r="E701" s="1">
        <v>24</v>
      </c>
      <c r="F701" s="1">
        <v>667</v>
      </c>
      <c r="G701" s="1">
        <v>993</v>
      </c>
      <c r="H701" s="1">
        <v>304</v>
      </c>
      <c r="I701" s="1">
        <v>562</v>
      </c>
      <c r="J701" s="1">
        <v>640</v>
      </c>
      <c r="K701" s="1">
        <v>804</v>
      </c>
      <c r="L701" s="1">
        <v>898</v>
      </c>
      <c r="M701" s="1">
        <v>71.900000000000006</v>
      </c>
      <c r="N701" s="1">
        <v>36.638392000000003</v>
      </c>
      <c r="O701" s="1">
        <v>127.69611879999999</v>
      </c>
      <c r="P701" s="14">
        <f t="shared" si="76"/>
        <v>36.1</v>
      </c>
      <c r="Q701" s="13">
        <v>20</v>
      </c>
      <c r="R701" s="16">
        <f t="shared" si="77"/>
        <v>0.8</v>
      </c>
      <c r="S701" s="14">
        <f t="shared" si="78"/>
        <v>0</v>
      </c>
      <c r="T701" s="13">
        <f t="shared" si="79"/>
        <v>43.9</v>
      </c>
      <c r="U701" s="14">
        <f t="shared" si="80"/>
        <v>19.7</v>
      </c>
      <c r="V701" s="14">
        <f t="shared" si="81"/>
        <v>10.299999999999999</v>
      </c>
      <c r="W701" s="1">
        <f t="shared" si="82"/>
        <v>30.099999999999998</v>
      </c>
      <c r="X701" s="1" t="str">
        <f>IF(Table1[[#This Row],[World Rank]]&lt;=250,"Q1-Elite",IF(Table1[[#This Row],[World Rank]]&lt;=500,"Q2-Strong",IF(Table1[[#This Row],[World Rank]]&lt;=750,"Q3-Developing","Q4-Emerging")))</f>
        <v>Q3-Developing</v>
      </c>
    </row>
    <row r="702" spans="1:24" x14ac:dyDescent="0.2">
      <c r="A702" s="1">
        <v>701</v>
      </c>
      <c r="B702" s="1" t="s">
        <v>768</v>
      </c>
      <c r="C702" s="1" t="s">
        <v>28</v>
      </c>
      <c r="D702" s="1" t="s">
        <v>1125</v>
      </c>
      <c r="E702" s="1">
        <v>28</v>
      </c>
      <c r="F702" s="1">
        <v>667</v>
      </c>
      <c r="G702" s="1">
        <v>1001</v>
      </c>
      <c r="H702" s="1">
        <v>304</v>
      </c>
      <c r="I702" s="1">
        <v>746</v>
      </c>
      <c r="J702" s="1">
        <v>686</v>
      </c>
      <c r="K702" s="1">
        <v>570</v>
      </c>
      <c r="L702" s="1">
        <v>673</v>
      </c>
      <c r="M702" s="1">
        <v>71.900000000000006</v>
      </c>
      <c r="N702" s="1">
        <v>36.5748441</v>
      </c>
      <c r="O702" s="1">
        <v>139.23941790000001</v>
      </c>
      <c r="P702" s="14">
        <f t="shared" si="76"/>
        <v>31.5</v>
      </c>
      <c r="Q702" s="13">
        <v>20</v>
      </c>
      <c r="R702" s="16">
        <f t="shared" si="77"/>
        <v>0</v>
      </c>
      <c r="S702" s="14">
        <f t="shared" si="78"/>
        <v>0</v>
      </c>
      <c r="T702" s="13">
        <f t="shared" si="79"/>
        <v>25.5</v>
      </c>
      <c r="U702" s="14">
        <f t="shared" si="80"/>
        <v>43.1</v>
      </c>
      <c r="V702" s="14">
        <f t="shared" si="81"/>
        <v>32.800000000000004</v>
      </c>
      <c r="W702" s="1">
        <f t="shared" si="82"/>
        <v>30</v>
      </c>
      <c r="X702" s="1" t="str">
        <f>IF(Table1[[#This Row],[World Rank]]&lt;=250,"Q1-Elite",IF(Table1[[#This Row],[World Rank]]&lt;=500,"Q2-Strong",IF(Table1[[#This Row],[World Rank]]&lt;=750,"Q3-Developing","Q4-Emerging")))</f>
        <v>Q3-Developing</v>
      </c>
    </row>
    <row r="703" spans="1:24" x14ac:dyDescent="0.2">
      <c r="A703" s="1">
        <v>702</v>
      </c>
      <c r="B703" s="1" t="s">
        <v>769</v>
      </c>
      <c r="C703" s="1" t="s">
        <v>124</v>
      </c>
      <c r="D703" s="1" t="s">
        <v>1125</v>
      </c>
      <c r="E703" s="1">
        <v>64</v>
      </c>
      <c r="F703" s="1">
        <v>667</v>
      </c>
      <c r="G703" s="1">
        <v>1001</v>
      </c>
      <c r="H703" s="1">
        <v>304</v>
      </c>
      <c r="I703" s="1">
        <v>612</v>
      </c>
      <c r="J703" s="1">
        <v>676</v>
      </c>
      <c r="K703" s="1">
        <v>843</v>
      </c>
      <c r="L703" s="1">
        <v>673</v>
      </c>
      <c r="M703" s="1">
        <v>71.900000000000006</v>
      </c>
      <c r="N703" s="1">
        <v>30.047992000000001</v>
      </c>
      <c r="O703" s="1">
        <v>-94.335743300000004</v>
      </c>
      <c r="P703" s="14">
        <f t="shared" si="76"/>
        <v>32.5</v>
      </c>
      <c r="Q703" s="13">
        <v>20</v>
      </c>
      <c r="R703" s="16">
        <f t="shared" si="77"/>
        <v>0</v>
      </c>
      <c r="S703" s="14">
        <f t="shared" si="78"/>
        <v>0</v>
      </c>
      <c r="T703" s="13">
        <f t="shared" si="79"/>
        <v>38.9</v>
      </c>
      <c r="U703" s="14">
        <f t="shared" si="80"/>
        <v>15.8</v>
      </c>
      <c r="V703" s="14">
        <f t="shared" si="81"/>
        <v>32.800000000000004</v>
      </c>
      <c r="W703" s="1">
        <f t="shared" si="82"/>
        <v>29.9</v>
      </c>
      <c r="X703" s="1" t="str">
        <f>IF(Table1[[#This Row],[World Rank]]&lt;=250,"Q1-Elite",IF(Table1[[#This Row],[World Rank]]&lt;=500,"Q2-Strong",IF(Table1[[#This Row],[World Rank]]&lt;=750,"Q3-Developing","Q4-Emerging")))</f>
        <v>Q3-Developing</v>
      </c>
    </row>
    <row r="704" spans="1:24" x14ac:dyDescent="0.2">
      <c r="A704" s="1">
        <v>703</v>
      </c>
      <c r="B704" s="1" t="s">
        <v>770</v>
      </c>
      <c r="C704" s="1" t="s">
        <v>93</v>
      </c>
      <c r="D704" s="1" t="s">
        <v>1124</v>
      </c>
      <c r="E704" s="1">
        <v>37</v>
      </c>
      <c r="F704" s="1">
        <v>667</v>
      </c>
      <c r="G704" s="1">
        <v>1001</v>
      </c>
      <c r="H704" s="1">
        <v>304</v>
      </c>
      <c r="I704" s="1">
        <v>705</v>
      </c>
      <c r="J704" s="1">
        <v>624</v>
      </c>
      <c r="K704" s="1">
        <v>584</v>
      </c>
      <c r="L704" s="1">
        <v>898</v>
      </c>
      <c r="M704" s="1">
        <v>71.900000000000006</v>
      </c>
      <c r="N704" s="1">
        <v>42.638426099999997</v>
      </c>
      <c r="O704" s="1">
        <v>12.674296999999999</v>
      </c>
      <c r="P704" s="14">
        <f t="shared" si="76"/>
        <v>37.700000000000003</v>
      </c>
      <c r="Q704" s="13">
        <v>20</v>
      </c>
      <c r="R704" s="16">
        <f t="shared" si="77"/>
        <v>0</v>
      </c>
      <c r="S704" s="14">
        <f t="shared" si="78"/>
        <v>0</v>
      </c>
      <c r="T704" s="13">
        <f t="shared" si="79"/>
        <v>29.599999999999998</v>
      </c>
      <c r="U704" s="14">
        <f t="shared" si="80"/>
        <v>41.699999999999996</v>
      </c>
      <c r="V704" s="14">
        <f t="shared" si="81"/>
        <v>10.299999999999999</v>
      </c>
      <c r="W704" s="1">
        <f t="shared" si="82"/>
        <v>29.799999999999997</v>
      </c>
      <c r="X704" s="1" t="str">
        <f>IF(Table1[[#This Row],[World Rank]]&lt;=250,"Q1-Elite",IF(Table1[[#This Row],[World Rank]]&lt;=500,"Q2-Strong",IF(Table1[[#This Row],[World Rank]]&lt;=750,"Q3-Developing","Q4-Emerging")))</f>
        <v>Q3-Developing</v>
      </c>
    </row>
    <row r="705" spans="1:24" x14ac:dyDescent="0.2">
      <c r="A705" s="1">
        <v>704</v>
      </c>
      <c r="B705" s="1" t="s">
        <v>771</v>
      </c>
      <c r="C705" s="1" t="s">
        <v>118</v>
      </c>
      <c r="D705" s="1" t="s">
        <v>1124</v>
      </c>
      <c r="E705" s="1">
        <v>24</v>
      </c>
      <c r="F705" s="1">
        <v>667</v>
      </c>
      <c r="G705" s="1">
        <v>1001</v>
      </c>
      <c r="H705" s="1">
        <v>304</v>
      </c>
      <c r="I705" s="1">
        <v>581</v>
      </c>
      <c r="J705" s="1">
        <v>554</v>
      </c>
      <c r="K705" s="1">
        <v>1001</v>
      </c>
      <c r="L705" s="1">
        <v>898</v>
      </c>
      <c r="M705" s="1">
        <v>71.8</v>
      </c>
      <c r="N705" s="1">
        <v>39.326068499999998</v>
      </c>
      <c r="O705" s="1">
        <v>-4.8379791000000001</v>
      </c>
      <c r="P705" s="14">
        <f t="shared" si="76"/>
        <v>44.7</v>
      </c>
      <c r="Q705" s="13">
        <v>20</v>
      </c>
      <c r="R705" s="16">
        <f t="shared" si="77"/>
        <v>0</v>
      </c>
      <c r="S705" s="14">
        <f t="shared" si="78"/>
        <v>0</v>
      </c>
      <c r="T705" s="13">
        <f t="shared" si="79"/>
        <v>42</v>
      </c>
      <c r="U705" s="14">
        <f t="shared" si="80"/>
        <v>0</v>
      </c>
      <c r="V705" s="14">
        <f t="shared" si="81"/>
        <v>10.299999999999999</v>
      </c>
      <c r="W705" s="1">
        <f t="shared" si="82"/>
        <v>29.7</v>
      </c>
      <c r="X705" s="1" t="str">
        <f>IF(Table1[[#This Row],[World Rank]]&lt;=250,"Q1-Elite",IF(Table1[[#This Row],[World Rank]]&lt;=500,"Q2-Strong",IF(Table1[[#This Row],[World Rank]]&lt;=750,"Q3-Developing","Q4-Emerging")))</f>
        <v>Q3-Developing</v>
      </c>
    </row>
    <row r="706" spans="1:24" x14ac:dyDescent="0.2">
      <c r="A706" s="1">
        <v>705</v>
      </c>
      <c r="B706" s="1" t="s">
        <v>772</v>
      </c>
      <c r="C706" s="1" t="s">
        <v>124</v>
      </c>
      <c r="D706" s="1" t="s">
        <v>1125</v>
      </c>
      <c r="E706" s="1">
        <v>65</v>
      </c>
      <c r="F706" s="1">
        <v>667</v>
      </c>
      <c r="G706" s="1">
        <v>1001</v>
      </c>
      <c r="H706" s="1">
        <v>304</v>
      </c>
      <c r="I706" s="1">
        <v>626</v>
      </c>
      <c r="J706" s="1">
        <v>704</v>
      </c>
      <c r="K706" s="1">
        <v>1001</v>
      </c>
      <c r="L706" s="1">
        <v>460</v>
      </c>
      <c r="M706" s="1">
        <v>71.8</v>
      </c>
      <c r="N706" s="1">
        <v>30.047992000000001</v>
      </c>
      <c r="O706" s="1">
        <v>-94.335743300000004</v>
      </c>
      <c r="P706" s="14">
        <f t="shared" ref="P706:P769" si="83">((1001 - J706) / 1000) * 100</f>
        <v>29.7</v>
      </c>
      <c r="Q706" s="13">
        <v>20</v>
      </c>
      <c r="R706" s="16">
        <f t="shared" ref="R706:R769" si="84">(1001 - G706) / 1000 * 100</f>
        <v>0</v>
      </c>
      <c r="S706" s="14">
        <f t="shared" ref="S706:S769" si="85">(304 - H706) / 303 * 100</f>
        <v>0</v>
      </c>
      <c r="T706" s="13">
        <f t="shared" ref="T706:T769" si="86">(1001 - I706) / 1000 * 100</f>
        <v>37.5</v>
      </c>
      <c r="U706" s="14">
        <f t="shared" ref="U706:U769" si="87">(1001 - K706) / 1000 * 100</f>
        <v>0</v>
      </c>
      <c r="V706" s="14">
        <f t="shared" ref="V706:V769" si="88">(1001 - L706) / 1000 * 100</f>
        <v>54.1</v>
      </c>
      <c r="W706" s="1">
        <f t="shared" ref="W706:W769" si="89">(1001 - A706) / 1000 * 100</f>
        <v>29.599999999999998</v>
      </c>
      <c r="X706" s="1" t="str">
        <f>IF(Table1[[#This Row],[World Rank]]&lt;=250,"Q1-Elite",IF(Table1[[#This Row],[World Rank]]&lt;=500,"Q2-Strong",IF(Table1[[#This Row],[World Rank]]&lt;=750,"Q3-Developing","Q4-Emerging")))</f>
        <v>Q3-Developing</v>
      </c>
    </row>
    <row r="707" spans="1:24" x14ac:dyDescent="0.2">
      <c r="A707" s="1">
        <v>706</v>
      </c>
      <c r="B707" s="1" t="s">
        <v>773</v>
      </c>
      <c r="C707" s="1" t="s">
        <v>15</v>
      </c>
      <c r="D707" s="1" t="s">
        <v>1120</v>
      </c>
      <c r="E707" s="1">
        <v>174</v>
      </c>
      <c r="F707" s="1">
        <v>52</v>
      </c>
      <c r="G707" s="1">
        <v>411</v>
      </c>
      <c r="H707" s="1">
        <v>304</v>
      </c>
      <c r="I707" s="1">
        <v>1001</v>
      </c>
      <c r="J707" s="1">
        <v>788</v>
      </c>
      <c r="K707" s="1">
        <v>496</v>
      </c>
      <c r="L707" s="1">
        <v>673</v>
      </c>
      <c r="M707" s="1">
        <v>71.8</v>
      </c>
      <c r="N707" s="1">
        <v>39.783730400000003</v>
      </c>
      <c r="O707" s="1">
        <v>-100.445882</v>
      </c>
      <c r="P707" s="14">
        <f t="shared" si="83"/>
        <v>21.3</v>
      </c>
      <c r="Q707" s="13">
        <f>((667 - F707) / 666) * 100</f>
        <v>92.342342342342349</v>
      </c>
      <c r="R707" s="16">
        <f t="shared" si="84"/>
        <v>59</v>
      </c>
      <c r="S707" s="14">
        <f t="shared" si="85"/>
        <v>0</v>
      </c>
      <c r="T707" s="13">
        <f t="shared" si="86"/>
        <v>0</v>
      </c>
      <c r="U707" s="14">
        <f t="shared" si="87"/>
        <v>50.5</v>
      </c>
      <c r="V707" s="14">
        <f t="shared" si="88"/>
        <v>32.800000000000004</v>
      </c>
      <c r="W707" s="1">
        <f t="shared" si="89"/>
        <v>29.5</v>
      </c>
      <c r="X707" s="1" t="str">
        <f>IF(Table1[[#This Row],[World Rank]]&lt;=250,"Q1-Elite",IF(Table1[[#This Row],[World Rank]]&lt;=500,"Q2-Strong",IF(Table1[[#This Row],[World Rank]]&lt;=750,"Q3-Developing","Q4-Emerging")))</f>
        <v>Q3-Developing</v>
      </c>
    </row>
    <row r="708" spans="1:24" x14ac:dyDescent="0.2">
      <c r="A708" s="1">
        <v>707</v>
      </c>
      <c r="B708" s="1" t="s">
        <v>774</v>
      </c>
      <c r="C708" s="1" t="s">
        <v>124</v>
      </c>
      <c r="D708" s="1" t="s">
        <v>1125</v>
      </c>
      <c r="E708" s="1">
        <v>66</v>
      </c>
      <c r="F708" s="1">
        <v>667</v>
      </c>
      <c r="G708" s="1">
        <v>515</v>
      </c>
      <c r="H708" s="1">
        <v>304</v>
      </c>
      <c r="I708" s="1">
        <v>420</v>
      </c>
      <c r="J708" s="1">
        <v>581</v>
      </c>
      <c r="K708" s="1">
        <v>1001</v>
      </c>
      <c r="L708" s="1">
        <v>1001</v>
      </c>
      <c r="M708" s="1">
        <v>71.8</v>
      </c>
      <c r="N708" s="1">
        <v>30.047992000000001</v>
      </c>
      <c r="O708" s="1">
        <v>-94.335743300000004</v>
      </c>
      <c r="P708" s="14">
        <f t="shared" si="83"/>
        <v>42</v>
      </c>
      <c r="Q708" s="13">
        <v>20</v>
      </c>
      <c r="R708" s="16">
        <f t="shared" si="84"/>
        <v>48.6</v>
      </c>
      <c r="S708" s="14">
        <f t="shared" si="85"/>
        <v>0</v>
      </c>
      <c r="T708" s="13">
        <f t="shared" si="86"/>
        <v>58.099999999999994</v>
      </c>
      <c r="U708" s="14">
        <f t="shared" si="87"/>
        <v>0</v>
      </c>
      <c r="V708" s="14">
        <f t="shared" si="88"/>
        <v>0</v>
      </c>
      <c r="W708" s="1">
        <f t="shared" si="89"/>
        <v>29.4</v>
      </c>
      <c r="X708" s="1" t="str">
        <f>IF(Table1[[#This Row],[World Rank]]&lt;=250,"Q1-Elite",IF(Table1[[#This Row],[World Rank]]&lt;=500,"Q2-Strong",IF(Table1[[#This Row],[World Rank]]&lt;=750,"Q3-Developing","Q4-Emerging")))</f>
        <v>Q3-Developing</v>
      </c>
    </row>
    <row r="709" spans="1:24" x14ac:dyDescent="0.2">
      <c r="A709" s="1">
        <v>708</v>
      </c>
      <c r="B709" s="1" t="s">
        <v>775</v>
      </c>
      <c r="C709" s="1" t="s">
        <v>118</v>
      </c>
      <c r="D709" s="1" t="s">
        <v>1124</v>
      </c>
      <c r="E709" s="1">
        <v>25</v>
      </c>
      <c r="F709" s="1">
        <v>667</v>
      </c>
      <c r="G709" s="1">
        <v>1001</v>
      </c>
      <c r="H709" s="1">
        <v>304</v>
      </c>
      <c r="I709" s="1">
        <v>742</v>
      </c>
      <c r="J709" s="1">
        <v>618</v>
      </c>
      <c r="K709" s="1">
        <v>1001</v>
      </c>
      <c r="L709" s="1">
        <v>541</v>
      </c>
      <c r="M709" s="1">
        <v>71.8</v>
      </c>
      <c r="N709" s="1">
        <v>39.326068499999998</v>
      </c>
      <c r="O709" s="1">
        <v>-4.8379791000000001</v>
      </c>
      <c r="P709" s="14">
        <f t="shared" si="83"/>
        <v>38.299999999999997</v>
      </c>
      <c r="Q709" s="13">
        <v>20</v>
      </c>
      <c r="R709" s="16">
        <f t="shared" si="84"/>
        <v>0</v>
      </c>
      <c r="S709" s="14">
        <f t="shared" si="85"/>
        <v>0</v>
      </c>
      <c r="T709" s="13">
        <f t="shared" si="86"/>
        <v>25.900000000000002</v>
      </c>
      <c r="U709" s="14">
        <f t="shared" si="87"/>
        <v>0</v>
      </c>
      <c r="V709" s="14">
        <f t="shared" si="88"/>
        <v>46</v>
      </c>
      <c r="W709" s="1">
        <f t="shared" si="89"/>
        <v>29.299999999999997</v>
      </c>
      <c r="X709" s="1" t="str">
        <f>IF(Table1[[#This Row],[World Rank]]&lt;=250,"Q1-Elite",IF(Table1[[#This Row],[World Rank]]&lt;=500,"Q2-Strong",IF(Table1[[#This Row],[World Rank]]&lt;=750,"Q3-Developing","Q4-Emerging")))</f>
        <v>Q3-Developing</v>
      </c>
    </row>
    <row r="710" spans="1:24" x14ac:dyDescent="0.2">
      <c r="A710" s="1">
        <v>709</v>
      </c>
      <c r="B710" s="1" t="s">
        <v>776</v>
      </c>
      <c r="C710" s="1" t="s">
        <v>107</v>
      </c>
      <c r="D710" s="1" t="s">
        <v>1123</v>
      </c>
      <c r="E710" s="1">
        <v>10</v>
      </c>
      <c r="F710" s="1">
        <v>667</v>
      </c>
      <c r="G710" s="1">
        <v>1001</v>
      </c>
      <c r="H710" s="1">
        <v>304</v>
      </c>
      <c r="I710" s="1">
        <v>436</v>
      </c>
      <c r="J710" s="1">
        <v>657</v>
      </c>
      <c r="K710" s="1">
        <v>872</v>
      </c>
      <c r="L710" s="1">
        <v>1001</v>
      </c>
      <c r="M710" s="1">
        <v>71.8</v>
      </c>
      <c r="N710" s="1">
        <v>-10.3333333</v>
      </c>
      <c r="O710" s="1">
        <v>-53.2</v>
      </c>
      <c r="P710" s="14">
        <f t="shared" si="83"/>
        <v>34.4</v>
      </c>
      <c r="Q710" s="13">
        <v>20</v>
      </c>
      <c r="R710" s="16">
        <f t="shared" si="84"/>
        <v>0</v>
      </c>
      <c r="S710" s="14">
        <f t="shared" si="85"/>
        <v>0</v>
      </c>
      <c r="T710" s="13">
        <f t="shared" si="86"/>
        <v>56.499999999999993</v>
      </c>
      <c r="U710" s="14">
        <f t="shared" si="87"/>
        <v>12.9</v>
      </c>
      <c r="V710" s="14">
        <f t="shared" si="88"/>
        <v>0</v>
      </c>
      <c r="W710" s="1">
        <f t="shared" si="89"/>
        <v>29.2</v>
      </c>
      <c r="X710" s="1" t="str">
        <f>IF(Table1[[#This Row],[World Rank]]&lt;=250,"Q1-Elite",IF(Table1[[#This Row],[World Rank]]&lt;=500,"Q2-Strong",IF(Table1[[#This Row],[World Rank]]&lt;=750,"Q3-Developing","Q4-Emerging")))</f>
        <v>Q3-Developing</v>
      </c>
    </row>
    <row r="711" spans="1:24" x14ac:dyDescent="0.2">
      <c r="A711" s="1">
        <v>710</v>
      </c>
      <c r="B711" s="1" t="s">
        <v>777</v>
      </c>
      <c r="C711" s="1" t="s">
        <v>19</v>
      </c>
      <c r="D711" s="1" t="s">
        <v>1124</v>
      </c>
      <c r="E711" s="1">
        <v>48</v>
      </c>
      <c r="F711" s="1">
        <v>667</v>
      </c>
      <c r="G711" s="1">
        <v>1001</v>
      </c>
      <c r="H711" s="1">
        <v>304</v>
      </c>
      <c r="I711" s="1">
        <v>943</v>
      </c>
      <c r="J711" s="1">
        <v>796</v>
      </c>
      <c r="K711" s="1">
        <v>775</v>
      </c>
      <c r="L711" s="1">
        <v>304</v>
      </c>
      <c r="M711" s="1">
        <v>71.8</v>
      </c>
      <c r="N711" s="1">
        <v>54.702354499999998</v>
      </c>
      <c r="O711" s="1">
        <v>-3.2765753000000002</v>
      </c>
      <c r="P711" s="14">
        <f t="shared" si="83"/>
        <v>20.5</v>
      </c>
      <c r="Q711" s="13">
        <v>20</v>
      </c>
      <c r="R711" s="16">
        <f t="shared" si="84"/>
        <v>0</v>
      </c>
      <c r="S711" s="14">
        <f t="shared" si="85"/>
        <v>0</v>
      </c>
      <c r="T711" s="13">
        <f t="shared" si="86"/>
        <v>5.8000000000000007</v>
      </c>
      <c r="U711" s="14">
        <f t="shared" si="87"/>
        <v>22.6</v>
      </c>
      <c r="V711" s="14">
        <f t="shared" si="88"/>
        <v>69.699999999999989</v>
      </c>
      <c r="W711" s="1">
        <f t="shared" si="89"/>
        <v>29.099999999999998</v>
      </c>
      <c r="X711" s="1" t="str">
        <f>IF(Table1[[#This Row],[World Rank]]&lt;=250,"Q1-Elite",IF(Table1[[#This Row],[World Rank]]&lt;=500,"Q2-Strong",IF(Table1[[#This Row],[World Rank]]&lt;=750,"Q3-Developing","Q4-Emerging")))</f>
        <v>Q3-Developing</v>
      </c>
    </row>
    <row r="712" spans="1:24" x14ac:dyDescent="0.2">
      <c r="A712" s="1">
        <v>711</v>
      </c>
      <c r="B712" s="1" t="s">
        <v>778</v>
      </c>
      <c r="C712" s="1" t="s">
        <v>46</v>
      </c>
      <c r="D712" s="1" t="s">
        <v>1124</v>
      </c>
      <c r="E712" s="1">
        <v>8</v>
      </c>
      <c r="F712" s="1">
        <v>405</v>
      </c>
      <c r="G712" s="1">
        <v>374</v>
      </c>
      <c r="H712" s="1">
        <v>304</v>
      </c>
      <c r="I712" s="1">
        <v>945</v>
      </c>
      <c r="J712" s="1">
        <v>713</v>
      </c>
      <c r="K712" s="1">
        <v>515</v>
      </c>
      <c r="L712" s="1">
        <v>541</v>
      </c>
      <c r="M712" s="1">
        <v>71.8</v>
      </c>
      <c r="N712" s="1">
        <v>46.798562400000002</v>
      </c>
      <c r="O712" s="1">
        <v>8.2319735999999999</v>
      </c>
      <c r="P712" s="14">
        <f t="shared" si="83"/>
        <v>28.799999999999997</v>
      </c>
      <c r="Q712" s="13">
        <f>((667 - F712) / 666) * 100</f>
        <v>39.33933933933934</v>
      </c>
      <c r="R712" s="16">
        <f t="shared" si="84"/>
        <v>62.7</v>
      </c>
      <c r="S712" s="14">
        <f t="shared" si="85"/>
        <v>0</v>
      </c>
      <c r="T712" s="13">
        <f t="shared" si="86"/>
        <v>5.6000000000000005</v>
      </c>
      <c r="U712" s="14">
        <f t="shared" si="87"/>
        <v>48.6</v>
      </c>
      <c r="V712" s="14">
        <f t="shared" si="88"/>
        <v>46</v>
      </c>
      <c r="W712" s="1">
        <f t="shared" si="89"/>
        <v>28.999999999999996</v>
      </c>
      <c r="X712" s="1" t="str">
        <f>IF(Table1[[#This Row],[World Rank]]&lt;=250,"Q1-Elite",IF(Table1[[#This Row],[World Rank]]&lt;=500,"Q2-Strong",IF(Table1[[#This Row],[World Rank]]&lt;=750,"Q3-Developing","Q4-Emerging")))</f>
        <v>Q3-Developing</v>
      </c>
    </row>
    <row r="713" spans="1:24" x14ac:dyDescent="0.2">
      <c r="A713" s="1">
        <v>712</v>
      </c>
      <c r="B713" s="1" t="s">
        <v>779</v>
      </c>
      <c r="C713" s="1" t="s">
        <v>354</v>
      </c>
      <c r="D713" s="1" t="s">
        <v>1124</v>
      </c>
      <c r="E713" s="1">
        <v>6</v>
      </c>
      <c r="F713" s="1">
        <v>667</v>
      </c>
      <c r="G713" s="1">
        <v>1001</v>
      </c>
      <c r="H713" s="1">
        <v>304</v>
      </c>
      <c r="I713" s="1">
        <v>741</v>
      </c>
      <c r="J713" s="1">
        <v>671</v>
      </c>
      <c r="K713" s="1">
        <v>808</v>
      </c>
      <c r="L713" s="1">
        <v>541</v>
      </c>
      <c r="M713" s="1">
        <v>71.8</v>
      </c>
      <c r="N713" s="1">
        <v>43.209783799999997</v>
      </c>
      <c r="O713" s="1">
        <v>-77.693060200000005</v>
      </c>
      <c r="P713" s="14">
        <f t="shared" si="83"/>
        <v>33</v>
      </c>
      <c r="Q713" s="13">
        <v>20</v>
      </c>
      <c r="R713" s="16">
        <f t="shared" si="84"/>
        <v>0</v>
      </c>
      <c r="S713" s="14">
        <f t="shared" si="85"/>
        <v>0</v>
      </c>
      <c r="T713" s="13">
        <f t="shared" si="86"/>
        <v>26</v>
      </c>
      <c r="U713" s="14">
        <f t="shared" si="87"/>
        <v>19.3</v>
      </c>
      <c r="V713" s="14">
        <f t="shared" si="88"/>
        <v>46</v>
      </c>
      <c r="W713" s="1">
        <f t="shared" si="89"/>
        <v>28.9</v>
      </c>
      <c r="X713" s="1" t="str">
        <f>IF(Table1[[#This Row],[World Rank]]&lt;=250,"Q1-Elite",IF(Table1[[#This Row],[World Rank]]&lt;=500,"Q2-Strong",IF(Table1[[#This Row],[World Rank]]&lt;=750,"Q3-Developing","Q4-Emerging")))</f>
        <v>Q3-Developing</v>
      </c>
    </row>
    <row r="714" spans="1:24" x14ac:dyDescent="0.2">
      <c r="A714" s="1">
        <v>713</v>
      </c>
      <c r="B714" s="1" t="s">
        <v>780</v>
      </c>
      <c r="C714" s="1" t="s">
        <v>103</v>
      </c>
      <c r="D714" s="1" t="s">
        <v>1124</v>
      </c>
      <c r="E714" s="1">
        <v>5</v>
      </c>
      <c r="F714" s="1">
        <v>667</v>
      </c>
      <c r="G714" s="1">
        <v>1001</v>
      </c>
      <c r="H714" s="1">
        <v>304</v>
      </c>
      <c r="I714" s="1">
        <v>737</v>
      </c>
      <c r="J714" s="1">
        <v>649</v>
      </c>
      <c r="K714" s="1">
        <v>564</v>
      </c>
      <c r="L714" s="1">
        <v>898</v>
      </c>
      <c r="M714" s="1">
        <v>71.8</v>
      </c>
      <c r="N714" s="1">
        <v>64.573153700000006</v>
      </c>
      <c r="O714" s="2" t="s">
        <v>104</v>
      </c>
      <c r="P714" s="14">
        <f t="shared" si="83"/>
        <v>35.199999999999996</v>
      </c>
      <c r="Q714" s="13">
        <v>20</v>
      </c>
      <c r="R714" s="16">
        <f t="shared" si="84"/>
        <v>0</v>
      </c>
      <c r="S714" s="14">
        <f t="shared" si="85"/>
        <v>0</v>
      </c>
      <c r="T714" s="13">
        <f t="shared" si="86"/>
        <v>26.400000000000002</v>
      </c>
      <c r="U714" s="14">
        <f t="shared" si="87"/>
        <v>43.7</v>
      </c>
      <c r="V714" s="14">
        <f t="shared" si="88"/>
        <v>10.299999999999999</v>
      </c>
      <c r="W714" s="1">
        <f t="shared" si="89"/>
        <v>28.799999999999997</v>
      </c>
      <c r="X714" s="1" t="str">
        <f>IF(Table1[[#This Row],[World Rank]]&lt;=250,"Q1-Elite",IF(Table1[[#This Row],[World Rank]]&lt;=500,"Q2-Strong",IF(Table1[[#This Row],[World Rank]]&lt;=750,"Q3-Developing","Q4-Emerging")))</f>
        <v>Q3-Developing</v>
      </c>
    </row>
    <row r="715" spans="1:24" x14ac:dyDescent="0.2">
      <c r="A715" s="1">
        <v>714</v>
      </c>
      <c r="B715" s="1" t="s">
        <v>781</v>
      </c>
      <c r="C715" s="1" t="s">
        <v>19</v>
      </c>
      <c r="D715" s="1" t="s">
        <v>1124</v>
      </c>
      <c r="E715" s="1">
        <v>49</v>
      </c>
      <c r="F715" s="1">
        <v>667</v>
      </c>
      <c r="G715" s="1">
        <v>1001</v>
      </c>
      <c r="H715" s="1">
        <v>304</v>
      </c>
      <c r="I715" s="1">
        <v>889</v>
      </c>
      <c r="J715" s="1">
        <v>710</v>
      </c>
      <c r="K715" s="1">
        <v>562</v>
      </c>
      <c r="L715" s="1">
        <v>541</v>
      </c>
      <c r="M715" s="1">
        <v>71.8</v>
      </c>
      <c r="N715" s="1">
        <v>54.702354499999998</v>
      </c>
      <c r="O715" s="1">
        <v>-3.2765753000000002</v>
      </c>
      <c r="P715" s="14">
        <f t="shared" si="83"/>
        <v>29.099999999999998</v>
      </c>
      <c r="Q715" s="13">
        <v>20</v>
      </c>
      <c r="R715" s="16">
        <f t="shared" si="84"/>
        <v>0</v>
      </c>
      <c r="S715" s="14">
        <f t="shared" si="85"/>
        <v>0</v>
      </c>
      <c r="T715" s="13">
        <f t="shared" si="86"/>
        <v>11.200000000000001</v>
      </c>
      <c r="U715" s="14">
        <f t="shared" si="87"/>
        <v>43.9</v>
      </c>
      <c r="V715" s="14">
        <f t="shared" si="88"/>
        <v>46</v>
      </c>
      <c r="W715" s="1">
        <f t="shared" si="89"/>
        <v>28.7</v>
      </c>
      <c r="X715" s="1" t="str">
        <f>IF(Table1[[#This Row],[World Rank]]&lt;=250,"Q1-Elite",IF(Table1[[#This Row],[World Rank]]&lt;=500,"Q2-Strong",IF(Table1[[#This Row],[World Rank]]&lt;=750,"Q3-Developing","Q4-Emerging")))</f>
        <v>Q3-Developing</v>
      </c>
    </row>
    <row r="716" spans="1:24" x14ac:dyDescent="0.2">
      <c r="A716" s="1">
        <v>715</v>
      </c>
      <c r="B716" s="1" t="s">
        <v>782</v>
      </c>
      <c r="C716" s="1" t="s">
        <v>512</v>
      </c>
      <c r="D716" s="1" t="s">
        <v>1122</v>
      </c>
      <c r="E716" s="1">
        <v>2</v>
      </c>
      <c r="F716" s="1">
        <v>667</v>
      </c>
      <c r="G716" s="1">
        <v>1001</v>
      </c>
      <c r="H716" s="1">
        <v>304</v>
      </c>
      <c r="I716" s="1">
        <v>606</v>
      </c>
      <c r="J716" s="1">
        <v>870</v>
      </c>
      <c r="K716" s="1">
        <v>779</v>
      </c>
      <c r="L716" s="1">
        <v>541</v>
      </c>
      <c r="M716" s="1">
        <v>71.8</v>
      </c>
      <c r="N716" s="1">
        <v>35.868129799999998</v>
      </c>
      <c r="O716" s="1">
        <v>-90.945675100000003</v>
      </c>
      <c r="P716" s="14">
        <f t="shared" si="83"/>
        <v>13.100000000000001</v>
      </c>
      <c r="Q716" s="13">
        <v>20</v>
      </c>
      <c r="R716" s="16">
        <f t="shared" si="84"/>
        <v>0</v>
      </c>
      <c r="S716" s="14">
        <f t="shared" si="85"/>
        <v>0</v>
      </c>
      <c r="T716" s="13">
        <f t="shared" si="86"/>
        <v>39.5</v>
      </c>
      <c r="U716" s="14">
        <f t="shared" si="87"/>
        <v>22.2</v>
      </c>
      <c r="V716" s="14">
        <f t="shared" si="88"/>
        <v>46</v>
      </c>
      <c r="W716" s="1">
        <f t="shared" si="89"/>
        <v>28.599999999999998</v>
      </c>
      <c r="X716" s="1" t="str">
        <f>IF(Table1[[#This Row],[World Rank]]&lt;=250,"Q1-Elite",IF(Table1[[#This Row],[World Rank]]&lt;=500,"Q2-Strong",IF(Table1[[#This Row],[World Rank]]&lt;=750,"Q3-Developing","Q4-Emerging")))</f>
        <v>Q3-Developing</v>
      </c>
    </row>
    <row r="717" spans="1:24" x14ac:dyDescent="0.2">
      <c r="A717" s="1">
        <v>716</v>
      </c>
      <c r="B717" s="1" t="s">
        <v>783</v>
      </c>
      <c r="C717" s="1" t="s">
        <v>48</v>
      </c>
      <c r="D717" s="1" t="s">
        <v>1124</v>
      </c>
      <c r="E717" s="1">
        <v>38</v>
      </c>
      <c r="F717" s="1">
        <v>667</v>
      </c>
      <c r="G717" s="1">
        <v>1001</v>
      </c>
      <c r="H717" s="1">
        <v>304</v>
      </c>
      <c r="I717" s="1">
        <v>1001</v>
      </c>
      <c r="J717" s="1">
        <v>889</v>
      </c>
      <c r="K717" s="1">
        <v>576</v>
      </c>
      <c r="L717" s="1">
        <v>275</v>
      </c>
      <c r="M717" s="1">
        <v>71.8</v>
      </c>
      <c r="N717" s="1">
        <v>46.603354000000003</v>
      </c>
      <c r="O717" s="1">
        <v>1.8883335000000001</v>
      </c>
      <c r="P717" s="14">
        <f t="shared" si="83"/>
        <v>11.200000000000001</v>
      </c>
      <c r="Q717" s="13">
        <v>20</v>
      </c>
      <c r="R717" s="16">
        <f t="shared" si="84"/>
        <v>0</v>
      </c>
      <c r="S717" s="14">
        <f t="shared" si="85"/>
        <v>0</v>
      </c>
      <c r="T717" s="13">
        <f t="shared" si="86"/>
        <v>0</v>
      </c>
      <c r="U717" s="14">
        <f t="shared" si="87"/>
        <v>42.5</v>
      </c>
      <c r="V717" s="14">
        <f t="shared" si="88"/>
        <v>72.599999999999994</v>
      </c>
      <c r="W717" s="1">
        <f t="shared" si="89"/>
        <v>28.499999999999996</v>
      </c>
      <c r="X717" s="1" t="str">
        <f>IF(Table1[[#This Row],[World Rank]]&lt;=250,"Q1-Elite",IF(Table1[[#This Row],[World Rank]]&lt;=500,"Q2-Strong",IF(Table1[[#This Row],[World Rank]]&lt;=750,"Q3-Developing","Q4-Emerging")))</f>
        <v>Q3-Developing</v>
      </c>
    </row>
    <row r="718" spans="1:24" x14ac:dyDescent="0.2">
      <c r="A718" s="1">
        <v>717</v>
      </c>
      <c r="B718" s="1" t="s">
        <v>784</v>
      </c>
      <c r="C718" s="1" t="s">
        <v>68</v>
      </c>
      <c r="D718" s="1" t="s">
        <v>1124</v>
      </c>
      <c r="E718" s="1">
        <v>48</v>
      </c>
      <c r="F718" s="1">
        <v>667</v>
      </c>
      <c r="G718" s="1">
        <v>1001</v>
      </c>
      <c r="H718" s="1">
        <v>304</v>
      </c>
      <c r="I718" s="1">
        <v>865</v>
      </c>
      <c r="J718" s="1">
        <v>742</v>
      </c>
      <c r="K718" s="1">
        <v>550</v>
      </c>
      <c r="L718" s="1">
        <v>541</v>
      </c>
      <c r="M718" s="1">
        <v>71.7</v>
      </c>
      <c r="N718" s="1">
        <v>40.420347900000003</v>
      </c>
      <c r="O718" s="1">
        <v>-79.116698299999996</v>
      </c>
      <c r="P718" s="14">
        <f t="shared" si="83"/>
        <v>25.900000000000002</v>
      </c>
      <c r="Q718" s="13">
        <v>20</v>
      </c>
      <c r="R718" s="16">
        <f t="shared" si="84"/>
        <v>0</v>
      </c>
      <c r="S718" s="14">
        <f t="shared" si="85"/>
        <v>0</v>
      </c>
      <c r="T718" s="13">
        <f t="shared" si="86"/>
        <v>13.600000000000001</v>
      </c>
      <c r="U718" s="14">
        <f t="shared" si="87"/>
        <v>45.1</v>
      </c>
      <c r="V718" s="14">
        <f t="shared" si="88"/>
        <v>46</v>
      </c>
      <c r="W718" s="1">
        <f t="shared" si="89"/>
        <v>28.4</v>
      </c>
      <c r="X718" s="1" t="str">
        <f>IF(Table1[[#This Row],[World Rank]]&lt;=250,"Q1-Elite",IF(Table1[[#This Row],[World Rank]]&lt;=500,"Q2-Strong",IF(Table1[[#This Row],[World Rank]]&lt;=750,"Q3-Developing","Q4-Emerging")))</f>
        <v>Q3-Developing</v>
      </c>
    </row>
    <row r="719" spans="1:24" x14ac:dyDescent="0.2">
      <c r="A719" s="1">
        <v>718</v>
      </c>
      <c r="B719" s="1" t="s">
        <v>785</v>
      </c>
      <c r="C719" s="1" t="s">
        <v>212</v>
      </c>
      <c r="D719" s="1" t="s">
        <v>1124</v>
      </c>
      <c r="E719" s="1">
        <v>8</v>
      </c>
      <c r="F719" s="1">
        <v>667</v>
      </c>
      <c r="G719" s="1">
        <v>1001</v>
      </c>
      <c r="H719" s="1">
        <v>304</v>
      </c>
      <c r="I719" s="1">
        <v>780</v>
      </c>
      <c r="J719" s="1">
        <v>708</v>
      </c>
      <c r="K719" s="1">
        <v>957</v>
      </c>
      <c r="L719" s="1">
        <v>460</v>
      </c>
      <c r="M719" s="1">
        <v>71.7</v>
      </c>
      <c r="N719" s="1">
        <v>47.593969999999999</v>
      </c>
      <c r="O719" s="1">
        <v>14.124560000000001</v>
      </c>
      <c r="P719" s="14">
        <f t="shared" si="83"/>
        <v>29.299999999999997</v>
      </c>
      <c r="Q719" s="13">
        <v>20</v>
      </c>
      <c r="R719" s="16">
        <f t="shared" si="84"/>
        <v>0</v>
      </c>
      <c r="S719" s="14">
        <f t="shared" si="85"/>
        <v>0</v>
      </c>
      <c r="T719" s="13">
        <f t="shared" si="86"/>
        <v>22.1</v>
      </c>
      <c r="U719" s="14">
        <f t="shared" si="87"/>
        <v>4.3999999999999995</v>
      </c>
      <c r="V719" s="14">
        <f t="shared" si="88"/>
        <v>54.1</v>
      </c>
      <c r="W719" s="1">
        <f t="shared" si="89"/>
        <v>28.299999999999997</v>
      </c>
      <c r="X719" s="1" t="str">
        <f>IF(Table1[[#This Row],[World Rank]]&lt;=250,"Q1-Elite",IF(Table1[[#This Row],[World Rank]]&lt;=500,"Q2-Strong",IF(Table1[[#This Row],[World Rank]]&lt;=750,"Q3-Developing","Q4-Emerging")))</f>
        <v>Q3-Developing</v>
      </c>
    </row>
    <row r="720" spans="1:24" x14ac:dyDescent="0.2">
      <c r="A720" s="1">
        <v>719</v>
      </c>
      <c r="B720" s="1" t="s">
        <v>786</v>
      </c>
      <c r="C720" s="1" t="s">
        <v>34</v>
      </c>
      <c r="D720" s="1" t="s">
        <v>1120</v>
      </c>
      <c r="E720" s="1">
        <v>24</v>
      </c>
      <c r="F720" s="1">
        <v>667</v>
      </c>
      <c r="G720" s="1">
        <v>268</v>
      </c>
      <c r="H720" s="1">
        <v>304</v>
      </c>
      <c r="I720" s="1">
        <v>605</v>
      </c>
      <c r="J720" s="1">
        <v>544</v>
      </c>
      <c r="K720" s="1">
        <v>1001</v>
      </c>
      <c r="L720" s="1">
        <v>1001</v>
      </c>
      <c r="M720" s="1">
        <v>71.7</v>
      </c>
      <c r="N720" s="1">
        <v>61.066692199999999</v>
      </c>
      <c r="O720" s="1">
        <v>-107.99170700000001</v>
      </c>
      <c r="P720" s="14">
        <f t="shared" si="83"/>
        <v>45.7</v>
      </c>
      <c r="Q720" s="13">
        <v>20</v>
      </c>
      <c r="R720" s="16">
        <f t="shared" si="84"/>
        <v>73.3</v>
      </c>
      <c r="S720" s="14">
        <f t="shared" si="85"/>
        <v>0</v>
      </c>
      <c r="T720" s="13">
        <f t="shared" si="86"/>
        <v>39.6</v>
      </c>
      <c r="U720" s="14">
        <f t="shared" si="87"/>
        <v>0</v>
      </c>
      <c r="V720" s="14">
        <f t="shared" si="88"/>
        <v>0</v>
      </c>
      <c r="W720" s="1">
        <f t="shared" si="89"/>
        <v>28.199999999999996</v>
      </c>
      <c r="X720" s="1" t="str">
        <f>IF(Table1[[#This Row],[World Rank]]&lt;=250,"Q1-Elite",IF(Table1[[#This Row],[World Rank]]&lt;=500,"Q2-Strong",IF(Table1[[#This Row],[World Rank]]&lt;=750,"Q3-Developing","Q4-Emerging")))</f>
        <v>Q3-Developing</v>
      </c>
    </row>
    <row r="721" spans="1:24" x14ac:dyDescent="0.2">
      <c r="A721" s="1">
        <v>720</v>
      </c>
      <c r="B721" s="1" t="s">
        <v>787</v>
      </c>
      <c r="C721" s="1" t="s">
        <v>28</v>
      </c>
      <c r="D721" s="1" t="s">
        <v>1125</v>
      </c>
      <c r="E721" s="1">
        <v>29</v>
      </c>
      <c r="F721" s="1">
        <v>667</v>
      </c>
      <c r="G721" s="1">
        <v>1001</v>
      </c>
      <c r="H721" s="1">
        <v>304</v>
      </c>
      <c r="I721" s="1">
        <v>910</v>
      </c>
      <c r="J721" s="1">
        <v>685</v>
      </c>
      <c r="K721" s="1">
        <v>313</v>
      </c>
      <c r="L721" s="1">
        <v>1001</v>
      </c>
      <c r="M721" s="1">
        <v>71.7</v>
      </c>
      <c r="N721" s="1">
        <v>36.5748441</v>
      </c>
      <c r="O721" s="1">
        <v>139.23941790000001</v>
      </c>
      <c r="P721" s="14">
        <f t="shared" si="83"/>
        <v>31.6</v>
      </c>
      <c r="Q721" s="13">
        <v>20</v>
      </c>
      <c r="R721" s="16">
        <f t="shared" si="84"/>
        <v>0</v>
      </c>
      <c r="S721" s="14">
        <f t="shared" si="85"/>
        <v>0</v>
      </c>
      <c r="T721" s="13">
        <f t="shared" si="86"/>
        <v>9.1</v>
      </c>
      <c r="U721" s="14">
        <f t="shared" si="87"/>
        <v>68.8</v>
      </c>
      <c r="V721" s="14">
        <f t="shared" si="88"/>
        <v>0</v>
      </c>
      <c r="W721" s="1">
        <f t="shared" si="89"/>
        <v>28.1</v>
      </c>
      <c r="X721" s="1" t="str">
        <f>IF(Table1[[#This Row],[World Rank]]&lt;=250,"Q1-Elite",IF(Table1[[#This Row],[World Rank]]&lt;=500,"Q2-Strong",IF(Table1[[#This Row],[World Rank]]&lt;=750,"Q3-Developing","Q4-Emerging")))</f>
        <v>Q3-Developing</v>
      </c>
    </row>
    <row r="722" spans="1:24" x14ac:dyDescent="0.2">
      <c r="A722" s="1">
        <v>721</v>
      </c>
      <c r="B722" s="1" t="s">
        <v>788</v>
      </c>
      <c r="C722" s="1" t="s">
        <v>124</v>
      </c>
      <c r="D722" s="1" t="s">
        <v>1125</v>
      </c>
      <c r="E722" s="1">
        <v>67</v>
      </c>
      <c r="F722" s="1">
        <v>667</v>
      </c>
      <c r="G722" s="1">
        <v>1001</v>
      </c>
      <c r="H722" s="1">
        <v>304</v>
      </c>
      <c r="I722" s="1">
        <v>576</v>
      </c>
      <c r="J722" s="1">
        <v>582</v>
      </c>
      <c r="K722" s="1">
        <v>1001</v>
      </c>
      <c r="L722" s="1">
        <v>898</v>
      </c>
      <c r="M722" s="1">
        <v>71.7</v>
      </c>
      <c r="N722" s="1">
        <v>30.047992000000001</v>
      </c>
      <c r="O722" s="1">
        <v>-94.335743300000004</v>
      </c>
      <c r="P722" s="14">
        <f t="shared" si="83"/>
        <v>41.9</v>
      </c>
      <c r="Q722" s="13">
        <v>20</v>
      </c>
      <c r="R722" s="16">
        <f t="shared" si="84"/>
        <v>0</v>
      </c>
      <c r="S722" s="14">
        <f t="shared" si="85"/>
        <v>0</v>
      </c>
      <c r="T722" s="13">
        <f t="shared" si="86"/>
        <v>42.5</v>
      </c>
      <c r="U722" s="14">
        <f t="shared" si="87"/>
        <v>0</v>
      </c>
      <c r="V722" s="14">
        <f t="shared" si="88"/>
        <v>10.299999999999999</v>
      </c>
      <c r="W722" s="1">
        <f t="shared" si="89"/>
        <v>28.000000000000004</v>
      </c>
      <c r="X722" s="1" t="str">
        <f>IF(Table1[[#This Row],[World Rank]]&lt;=250,"Q1-Elite",IF(Table1[[#This Row],[World Rank]]&lt;=500,"Q2-Strong",IF(Table1[[#This Row],[World Rank]]&lt;=750,"Q3-Developing","Q4-Emerging")))</f>
        <v>Q3-Developing</v>
      </c>
    </row>
    <row r="723" spans="1:24" x14ac:dyDescent="0.2">
      <c r="A723" s="1">
        <v>722</v>
      </c>
      <c r="B723" s="1" t="s">
        <v>789</v>
      </c>
      <c r="C723" s="1" t="s">
        <v>124</v>
      </c>
      <c r="D723" s="1" t="s">
        <v>1125</v>
      </c>
      <c r="E723" s="1">
        <v>68</v>
      </c>
      <c r="F723" s="1">
        <v>667</v>
      </c>
      <c r="G723" s="1">
        <v>1001</v>
      </c>
      <c r="H723" s="1">
        <v>304</v>
      </c>
      <c r="I723" s="1">
        <v>447</v>
      </c>
      <c r="J723" s="1">
        <v>570</v>
      </c>
      <c r="K723" s="1">
        <v>1001</v>
      </c>
      <c r="L723" s="1">
        <v>1001</v>
      </c>
      <c r="M723" s="1">
        <v>71.7</v>
      </c>
      <c r="N723" s="1">
        <v>30.047992000000001</v>
      </c>
      <c r="O723" s="1">
        <v>-94.335743300000004</v>
      </c>
      <c r="P723" s="14">
        <f t="shared" si="83"/>
        <v>43.1</v>
      </c>
      <c r="Q723" s="13">
        <v>20</v>
      </c>
      <c r="R723" s="16">
        <f t="shared" si="84"/>
        <v>0</v>
      </c>
      <c r="S723" s="14">
        <f t="shared" si="85"/>
        <v>0</v>
      </c>
      <c r="T723" s="13">
        <f t="shared" si="86"/>
        <v>55.400000000000006</v>
      </c>
      <c r="U723" s="14">
        <f t="shared" si="87"/>
        <v>0</v>
      </c>
      <c r="V723" s="14">
        <f t="shared" si="88"/>
        <v>0</v>
      </c>
      <c r="W723" s="1">
        <f t="shared" si="89"/>
        <v>27.900000000000002</v>
      </c>
      <c r="X723" s="1" t="str">
        <f>IF(Table1[[#This Row],[World Rank]]&lt;=250,"Q1-Elite",IF(Table1[[#This Row],[World Rank]]&lt;=500,"Q2-Strong",IF(Table1[[#This Row],[World Rank]]&lt;=750,"Q3-Developing","Q4-Emerging")))</f>
        <v>Q3-Developing</v>
      </c>
    </row>
    <row r="724" spans="1:24" x14ac:dyDescent="0.2">
      <c r="A724" s="1">
        <v>723</v>
      </c>
      <c r="B724" s="1" t="s">
        <v>790</v>
      </c>
      <c r="C724" s="1" t="s">
        <v>28</v>
      </c>
      <c r="D724" s="1" t="s">
        <v>1125</v>
      </c>
      <c r="E724" s="1">
        <v>30</v>
      </c>
      <c r="F724" s="1">
        <v>429</v>
      </c>
      <c r="G724" s="1">
        <v>1001</v>
      </c>
      <c r="H724" s="1">
        <v>304</v>
      </c>
      <c r="I724" s="1">
        <v>597</v>
      </c>
      <c r="J724" s="1">
        <v>620</v>
      </c>
      <c r="K724" s="1">
        <v>636</v>
      </c>
      <c r="L724" s="1">
        <v>1001</v>
      </c>
      <c r="M724" s="1">
        <v>71.7</v>
      </c>
      <c r="N724" s="1">
        <v>36.5748441</v>
      </c>
      <c r="O724" s="1">
        <v>139.23941790000001</v>
      </c>
      <c r="P724" s="14">
        <f t="shared" si="83"/>
        <v>38.1</v>
      </c>
      <c r="Q724" s="13">
        <f>((667 - F724) / 666) * 100</f>
        <v>35.735735735735737</v>
      </c>
      <c r="R724" s="16">
        <f t="shared" si="84"/>
        <v>0</v>
      </c>
      <c r="S724" s="14">
        <f t="shared" si="85"/>
        <v>0</v>
      </c>
      <c r="T724" s="13">
        <f t="shared" si="86"/>
        <v>40.400000000000006</v>
      </c>
      <c r="U724" s="14">
        <f t="shared" si="87"/>
        <v>36.5</v>
      </c>
      <c r="V724" s="14">
        <f t="shared" si="88"/>
        <v>0</v>
      </c>
      <c r="W724" s="1">
        <f t="shared" si="89"/>
        <v>27.800000000000004</v>
      </c>
      <c r="X724" s="1" t="str">
        <f>IF(Table1[[#This Row],[World Rank]]&lt;=250,"Q1-Elite",IF(Table1[[#This Row],[World Rank]]&lt;=500,"Q2-Strong",IF(Table1[[#This Row],[World Rank]]&lt;=750,"Q3-Developing","Q4-Emerging")))</f>
        <v>Q3-Developing</v>
      </c>
    </row>
    <row r="725" spans="1:24" x14ac:dyDescent="0.2">
      <c r="A725" s="1">
        <v>724</v>
      </c>
      <c r="B725" s="1" t="s">
        <v>791</v>
      </c>
      <c r="C725" s="1" t="s">
        <v>124</v>
      </c>
      <c r="D725" s="1" t="s">
        <v>1125</v>
      </c>
      <c r="E725" s="1">
        <v>69</v>
      </c>
      <c r="F725" s="1">
        <v>667</v>
      </c>
      <c r="G725" s="1">
        <v>1001</v>
      </c>
      <c r="H725" s="1">
        <v>304</v>
      </c>
      <c r="I725" s="1">
        <v>458</v>
      </c>
      <c r="J725" s="1">
        <v>604</v>
      </c>
      <c r="K725" s="1">
        <v>1001</v>
      </c>
      <c r="L725" s="1">
        <v>1001</v>
      </c>
      <c r="M725" s="1">
        <v>71.7</v>
      </c>
      <c r="N725" s="1">
        <v>30.047992000000001</v>
      </c>
      <c r="O725" s="1">
        <v>-94.335743300000004</v>
      </c>
      <c r="P725" s="14">
        <f t="shared" si="83"/>
        <v>39.700000000000003</v>
      </c>
      <c r="Q725" s="13">
        <v>20</v>
      </c>
      <c r="R725" s="16">
        <f t="shared" si="84"/>
        <v>0</v>
      </c>
      <c r="S725" s="14">
        <f t="shared" si="85"/>
        <v>0</v>
      </c>
      <c r="T725" s="13">
        <f t="shared" si="86"/>
        <v>54.300000000000004</v>
      </c>
      <c r="U725" s="14">
        <f t="shared" si="87"/>
        <v>0</v>
      </c>
      <c r="V725" s="14">
        <f t="shared" si="88"/>
        <v>0</v>
      </c>
      <c r="W725" s="1">
        <f t="shared" si="89"/>
        <v>27.700000000000003</v>
      </c>
      <c r="X725" s="1" t="str">
        <f>IF(Table1[[#This Row],[World Rank]]&lt;=250,"Q1-Elite",IF(Table1[[#This Row],[World Rank]]&lt;=500,"Q2-Strong",IF(Table1[[#This Row],[World Rank]]&lt;=750,"Q3-Developing","Q4-Emerging")))</f>
        <v>Q3-Developing</v>
      </c>
    </row>
    <row r="726" spans="1:24" x14ac:dyDescent="0.2">
      <c r="A726" s="1">
        <v>725</v>
      </c>
      <c r="B726" s="1" t="s">
        <v>792</v>
      </c>
      <c r="C726" s="1" t="s">
        <v>793</v>
      </c>
      <c r="D726" s="1" t="s">
        <v>1123</v>
      </c>
      <c r="E726" s="1">
        <v>1</v>
      </c>
      <c r="F726" s="1">
        <v>667</v>
      </c>
      <c r="G726" s="1">
        <v>1001</v>
      </c>
      <c r="H726" s="1">
        <v>304</v>
      </c>
      <c r="I726" s="1">
        <v>808</v>
      </c>
      <c r="J726" s="1">
        <v>836</v>
      </c>
      <c r="K726" s="1">
        <v>615</v>
      </c>
      <c r="L726" s="1">
        <v>460</v>
      </c>
      <c r="M726" s="1">
        <v>71.7</v>
      </c>
      <c r="N726" s="1">
        <v>-32.875554800000003</v>
      </c>
      <c r="O726" s="1">
        <v>-56.020152500000002</v>
      </c>
      <c r="P726" s="14">
        <f t="shared" si="83"/>
        <v>16.5</v>
      </c>
      <c r="Q726" s="13">
        <v>20</v>
      </c>
      <c r="R726" s="16">
        <f t="shared" si="84"/>
        <v>0</v>
      </c>
      <c r="S726" s="14">
        <f t="shared" si="85"/>
        <v>0</v>
      </c>
      <c r="T726" s="13">
        <f t="shared" si="86"/>
        <v>19.3</v>
      </c>
      <c r="U726" s="14">
        <f t="shared" si="87"/>
        <v>38.6</v>
      </c>
      <c r="V726" s="14">
        <f t="shared" si="88"/>
        <v>54.1</v>
      </c>
      <c r="W726" s="1">
        <f t="shared" si="89"/>
        <v>27.6</v>
      </c>
      <c r="X726" s="1" t="str">
        <f>IF(Table1[[#This Row],[World Rank]]&lt;=250,"Q1-Elite",IF(Table1[[#This Row],[World Rank]]&lt;=500,"Q2-Strong",IF(Table1[[#This Row],[World Rank]]&lt;=750,"Q3-Developing","Q4-Emerging")))</f>
        <v>Q3-Developing</v>
      </c>
    </row>
    <row r="727" spans="1:24" x14ac:dyDescent="0.2">
      <c r="A727" s="1">
        <v>726</v>
      </c>
      <c r="B727" s="1" t="s">
        <v>794</v>
      </c>
      <c r="C727" s="1" t="s">
        <v>478</v>
      </c>
      <c r="D727" s="1" t="s">
        <v>1125</v>
      </c>
      <c r="E727" s="1">
        <v>7</v>
      </c>
      <c r="F727" s="1">
        <v>293</v>
      </c>
      <c r="G727" s="1">
        <v>146</v>
      </c>
      <c r="H727" s="1">
        <v>304</v>
      </c>
      <c r="I727" s="1">
        <v>569</v>
      </c>
      <c r="J727" s="1">
        <v>724</v>
      </c>
      <c r="K727" s="1">
        <v>839</v>
      </c>
      <c r="L727" s="1">
        <v>1001</v>
      </c>
      <c r="M727" s="1">
        <v>71.7</v>
      </c>
      <c r="N727" s="1">
        <v>22.351114800000001</v>
      </c>
      <c r="O727" s="1">
        <v>78.667742799999999</v>
      </c>
      <c r="P727" s="14">
        <f t="shared" si="83"/>
        <v>27.700000000000003</v>
      </c>
      <c r="Q727" s="13">
        <f>((667 - F727) / 666) * 100</f>
        <v>56.156156156156158</v>
      </c>
      <c r="R727" s="16">
        <f t="shared" si="84"/>
        <v>85.5</v>
      </c>
      <c r="S727" s="14">
        <f t="shared" si="85"/>
        <v>0</v>
      </c>
      <c r="T727" s="13">
        <f t="shared" si="86"/>
        <v>43.2</v>
      </c>
      <c r="U727" s="14">
        <f t="shared" si="87"/>
        <v>16.2</v>
      </c>
      <c r="V727" s="14">
        <f t="shared" si="88"/>
        <v>0</v>
      </c>
      <c r="W727" s="1">
        <f t="shared" si="89"/>
        <v>27.500000000000004</v>
      </c>
      <c r="X727" s="1" t="str">
        <f>IF(Table1[[#This Row],[World Rank]]&lt;=250,"Q1-Elite",IF(Table1[[#This Row],[World Rank]]&lt;=500,"Q2-Strong",IF(Table1[[#This Row],[World Rank]]&lt;=750,"Q3-Developing","Q4-Emerging")))</f>
        <v>Q3-Developing</v>
      </c>
    </row>
    <row r="728" spans="1:24" x14ac:dyDescent="0.2">
      <c r="A728" s="1">
        <v>727</v>
      </c>
      <c r="B728" s="1" t="s">
        <v>795</v>
      </c>
      <c r="C728" s="1" t="s">
        <v>15</v>
      </c>
      <c r="D728" s="1" t="s">
        <v>1120</v>
      </c>
      <c r="E728" s="1">
        <v>175</v>
      </c>
      <c r="F728" s="1">
        <v>667</v>
      </c>
      <c r="G728" s="1">
        <v>561</v>
      </c>
      <c r="H728" s="1">
        <v>304</v>
      </c>
      <c r="I728" s="1">
        <v>950</v>
      </c>
      <c r="J728" s="1">
        <v>795</v>
      </c>
      <c r="K728" s="1">
        <v>840</v>
      </c>
      <c r="L728" s="1">
        <v>327</v>
      </c>
      <c r="M728" s="1">
        <v>71.7</v>
      </c>
      <c r="N728" s="1">
        <v>39.783730400000003</v>
      </c>
      <c r="O728" s="1">
        <v>-100.445882</v>
      </c>
      <c r="P728" s="14">
        <f t="shared" si="83"/>
        <v>20.599999999999998</v>
      </c>
      <c r="Q728" s="13">
        <v>20</v>
      </c>
      <c r="R728" s="16">
        <f t="shared" si="84"/>
        <v>44</v>
      </c>
      <c r="S728" s="14">
        <f t="shared" si="85"/>
        <v>0</v>
      </c>
      <c r="T728" s="13">
        <f t="shared" si="86"/>
        <v>5.0999999999999996</v>
      </c>
      <c r="U728" s="14">
        <f t="shared" si="87"/>
        <v>16.100000000000001</v>
      </c>
      <c r="V728" s="14">
        <f t="shared" si="88"/>
        <v>67.400000000000006</v>
      </c>
      <c r="W728" s="1">
        <f t="shared" si="89"/>
        <v>27.400000000000002</v>
      </c>
      <c r="X728" s="1" t="str">
        <f>IF(Table1[[#This Row],[World Rank]]&lt;=250,"Q1-Elite",IF(Table1[[#This Row],[World Rank]]&lt;=500,"Q2-Strong",IF(Table1[[#This Row],[World Rank]]&lt;=750,"Q3-Developing","Q4-Emerging")))</f>
        <v>Q3-Developing</v>
      </c>
    </row>
    <row r="729" spans="1:24" x14ac:dyDescent="0.2">
      <c r="A729" s="1">
        <v>728</v>
      </c>
      <c r="B729" s="1" t="s">
        <v>796</v>
      </c>
      <c r="C729" s="1" t="s">
        <v>48</v>
      </c>
      <c r="D729" s="1" t="s">
        <v>1124</v>
      </c>
      <c r="E729" s="1">
        <v>39</v>
      </c>
      <c r="F729" s="1">
        <v>667</v>
      </c>
      <c r="G729" s="1">
        <v>1001</v>
      </c>
      <c r="H729" s="1">
        <v>304</v>
      </c>
      <c r="I729" s="1">
        <v>799</v>
      </c>
      <c r="J729" s="1">
        <v>696</v>
      </c>
      <c r="K729" s="1">
        <v>595</v>
      </c>
      <c r="L729" s="1">
        <v>673</v>
      </c>
      <c r="M729" s="1">
        <v>71.7</v>
      </c>
      <c r="N729" s="1">
        <v>46.603354000000003</v>
      </c>
      <c r="O729" s="1">
        <v>1.8883335000000001</v>
      </c>
      <c r="P729" s="14">
        <f t="shared" si="83"/>
        <v>30.5</v>
      </c>
      <c r="Q729" s="13">
        <v>20</v>
      </c>
      <c r="R729" s="16">
        <f t="shared" si="84"/>
        <v>0</v>
      </c>
      <c r="S729" s="14">
        <f t="shared" si="85"/>
        <v>0</v>
      </c>
      <c r="T729" s="13">
        <f t="shared" si="86"/>
        <v>20.200000000000003</v>
      </c>
      <c r="U729" s="14">
        <f t="shared" si="87"/>
        <v>40.6</v>
      </c>
      <c r="V729" s="14">
        <f t="shared" si="88"/>
        <v>32.800000000000004</v>
      </c>
      <c r="W729" s="1">
        <f t="shared" si="89"/>
        <v>27.3</v>
      </c>
      <c r="X729" s="1" t="str">
        <f>IF(Table1[[#This Row],[World Rank]]&lt;=250,"Q1-Elite",IF(Table1[[#This Row],[World Rank]]&lt;=500,"Q2-Strong",IF(Table1[[#This Row],[World Rank]]&lt;=750,"Q3-Developing","Q4-Emerging")))</f>
        <v>Q3-Developing</v>
      </c>
    </row>
    <row r="730" spans="1:24" x14ac:dyDescent="0.2">
      <c r="A730" s="1">
        <v>729</v>
      </c>
      <c r="B730" s="1" t="s">
        <v>797</v>
      </c>
      <c r="C730" s="1" t="s">
        <v>15</v>
      </c>
      <c r="D730" s="1" t="s">
        <v>1120</v>
      </c>
      <c r="E730" s="1">
        <v>176</v>
      </c>
      <c r="F730" s="1">
        <v>567</v>
      </c>
      <c r="G730" s="1">
        <v>624</v>
      </c>
      <c r="H730" s="1">
        <v>304</v>
      </c>
      <c r="I730" s="1">
        <v>840</v>
      </c>
      <c r="J730" s="1">
        <v>681</v>
      </c>
      <c r="K730" s="1">
        <v>459</v>
      </c>
      <c r="L730" s="1">
        <v>898</v>
      </c>
      <c r="M730" s="1">
        <v>71.599999999999994</v>
      </c>
      <c r="N730" s="1">
        <v>39.783730400000003</v>
      </c>
      <c r="O730" s="1">
        <v>-100.445882</v>
      </c>
      <c r="P730" s="14">
        <f t="shared" si="83"/>
        <v>32</v>
      </c>
      <c r="Q730" s="13">
        <v>20</v>
      </c>
      <c r="R730" s="16">
        <f t="shared" si="84"/>
        <v>37.700000000000003</v>
      </c>
      <c r="S730" s="14">
        <f t="shared" si="85"/>
        <v>0</v>
      </c>
      <c r="T730" s="13">
        <f t="shared" si="86"/>
        <v>16.100000000000001</v>
      </c>
      <c r="U730" s="14">
        <f t="shared" si="87"/>
        <v>54.2</v>
      </c>
      <c r="V730" s="14">
        <f t="shared" si="88"/>
        <v>10.299999999999999</v>
      </c>
      <c r="W730" s="1">
        <f t="shared" si="89"/>
        <v>27.200000000000003</v>
      </c>
      <c r="X730" s="1" t="str">
        <f>IF(Table1[[#This Row],[World Rank]]&lt;=250,"Q1-Elite",IF(Table1[[#This Row],[World Rank]]&lt;=500,"Q2-Strong",IF(Table1[[#This Row],[World Rank]]&lt;=750,"Q3-Developing","Q4-Emerging")))</f>
        <v>Q3-Developing</v>
      </c>
    </row>
    <row r="731" spans="1:24" x14ac:dyDescent="0.2">
      <c r="A731" s="1">
        <v>730</v>
      </c>
      <c r="B731" s="1" t="s">
        <v>798</v>
      </c>
      <c r="C731" s="1" t="s">
        <v>72</v>
      </c>
      <c r="D731" s="1" t="s">
        <v>1124</v>
      </c>
      <c r="E731" s="1">
        <v>12</v>
      </c>
      <c r="F731" s="1">
        <v>667</v>
      </c>
      <c r="G731" s="1">
        <v>882</v>
      </c>
      <c r="H731" s="1">
        <v>304</v>
      </c>
      <c r="I731" s="1">
        <v>961</v>
      </c>
      <c r="J731" s="1">
        <v>827</v>
      </c>
      <c r="K731" s="1">
        <v>623</v>
      </c>
      <c r="L731" s="1">
        <v>363</v>
      </c>
      <c r="M731" s="1">
        <v>71.599999999999994</v>
      </c>
      <c r="N731" s="1">
        <v>44.133434999999999</v>
      </c>
      <c r="O731" s="1">
        <v>-70.822677999999996</v>
      </c>
      <c r="P731" s="14">
        <f t="shared" si="83"/>
        <v>17.399999999999999</v>
      </c>
      <c r="Q731" s="13">
        <v>20</v>
      </c>
      <c r="R731" s="16">
        <f t="shared" si="84"/>
        <v>11.899999999999999</v>
      </c>
      <c r="S731" s="14">
        <f t="shared" si="85"/>
        <v>0</v>
      </c>
      <c r="T731" s="13">
        <f t="shared" si="86"/>
        <v>4</v>
      </c>
      <c r="U731" s="14">
        <f t="shared" si="87"/>
        <v>37.799999999999997</v>
      </c>
      <c r="V731" s="14">
        <f t="shared" si="88"/>
        <v>63.800000000000004</v>
      </c>
      <c r="W731" s="1">
        <f t="shared" si="89"/>
        <v>27.1</v>
      </c>
      <c r="X731" s="1" t="str">
        <f>IF(Table1[[#This Row],[World Rank]]&lt;=250,"Q1-Elite",IF(Table1[[#This Row],[World Rank]]&lt;=500,"Q2-Strong",IF(Table1[[#This Row],[World Rank]]&lt;=750,"Q3-Developing","Q4-Emerging")))</f>
        <v>Q3-Developing</v>
      </c>
    </row>
    <row r="732" spans="1:24" x14ac:dyDescent="0.2">
      <c r="A732" s="1">
        <v>731</v>
      </c>
      <c r="B732" s="1" t="s">
        <v>799</v>
      </c>
      <c r="C732" s="1" t="s">
        <v>118</v>
      </c>
      <c r="D732" s="1" t="s">
        <v>1124</v>
      </c>
      <c r="E732" s="1">
        <v>26</v>
      </c>
      <c r="F732" s="1">
        <v>667</v>
      </c>
      <c r="G732" s="1">
        <v>1001</v>
      </c>
      <c r="H732" s="1">
        <v>304</v>
      </c>
      <c r="I732" s="1">
        <v>617</v>
      </c>
      <c r="J732" s="1">
        <v>591</v>
      </c>
      <c r="K732" s="1">
        <v>1001</v>
      </c>
      <c r="L732" s="1">
        <v>898</v>
      </c>
      <c r="M732" s="1">
        <v>71.599999999999994</v>
      </c>
      <c r="N732" s="1">
        <v>39.326068499999998</v>
      </c>
      <c r="O732" s="1">
        <v>-4.8379791000000001</v>
      </c>
      <c r="P732" s="14">
        <f t="shared" si="83"/>
        <v>41</v>
      </c>
      <c r="Q732" s="13">
        <v>20</v>
      </c>
      <c r="R732" s="16">
        <f t="shared" si="84"/>
        <v>0</v>
      </c>
      <c r="S732" s="14">
        <f t="shared" si="85"/>
        <v>0</v>
      </c>
      <c r="T732" s="13">
        <f t="shared" si="86"/>
        <v>38.4</v>
      </c>
      <c r="U732" s="14">
        <f t="shared" si="87"/>
        <v>0</v>
      </c>
      <c r="V732" s="14">
        <f t="shared" si="88"/>
        <v>10.299999999999999</v>
      </c>
      <c r="W732" s="1">
        <f t="shared" si="89"/>
        <v>27</v>
      </c>
      <c r="X732" s="1" t="str">
        <f>IF(Table1[[#This Row],[World Rank]]&lt;=250,"Q1-Elite",IF(Table1[[#This Row],[World Rank]]&lt;=500,"Q2-Strong",IF(Table1[[#This Row],[World Rank]]&lt;=750,"Q3-Developing","Q4-Emerging")))</f>
        <v>Q3-Developing</v>
      </c>
    </row>
    <row r="733" spans="1:24" x14ac:dyDescent="0.2">
      <c r="A733" s="1">
        <v>732</v>
      </c>
      <c r="B733" s="1" t="s">
        <v>800</v>
      </c>
      <c r="C733" s="1" t="s">
        <v>478</v>
      </c>
      <c r="D733" s="1" t="s">
        <v>1125</v>
      </c>
      <c r="E733" s="1">
        <v>8</v>
      </c>
      <c r="F733" s="1">
        <v>667</v>
      </c>
      <c r="G733" s="1">
        <v>1001</v>
      </c>
      <c r="H733" s="1">
        <v>304</v>
      </c>
      <c r="I733" s="1">
        <v>720</v>
      </c>
      <c r="J733" s="1">
        <v>934</v>
      </c>
      <c r="K733" s="1">
        <v>542</v>
      </c>
      <c r="L733" s="1">
        <v>541</v>
      </c>
      <c r="M733" s="1">
        <v>71.599999999999994</v>
      </c>
      <c r="N733" s="1">
        <v>22.351114800000001</v>
      </c>
      <c r="O733" s="1">
        <v>78.667742799999999</v>
      </c>
      <c r="P733" s="14">
        <f t="shared" si="83"/>
        <v>6.7</v>
      </c>
      <c r="Q733" s="13">
        <v>20</v>
      </c>
      <c r="R733" s="16">
        <f t="shared" si="84"/>
        <v>0</v>
      </c>
      <c r="S733" s="14">
        <f t="shared" si="85"/>
        <v>0</v>
      </c>
      <c r="T733" s="13">
        <f t="shared" si="86"/>
        <v>28.1</v>
      </c>
      <c r="U733" s="14">
        <f t="shared" si="87"/>
        <v>45.9</v>
      </c>
      <c r="V733" s="14">
        <f t="shared" si="88"/>
        <v>46</v>
      </c>
      <c r="W733" s="1">
        <f t="shared" si="89"/>
        <v>26.900000000000002</v>
      </c>
      <c r="X733" s="1" t="str">
        <f>IF(Table1[[#This Row],[World Rank]]&lt;=250,"Q1-Elite",IF(Table1[[#This Row],[World Rank]]&lt;=500,"Q2-Strong",IF(Table1[[#This Row],[World Rank]]&lt;=750,"Q3-Developing","Q4-Emerging")))</f>
        <v>Q3-Developing</v>
      </c>
    </row>
    <row r="734" spans="1:24" x14ac:dyDescent="0.2">
      <c r="A734" s="1">
        <v>733</v>
      </c>
      <c r="B734" s="1" t="s">
        <v>801</v>
      </c>
      <c r="C734" s="1" t="s">
        <v>164</v>
      </c>
      <c r="D734" s="1" t="s">
        <v>1124</v>
      </c>
      <c r="E734" s="1">
        <v>5</v>
      </c>
      <c r="F734" s="1">
        <v>598</v>
      </c>
      <c r="G734" s="1">
        <v>1001</v>
      </c>
      <c r="H734" s="1">
        <v>304</v>
      </c>
      <c r="I734" s="1">
        <v>771</v>
      </c>
      <c r="J734" s="1">
        <v>881</v>
      </c>
      <c r="K734" s="1">
        <v>656</v>
      </c>
      <c r="L734" s="1">
        <v>460</v>
      </c>
      <c r="M734" s="1">
        <v>71.599999999999994</v>
      </c>
      <c r="N734" s="1">
        <v>40.2338211</v>
      </c>
      <c r="O734" s="1">
        <v>-84.409672900000004</v>
      </c>
      <c r="P734" s="14">
        <f t="shared" si="83"/>
        <v>12</v>
      </c>
      <c r="Q734" s="13">
        <v>20</v>
      </c>
      <c r="R734" s="16">
        <f t="shared" si="84"/>
        <v>0</v>
      </c>
      <c r="S734" s="14">
        <f t="shared" si="85"/>
        <v>0</v>
      </c>
      <c r="T734" s="13">
        <f t="shared" si="86"/>
        <v>23</v>
      </c>
      <c r="U734" s="14">
        <f t="shared" si="87"/>
        <v>34.5</v>
      </c>
      <c r="V734" s="14">
        <f t="shared" si="88"/>
        <v>54.1</v>
      </c>
      <c r="W734" s="1">
        <f t="shared" si="89"/>
        <v>26.8</v>
      </c>
      <c r="X734" s="1" t="str">
        <f>IF(Table1[[#This Row],[World Rank]]&lt;=250,"Q1-Elite",IF(Table1[[#This Row],[World Rank]]&lt;=500,"Q2-Strong",IF(Table1[[#This Row],[World Rank]]&lt;=750,"Q3-Developing","Q4-Emerging")))</f>
        <v>Q3-Developing</v>
      </c>
    </row>
    <row r="735" spans="1:24" x14ac:dyDescent="0.2">
      <c r="A735" s="1">
        <v>734</v>
      </c>
      <c r="B735" s="1" t="s">
        <v>802</v>
      </c>
      <c r="C735" s="1" t="s">
        <v>93</v>
      </c>
      <c r="D735" s="1" t="s">
        <v>1124</v>
      </c>
      <c r="E735" s="1">
        <v>38</v>
      </c>
      <c r="F735" s="1">
        <v>667</v>
      </c>
      <c r="G735" s="1">
        <v>1001</v>
      </c>
      <c r="H735" s="1">
        <v>304</v>
      </c>
      <c r="I735" s="1">
        <v>805</v>
      </c>
      <c r="J735" s="1">
        <v>753</v>
      </c>
      <c r="K735" s="1">
        <v>832</v>
      </c>
      <c r="L735" s="1">
        <v>460</v>
      </c>
      <c r="M735" s="1">
        <v>71.599999999999994</v>
      </c>
      <c r="N735" s="1">
        <v>42.638426099999997</v>
      </c>
      <c r="O735" s="1">
        <v>12.674296999999999</v>
      </c>
      <c r="P735" s="14">
        <f t="shared" si="83"/>
        <v>24.8</v>
      </c>
      <c r="Q735" s="13">
        <v>20</v>
      </c>
      <c r="R735" s="16">
        <f t="shared" si="84"/>
        <v>0</v>
      </c>
      <c r="S735" s="14">
        <f t="shared" si="85"/>
        <v>0</v>
      </c>
      <c r="T735" s="13">
        <f t="shared" si="86"/>
        <v>19.600000000000001</v>
      </c>
      <c r="U735" s="14">
        <f t="shared" si="87"/>
        <v>16.900000000000002</v>
      </c>
      <c r="V735" s="14">
        <f t="shared" si="88"/>
        <v>54.1</v>
      </c>
      <c r="W735" s="1">
        <f t="shared" si="89"/>
        <v>26.700000000000003</v>
      </c>
      <c r="X735" s="1" t="str">
        <f>IF(Table1[[#This Row],[World Rank]]&lt;=250,"Q1-Elite",IF(Table1[[#This Row],[World Rank]]&lt;=500,"Q2-Strong",IF(Table1[[#This Row],[World Rank]]&lt;=750,"Q3-Developing","Q4-Emerging")))</f>
        <v>Q3-Developing</v>
      </c>
    </row>
    <row r="736" spans="1:24" x14ac:dyDescent="0.2">
      <c r="A736" s="1">
        <v>735</v>
      </c>
      <c r="B736" s="1" t="s">
        <v>803</v>
      </c>
      <c r="C736" s="1" t="s">
        <v>124</v>
      </c>
      <c r="D736" s="1" t="s">
        <v>1125</v>
      </c>
      <c r="E736" s="1">
        <v>70</v>
      </c>
      <c r="F736" s="1">
        <v>667</v>
      </c>
      <c r="G736" s="1">
        <v>976</v>
      </c>
      <c r="H736" s="1">
        <v>304</v>
      </c>
      <c r="I736" s="1">
        <v>595</v>
      </c>
      <c r="J736" s="1">
        <v>604</v>
      </c>
      <c r="K736" s="1">
        <v>1001</v>
      </c>
      <c r="L736" s="1">
        <v>898</v>
      </c>
      <c r="M736" s="1">
        <v>71.599999999999994</v>
      </c>
      <c r="N736" s="1">
        <v>30.047992000000001</v>
      </c>
      <c r="O736" s="1">
        <v>-94.335743300000004</v>
      </c>
      <c r="P736" s="14">
        <f t="shared" si="83"/>
        <v>39.700000000000003</v>
      </c>
      <c r="Q736" s="13">
        <v>20</v>
      </c>
      <c r="R736" s="16">
        <f t="shared" si="84"/>
        <v>2.5</v>
      </c>
      <c r="S736" s="14">
        <f t="shared" si="85"/>
        <v>0</v>
      </c>
      <c r="T736" s="13">
        <f t="shared" si="86"/>
        <v>40.6</v>
      </c>
      <c r="U736" s="14">
        <f t="shared" si="87"/>
        <v>0</v>
      </c>
      <c r="V736" s="14">
        <f t="shared" si="88"/>
        <v>10.299999999999999</v>
      </c>
      <c r="W736" s="1">
        <f t="shared" si="89"/>
        <v>26.6</v>
      </c>
      <c r="X736" s="1" t="str">
        <f>IF(Table1[[#This Row],[World Rank]]&lt;=250,"Q1-Elite",IF(Table1[[#This Row],[World Rank]]&lt;=500,"Q2-Strong",IF(Table1[[#This Row],[World Rank]]&lt;=750,"Q3-Developing","Q4-Emerging")))</f>
        <v>Q3-Developing</v>
      </c>
    </row>
    <row r="737" spans="1:24" x14ac:dyDescent="0.2">
      <c r="A737" s="1">
        <v>736</v>
      </c>
      <c r="B737" s="1" t="s">
        <v>804</v>
      </c>
      <c r="C737" s="1" t="s">
        <v>48</v>
      </c>
      <c r="D737" s="1" t="s">
        <v>1124</v>
      </c>
      <c r="E737" s="1">
        <v>40</v>
      </c>
      <c r="F737" s="1">
        <v>36</v>
      </c>
      <c r="G737" s="1">
        <v>1001</v>
      </c>
      <c r="H737" s="1">
        <v>304</v>
      </c>
      <c r="I737" s="1">
        <v>1001</v>
      </c>
      <c r="J737" s="1">
        <v>936</v>
      </c>
      <c r="K737" s="1">
        <v>594</v>
      </c>
      <c r="L737" s="1">
        <v>363</v>
      </c>
      <c r="M737" s="1">
        <v>71.599999999999994</v>
      </c>
      <c r="N737" s="1">
        <v>46.603354000000003</v>
      </c>
      <c r="O737" s="1">
        <v>1.8883335000000001</v>
      </c>
      <c r="P737" s="14">
        <f t="shared" si="83"/>
        <v>6.5</v>
      </c>
      <c r="Q737" s="13">
        <f>((667 - F737) / 666) * 100</f>
        <v>94.74474474474475</v>
      </c>
      <c r="R737" s="16">
        <f t="shared" si="84"/>
        <v>0</v>
      </c>
      <c r="S737" s="14">
        <f t="shared" si="85"/>
        <v>0</v>
      </c>
      <c r="T737" s="13">
        <f t="shared" si="86"/>
        <v>0</v>
      </c>
      <c r="U737" s="14">
        <f t="shared" si="87"/>
        <v>40.699999999999996</v>
      </c>
      <c r="V737" s="14">
        <f t="shared" si="88"/>
        <v>63.800000000000004</v>
      </c>
      <c r="W737" s="1">
        <f t="shared" si="89"/>
        <v>26.5</v>
      </c>
      <c r="X737" s="1" t="str">
        <f>IF(Table1[[#This Row],[World Rank]]&lt;=250,"Q1-Elite",IF(Table1[[#This Row],[World Rank]]&lt;=500,"Q2-Strong",IF(Table1[[#This Row],[World Rank]]&lt;=750,"Q3-Developing","Q4-Emerging")))</f>
        <v>Q3-Developing</v>
      </c>
    </row>
    <row r="738" spans="1:24" x14ac:dyDescent="0.2">
      <c r="A738" s="1">
        <v>737</v>
      </c>
      <c r="B738" s="1" t="s">
        <v>805</v>
      </c>
      <c r="C738" s="1" t="s">
        <v>107</v>
      </c>
      <c r="D738" s="1" t="s">
        <v>1123</v>
      </c>
      <c r="E738" s="1">
        <v>11</v>
      </c>
      <c r="F738" s="1">
        <v>667</v>
      </c>
      <c r="G738" s="1">
        <v>921</v>
      </c>
      <c r="H738" s="1">
        <v>304</v>
      </c>
      <c r="I738" s="1">
        <v>561</v>
      </c>
      <c r="J738" s="1">
        <v>799</v>
      </c>
      <c r="K738" s="1">
        <v>680</v>
      </c>
      <c r="L738" s="1">
        <v>898</v>
      </c>
      <c r="M738" s="1">
        <v>71.599999999999994</v>
      </c>
      <c r="N738" s="1">
        <v>-10.3333333</v>
      </c>
      <c r="O738" s="1">
        <v>-53.2</v>
      </c>
      <c r="P738" s="14">
        <f t="shared" si="83"/>
        <v>20.200000000000003</v>
      </c>
      <c r="Q738" s="13">
        <v>20</v>
      </c>
      <c r="R738" s="16">
        <f t="shared" si="84"/>
        <v>8</v>
      </c>
      <c r="S738" s="14">
        <f t="shared" si="85"/>
        <v>0</v>
      </c>
      <c r="T738" s="13">
        <f t="shared" si="86"/>
        <v>44</v>
      </c>
      <c r="U738" s="14">
        <f t="shared" si="87"/>
        <v>32.1</v>
      </c>
      <c r="V738" s="14">
        <f t="shared" si="88"/>
        <v>10.299999999999999</v>
      </c>
      <c r="W738" s="1">
        <f t="shared" si="89"/>
        <v>26.400000000000002</v>
      </c>
      <c r="X738" s="1" t="str">
        <f>IF(Table1[[#This Row],[World Rank]]&lt;=250,"Q1-Elite",IF(Table1[[#This Row],[World Rank]]&lt;=500,"Q2-Strong",IF(Table1[[#This Row],[World Rank]]&lt;=750,"Q3-Developing","Q4-Emerging")))</f>
        <v>Q3-Developing</v>
      </c>
    </row>
    <row r="739" spans="1:24" x14ac:dyDescent="0.2">
      <c r="A739" s="1">
        <v>738</v>
      </c>
      <c r="B739" s="1" t="s">
        <v>806</v>
      </c>
      <c r="C739" s="1" t="s">
        <v>19</v>
      </c>
      <c r="D739" s="1" t="s">
        <v>1124</v>
      </c>
      <c r="E739" s="1">
        <v>50</v>
      </c>
      <c r="F739" s="1">
        <v>446</v>
      </c>
      <c r="G739" s="1">
        <v>824</v>
      </c>
      <c r="H739" s="1">
        <v>304</v>
      </c>
      <c r="I739" s="1">
        <v>866</v>
      </c>
      <c r="J739" s="1">
        <v>656</v>
      </c>
      <c r="K739" s="1">
        <v>613</v>
      </c>
      <c r="L739" s="1">
        <v>673</v>
      </c>
      <c r="M739" s="1">
        <v>71.599999999999994</v>
      </c>
      <c r="N739" s="1">
        <v>54.702354499999998</v>
      </c>
      <c r="O739" s="1">
        <v>-3.2765753000000002</v>
      </c>
      <c r="P739" s="14">
        <f t="shared" si="83"/>
        <v>34.5</v>
      </c>
      <c r="Q739" s="13">
        <f>((667 - F739) / 666) * 100</f>
        <v>33.183183183183182</v>
      </c>
      <c r="R739" s="16">
        <f t="shared" si="84"/>
        <v>17.7</v>
      </c>
      <c r="S739" s="14">
        <f t="shared" si="85"/>
        <v>0</v>
      </c>
      <c r="T739" s="13">
        <f t="shared" si="86"/>
        <v>13.5</v>
      </c>
      <c r="U739" s="14">
        <f t="shared" si="87"/>
        <v>38.800000000000004</v>
      </c>
      <c r="V739" s="14">
        <f t="shared" si="88"/>
        <v>32.800000000000004</v>
      </c>
      <c r="W739" s="1">
        <f t="shared" si="89"/>
        <v>26.3</v>
      </c>
      <c r="X739" s="1" t="str">
        <f>IF(Table1[[#This Row],[World Rank]]&lt;=250,"Q1-Elite",IF(Table1[[#This Row],[World Rank]]&lt;=500,"Q2-Strong",IF(Table1[[#This Row],[World Rank]]&lt;=750,"Q3-Developing","Q4-Emerging")))</f>
        <v>Q3-Developing</v>
      </c>
    </row>
    <row r="740" spans="1:24" x14ac:dyDescent="0.2">
      <c r="A740" s="1">
        <v>739</v>
      </c>
      <c r="B740" s="1" t="s">
        <v>807</v>
      </c>
      <c r="C740" s="1" t="s">
        <v>107</v>
      </c>
      <c r="D740" s="1" t="s">
        <v>1123</v>
      </c>
      <c r="E740" s="1">
        <v>12</v>
      </c>
      <c r="F740" s="1">
        <v>667</v>
      </c>
      <c r="G740" s="1">
        <v>1001</v>
      </c>
      <c r="H740" s="1">
        <v>304</v>
      </c>
      <c r="I740" s="1">
        <v>540</v>
      </c>
      <c r="J740" s="1">
        <v>930</v>
      </c>
      <c r="K740" s="1">
        <v>1001</v>
      </c>
      <c r="L740" s="1">
        <v>541</v>
      </c>
      <c r="M740" s="1">
        <v>71.599999999999994</v>
      </c>
      <c r="N740" s="1">
        <v>-10.3333333</v>
      </c>
      <c r="O740" s="1">
        <v>-53.2</v>
      </c>
      <c r="P740" s="14">
        <f t="shared" si="83"/>
        <v>7.1</v>
      </c>
      <c r="Q740" s="13">
        <v>20</v>
      </c>
      <c r="R740" s="16">
        <f t="shared" si="84"/>
        <v>0</v>
      </c>
      <c r="S740" s="14">
        <f t="shared" si="85"/>
        <v>0</v>
      </c>
      <c r="T740" s="13">
        <f t="shared" si="86"/>
        <v>46.1</v>
      </c>
      <c r="U740" s="14">
        <f t="shared" si="87"/>
        <v>0</v>
      </c>
      <c r="V740" s="14">
        <f t="shared" si="88"/>
        <v>46</v>
      </c>
      <c r="W740" s="1">
        <f t="shared" si="89"/>
        <v>26.200000000000003</v>
      </c>
      <c r="X740" s="1" t="str">
        <f>IF(Table1[[#This Row],[World Rank]]&lt;=250,"Q1-Elite",IF(Table1[[#This Row],[World Rank]]&lt;=500,"Q2-Strong",IF(Table1[[#This Row],[World Rank]]&lt;=750,"Q3-Developing","Q4-Emerging")))</f>
        <v>Q3-Developing</v>
      </c>
    </row>
    <row r="741" spans="1:24" x14ac:dyDescent="0.2">
      <c r="A741" s="1">
        <v>740</v>
      </c>
      <c r="B741" s="1" t="s">
        <v>808</v>
      </c>
      <c r="C741" s="1" t="s">
        <v>591</v>
      </c>
      <c r="D741" s="1" t="s">
        <v>1125</v>
      </c>
      <c r="E741" s="1">
        <v>8</v>
      </c>
      <c r="F741" s="1">
        <v>300</v>
      </c>
      <c r="G741" s="1">
        <v>681</v>
      </c>
      <c r="H741" s="1">
        <v>304</v>
      </c>
      <c r="I741" s="1">
        <v>898</v>
      </c>
      <c r="J741" s="1">
        <v>825</v>
      </c>
      <c r="K741" s="1">
        <v>866</v>
      </c>
      <c r="L741" s="1">
        <v>363</v>
      </c>
      <c r="M741" s="1">
        <v>71.599999999999994</v>
      </c>
      <c r="N741" s="1">
        <v>38.959759400000003</v>
      </c>
      <c r="O741" s="1">
        <v>34.924965299999997</v>
      </c>
      <c r="P741" s="14">
        <f t="shared" si="83"/>
        <v>17.599999999999998</v>
      </c>
      <c r="Q741" s="13">
        <f>((667 - F741) / 666) * 100</f>
        <v>55.105105105105103</v>
      </c>
      <c r="R741" s="16">
        <f t="shared" si="84"/>
        <v>32</v>
      </c>
      <c r="S741" s="14">
        <f t="shared" si="85"/>
        <v>0</v>
      </c>
      <c r="T741" s="13">
        <f t="shared" si="86"/>
        <v>10.299999999999999</v>
      </c>
      <c r="U741" s="14">
        <f t="shared" si="87"/>
        <v>13.5</v>
      </c>
      <c r="V741" s="14">
        <f t="shared" si="88"/>
        <v>63.800000000000004</v>
      </c>
      <c r="W741" s="1">
        <f t="shared" si="89"/>
        <v>26.1</v>
      </c>
      <c r="X741" s="1" t="str">
        <f>IF(Table1[[#This Row],[World Rank]]&lt;=250,"Q1-Elite",IF(Table1[[#This Row],[World Rank]]&lt;=500,"Q2-Strong",IF(Table1[[#This Row],[World Rank]]&lt;=750,"Q3-Developing","Q4-Emerging")))</f>
        <v>Q3-Developing</v>
      </c>
    </row>
    <row r="742" spans="1:24" x14ac:dyDescent="0.2">
      <c r="A742" s="1">
        <v>741</v>
      </c>
      <c r="B742" s="1" t="s">
        <v>809</v>
      </c>
      <c r="C742" s="1" t="s">
        <v>307</v>
      </c>
      <c r="D742" s="1" t="s">
        <v>1124</v>
      </c>
      <c r="E742" s="1">
        <v>5</v>
      </c>
      <c r="F742" s="1">
        <v>325</v>
      </c>
      <c r="G742" s="1">
        <v>1001</v>
      </c>
      <c r="H742" s="1">
        <v>304</v>
      </c>
      <c r="I742" s="1">
        <v>591</v>
      </c>
      <c r="J742" s="1">
        <v>683</v>
      </c>
      <c r="K742" s="1">
        <v>972</v>
      </c>
      <c r="L742" s="1">
        <v>898</v>
      </c>
      <c r="M742" s="1">
        <v>71.599999999999994</v>
      </c>
      <c r="N742" s="1">
        <v>52.215933</v>
      </c>
      <c r="O742" s="1">
        <v>19.134422000000001</v>
      </c>
      <c r="P742" s="14">
        <f t="shared" si="83"/>
        <v>31.8</v>
      </c>
      <c r="Q742" s="13">
        <f>((667 - F742) / 666) * 100</f>
        <v>51.351351351351347</v>
      </c>
      <c r="R742" s="16">
        <f t="shared" si="84"/>
        <v>0</v>
      </c>
      <c r="S742" s="14">
        <f t="shared" si="85"/>
        <v>0</v>
      </c>
      <c r="T742" s="13">
        <f t="shared" si="86"/>
        <v>41</v>
      </c>
      <c r="U742" s="14">
        <f t="shared" si="87"/>
        <v>2.9000000000000004</v>
      </c>
      <c r="V742" s="14">
        <f t="shared" si="88"/>
        <v>10.299999999999999</v>
      </c>
      <c r="W742" s="1">
        <f t="shared" si="89"/>
        <v>26</v>
      </c>
      <c r="X742" s="1" t="str">
        <f>IF(Table1[[#This Row],[World Rank]]&lt;=250,"Q1-Elite",IF(Table1[[#This Row],[World Rank]]&lt;=500,"Q2-Strong",IF(Table1[[#This Row],[World Rank]]&lt;=750,"Q3-Developing","Q4-Emerging")))</f>
        <v>Q3-Developing</v>
      </c>
    </row>
    <row r="743" spans="1:24" x14ac:dyDescent="0.2">
      <c r="A743" s="1">
        <v>742</v>
      </c>
      <c r="B743" s="1" t="s">
        <v>810</v>
      </c>
      <c r="C743" s="1" t="s">
        <v>510</v>
      </c>
      <c r="D743" s="1" t="s">
        <v>1125</v>
      </c>
      <c r="E743" s="1">
        <v>3</v>
      </c>
      <c r="F743" s="1">
        <v>667</v>
      </c>
      <c r="G743" s="1">
        <v>1001</v>
      </c>
      <c r="H743" s="1">
        <v>304</v>
      </c>
      <c r="I743" s="1">
        <v>406</v>
      </c>
      <c r="J743" s="1">
        <v>705</v>
      </c>
      <c r="K743" s="1">
        <v>1001</v>
      </c>
      <c r="L743" s="1">
        <v>1001</v>
      </c>
      <c r="M743" s="1">
        <v>71.5</v>
      </c>
      <c r="N743" s="1">
        <v>4.5693754000000002</v>
      </c>
      <c r="O743" s="1">
        <v>102.26568229999999</v>
      </c>
      <c r="P743" s="14">
        <f t="shared" si="83"/>
        <v>29.599999999999998</v>
      </c>
      <c r="Q743" s="13">
        <v>20</v>
      </c>
      <c r="R743" s="16">
        <f t="shared" si="84"/>
        <v>0</v>
      </c>
      <c r="S743" s="14">
        <f t="shared" si="85"/>
        <v>0</v>
      </c>
      <c r="T743" s="13">
        <f t="shared" si="86"/>
        <v>59.5</v>
      </c>
      <c r="U743" s="14">
        <f t="shared" si="87"/>
        <v>0</v>
      </c>
      <c r="V743" s="14">
        <f t="shared" si="88"/>
        <v>0</v>
      </c>
      <c r="W743" s="1">
        <f t="shared" si="89"/>
        <v>25.900000000000002</v>
      </c>
      <c r="X743" s="1" t="str">
        <f>IF(Table1[[#This Row],[World Rank]]&lt;=250,"Q1-Elite",IF(Table1[[#This Row],[World Rank]]&lt;=500,"Q2-Strong",IF(Table1[[#This Row],[World Rank]]&lt;=750,"Q3-Developing","Q4-Emerging")))</f>
        <v>Q3-Developing</v>
      </c>
    </row>
    <row r="744" spans="1:24" x14ac:dyDescent="0.2">
      <c r="A744" s="1">
        <v>743</v>
      </c>
      <c r="B744" s="1" t="s">
        <v>811</v>
      </c>
      <c r="C744" s="1" t="s">
        <v>15</v>
      </c>
      <c r="D744" s="1" t="s">
        <v>1120</v>
      </c>
      <c r="E744" s="1">
        <v>177</v>
      </c>
      <c r="F744" s="1">
        <v>383</v>
      </c>
      <c r="G744" s="1">
        <v>1001</v>
      </c>
      <c r="H744" s="1">
        <v>304</v>
      </c>
      <c r="I744" s="1">
        <v>763</v>
      </c>
      <c r="J744" s="1">
        <v>665</v>
      </c>
      <c r="K744" s="1">
        <v>599</v>
      </c>
      <c r="L744" s="1">
        <v>898</v>
      </c>
      <c r="M744" s="1">
        <v>71.5</v>
      </c>
      <c r="N744" s="1">
        <v>39.783730400000003</v>
      </c>
      <c r="O744" s="1">
        <v>-100.445882</v>
      </c>
      <c r="P744" s="14">
        <f t="shared" si="83"/>
        <v>33.6</v>
      </c>
      <c r="Q744" s="13">
        <f>((667 - F744) / 666) * 100</f>
        <v>42.642642642642642</v>
      </c>
      <c r="R744" s="16">
        <f t="shared" si="84"/>
        <v>0</v>
      </c>
      <c r="S744" s="14">
        <f t="shared" si="85"/>
        <v>0</v>
      </c>
      <c r="T744" s="13">
        <f t="shared" si="86"/>
        <v>23.799999999999997</v>
      </c>
      <c r="U744" s="14">
        <f t="shared" si="87"/>
        <v>40.200000000000003</v>
      </c>
      <c r="V744" s="14">
        <f t="shared" si="88"/>
        <v>10.299999999999999</v>
      </c>
      <c r="W744" s="1">
        <f t="shared" si="89"/>
        <v>25.8</v>
      </c>
      <c r="X744" s="1" t="str">
        <f>IF(Table1[[#This Row],[World Rank]]&lt;=250,"Q1-Elite",IF(Table1[[#This Row],[World Rank]]&lt;=500,"Q2-Strong",IF(Table1[[#This Row],[World Rank]]&lt;=750,"Q3-Developing","Q4-Emerging")))</f>
        <v>Q3-Developing</v>
      </c>
    </row>
    <row r="745" spans="1:24" x14ac:dyDescent="0.2">
      <c r="A745" s="1">
        <v>744</v>
      </c>
      <c r="B745" s="1" t="s">
        <v>812</v>
      </c>
      <c r="C745" s="1" t="s">
        <v>210</v>
      </c>
      <c r="D745" s="1" t="s">
        <v>1125</v>
      </c>
      <c r="E745" s="1">
        <v>6</v>
      </c>
      <c r="F745" s="1">
        <v>667</v>
      </c>
      <c r="G745" s="1">
        <v>1001</v>
      </c>
      <c r="H745" s="1">
        <v>304</v>
      </c>
      <c r="I745" s="1">
        <v>724</v>
      </c>
      <c r="J745" s="1">
        <v>644</v>
      </c>
      <c r="K745" s="1">
        <v>1001</v>
      </c>
      <c r="L745" s="1">
        <v>673</v>
      </c>
      <c r="M745" s="1">
        <v>71.5</v>
      </c>
      <c r="N745" s="1">
        <v>22.350626999999999</v>
      </c>
      <c r="O745" s="1">
        <v>114.1849161</v>
      </c>
      <c r="P745" s="14">
        <f t="shared" si="83"/>
        <v>35.699999999999996</v>
      </c>
      <c r="Q745" s="13">
        <v>20</v>
      </c>
      <c r="R745" s="16">
        <f t="shared" si="84"/>
        <v>0</v>
      </c>
      <c r="S745" s="14">
        <f t="shared" si="85"/>
        <v>0</v>
      </c>
      <c r="T745" s="13">
        <f t="shared" si="86"/>
        <v>27.700000000000003</v>
      </c>
      <c r="U745" s="14">
        <f t="shared" si="87"/>
        <v>0</v>
      </c>
      <c r="V745" s="14">
        <f t="shared" si="88"/>
        <v>32.800000000000004</v>
      </c>
      <c r="W745" s="1">
        <f t="shared" si="89"/>
        <v>25.7</v>
      </c>
      <c r="X745" s="1" t="str">
        <f>IF(Table1[[#This Row],[World Rank]]&lt;=250,"Q1-Elite",IF(Table1[[#This Row],[World Rank]]&lt;=500,"Q2-Strong",IF(Table1[[#This Row],[World Rank]]&lt;=750,"Q3-Developing","Q4-Emerging")))</f>
        <v>Q3-Developing</v>
      </c>
    </row>
    <row r="746" spans="1:24" x14ac:dyDescent="0.2">
      <c r="A746" s="1">
        <v>745</v>
      </c>
      <c r="B746" s="1" t="s">
        <v>813</v>
      </c>
      <c r="C746" s="1" t="s">
        <v>124</v>
      </c>
      <c r="D746" s="1" t="s">
        <v>1125</v>
      </c>
      <c r="E746" s="1">
        <v>71</v>
      </c>
      <c r="F746" s="1">
        <v>667</v>
      </c>
      <c r="G746" s="1">
        <v>1001</v>
      </c>
      <c r="H746" s="1">
        <v>304</v>
      </c>
      <c r="I746" s="1">
        <v>682</v>
      </c>
      <c r="J746" s="1">
        <v>674</v>
      </c>
      <c r="K746" s="1">
        <v>735</v>
      </c>
      <c r="L746" s="1">
        <v>898</v>
      </c>
      <c r="M746" s="1">
        <v>71.5</v>
      </c>
      <c r="N746" s="1">
        <v>30.047992000000001</v>
      </c>
      <c r="O746" s="1">
        <v>-94.335743300000004</v>
      </c>
      <c r="P746" s="14">
        <f t="shared" si="83"/>
        <v>32.700000000000003</v>
      </c>
      <c r="Q746" s="13">
        <v>20</v>
      </c>
      <c r="R746" s="16">
        <f t="shared" si="84"/>
        <v>0</v>
      </c>
      <c r="S746" s="14">
        <f t="shared" si="85"/>
        <v>0</v>
      </c>
      <c r="T746" s="13">
        <f t="shared" si="86"/>
        <v>31.900000000000002</v>
      </c>
      <c r="U746" s="14">
        <f t="shared" si="87"/>
        <v>26.6</v>
      </c>
      <c r="V746" s="14">
        <f t="shared" si="88"/>
        <v>10.299999999999999</v>
      </c>
      <c r="W746" s="1">
        <f t="shared" si="89"/>
        <v>25.6</v>
      </c>
      <c r="X746" s="1" t="str">
        <f>IF(Table1[[#This Row],[World Rank]]&lt;=250,"Q1-Elite",IF(Table1[[#This Row],[World Rank]]&lt;=500,"Q2-Strong",IF(Table1[[#This Row],[World Rank]]&lt;=750,"Q3-Developing","Q4-Emerging")))</f>
        <v>Q3-Developing</v>
      </c>
    </row>
    <row r="747" spans="1:24" x14ac:dyDescent="0.2">
      <c r="A747" s="1">
        <v>746</v>
      </c>
      <c r="B747" s="1" t="s">
        <v>814</v>
      </c>
      <c r="C747" s="1" t="s">
        <v>15</v>
      </c>
      <c r="D747" s="1" t="s">
        <v>1120</v>
      </c>
      <c r="E747" s="1">
        <v>178</v>
      </c>
      <c r="F747" s="1">
        <v>667</v>
      </c>
      <c r="G747" s="1">
        <v>1001</v>
      </c>
      <c r="H747" s="1">
        <v>304</v>
      </c>
      <c r="I747" s="1">
        <v>796</v>
      </c>
      <c r="J747" s="1">
        <v>687</v>
      </c>
      <c r="K747" s="1">
        <v>546</v>
      </c>
      <c r="L747" s="1">
        <v>898</v>
      </c>
      <c r="M747" s="1">
        <v>71.5</v>
      </c>
      <c r="N747" s="1">
        <v>39.783730400000003</v>
      </c>
      <c r="O747" s="1">
        <v>-100.445882</v>
      </c>
      <c r="P747" s="14">
        <f t="shared" si="83"/>
        <v>31.4</v>
      </c>
      <c r="Q747" s="13">
        <v>20</v>
      </c>
      <c r="R747" s="16">
        <f t="shared" si="84"/>
        <v>0</v>
      </c>
      <c r="S747" s="14">
        <f t="shared" si="85"/>
        <v>0</v>
      </c>
      <c r="T747" s="13">
        <f t="shared" si="86"/>
        <v>20.5</v>
      </c>
      <c r="U747" s="14">
        <f t="shared" si="87"/>
        <v>45.5</v>
      </c>
      <c r="V747" s="14">
        <f t="shared" si="88"/>
        <v>10.299999999999999</v>
      </c>
      <c r="W747" s="1">
        <f t="shared" si="89"/>
        <v>25.5</v>
      </c>
      <c r="X747" s="1" t="str">
        <f>IF(Table1[[#This Row],[World Rank]]&lt;=250,"Q1-Elite",IF(Table1[[#This Row],[World Rank]]&lt;=500,"Q2-Strong",IF(Table1[[#This Row],[World Rank]]&lt;=750,"Q3-Developing","Q4-Emerging")))</f>
        <v>Q3-Developing</v>
      </c>
    </row>
    <row r="748" spans="1:24" x14ac:dyDescent="0.2">
      <c r="A748" s="1">
        <v>747</v>
      </c>
      <c r="B748" s="1" t="s">
        <v>815</v>
      </c>
      <c r="C748" s="1" t="s">
        <v>28</v>
      </c>
      <c r="D748" s="1" t="s">
        <v>1125</v>
      </c>
      <c r="E748" s="1">
        <v>31</v>
      </c>
      <c r="F748" s="1">
        <v>667</v>
      </c>
      <c r="G748" s="1">
        <v>909</v>
      </c>
      <c r="H748" s="1">
        <v>304</v>
      </c>
      <c r="I748" s="1">
        <v>750</v>
      </c>
      <c r="J748" s="1">
        <v>703</v>
      </c>
      <c r="K748" s="1">
        <v>596</v>
      </c>
      <c r="L748" s="1">
        <v>898</v>
      </c>
      <c r="M748" s="1">
        <v>71.5</v>
      </c>
      <c r="N748" s="1">
        <v>36.5748441</v>
      </c>
      <c r="O748" s="1">
        <v>139.23941790000001</v>
      </c>
      <c r="P748" s="14">
        <f t="shared" si="83"/>
        <v>29.799999999999997</v>
      </c>
      <c r="Q748" s="13">
        <v>20</v>
      </c>
      <c r="R748" s="16">
        <f t="shared" si="84"/>
        <v>9.1999999999999993</v>
      </c>
      <c r="S748" s="14">
        <f t="shared" si="85"/>
        <v>0</v>
      </c>
      <c r="T748" s="13">
        <f t="shared" si="86"/>
        <v>25.1</v>
      </c>
      <c r="U748" s="14">
        <f t="shared" si="87"/>
        <v>40.5</v>
      </c>
      <c r="V748" s="14">
        <f t="shared" si="88"/>
        <v>10.299999999999999</v>
      </c>
      <c r="W748" s="1">
        <f t="shared" si="89"/>
        <v>25.4</v>
      </c>
      <c r="X748" s="1" t="str">
        <f>IF(Table1[[#This Row],[World Rank]]&lt;=250,"Q1-Elite",IF(Table1[[#This Row],[World Rank]]&lt;=500,"Q2-Strong",IF(Table1[[#This Row],[World Rank]]&lt;=750,"Q3-Developing","Q4-Emerging")))</f>
        <v>Q3-Developing</v>
      </c>
    </row>
    <row r="749" spans="1:24" x14ac:dyDescent="0.2">
      <c r="A749" s="1">
        <v>748</v>
      </c>
      <c r="B749" s="1" t="s">
        <v>816</v>
      </c>
      <c r="C749" s="1" t="s">
        <v>817</v>
      </c>
      <c r="D749" s="1" t="s">
        <v>1124</v>
      </c>
      <c r="E749" s="1">
        <v>1</v>
      </c>
      <c r="F749" s="1">
        <v>621</v>
      </c>
      <c r="G749" s="1">
        <v>1001</v>
      </c>
      <c r="H749" s="1">
        <v>304</v>
      </c>
      <c r="I749" s="1">
        <v>676</v>
      </c>
      <c r="J749" s="1">
        <v>815</v>
      </c>
      <c r="K749" s="1">
        <v>721</v>
      </c>
      <c r="L749" s="1">
        <v>673</v>
      </c>
      <c r="M749" s="1">
        <v>71.5</v>
      </c>
      <c r="N749" s="1">
        <v>55.350000299999998</v>
      </c>
      <c r="O749" s="1">
        <v>23.7499997</v>
      </c>
      <c r="P749" s="14">
        <f t="shared" si="83"/>
        <v>18.600000000000001</v>
      </c>
      <c r="Q749" s="13">
        <v>20</v>
      </c>
      <c r="R749" s="16">
        <f t="shared" si="84"/>
        <v>0</v>
      </c>
      <c r="S749" s="14">
        <f t="shared" si="85"/>
        <v>0</v>
      </c>
      <c r="T749" s="13">
        <f t="shared" si="86"/>
        <v>32.5</v>
      </c>
      <c r="U749" s="14">
        <f t="shared" si="87"/>
        <v>28.000000000000004</v>
      </c>
      <c r="V749" s="14">
        <f t="shared" si="88"/>
        <v>32.800000000000004</v>
      </c>
      <c r="W749" s="1">
        <f t="shared" si="89"/>
        <v>25.3</v>
      </c>
      <c r="X749" s="1" t="str">
        <f>IF(Table1[[#This Row],[World Rank]]&lt;=250,"Q1-Elite",IF(Table1[[#This Row],[World Rank]]&lt;=500,"Q2-Strong",IF(Table1[[#This Row],[World Rank]]&lt;=750,"Q3-Developing","Q4-Emerging")))</f>
        <v>Q3-Developing</v>
      </c>
    </row>
    <row r="750" spans="1:24" x14ac:dyDescent="0.2">
      <c r="A750" s="1">
        <v>749</v>
      </c>
      <c r="B750" s="1" t="s">
        <v>818</v>
      </c>
      <c r="C750" s="1" t="s">
        <v>93</v>
      </c>
      <c r="D750" s="1" t="s">
        <v>1124</v>
      </c>
      <c r="E750" s="1">
        <v>39</v>
      </c>
      <c r="F750" s="1">
        <v>667</v>
      </c>
      <c r="G750" s="1">
        <v>1001</v>
      </c>
      <c r="H750" s="1">
        <v>304</v>
      </c>
      <c r="I750" s="1">
        <v>586</v>
      </c>
      <c r="J750" s="1">
        <v>678</v>
      </c>
      <c r="K750" s="1">
        <v>1001</v>
      </c>
      <c r="L750" s="1">
        <v>898</v>
      </c>
      <c r="M750" s="1">
        <v>71.5</v>
      </c>
      <c r="N750" s="1">
        <v>42.638426099999997</v>
      </c>
      <c r="O750" s="1">
        <v>12.674296999999999</v>
      </c>
      <c r="P750" s="14">
        <f t="shared" si="83"/>
        <v>32.300000000000004</v>
      </c>
      <c r="Q750" s="13">
        <v>20</v>
      </c>
      <c r="R750" s="16">
        <f t="shared" si="84"/>
        <v>0</v>
      </c>
      <c r="S750" s="14">
        <f t="shared" si="85"/>
        <v>0</v>
      </c>
      <c r="T750" s="13">
        <f t="shared" si="86"/>
        <v>41.5</v>
      </c>
      <c r="U750" s="14">
        <f t="shared" si="87"/>
        <v>0</v>
      </c>
      <c r="V750" s="14">
        <f t="shared" si="88"/>
        <v>10.299999999999999</v>
      </c>
      <c r="W750" s="1">
        <f t="shared" si="89"/>
        <v>25.2</v>
      </c>
      <c r="X750" s="1" t="str">
        <f>IF(Table1[[#This Row],[World Rank]]&lt;=250,"Q1-Elite",IF(Table1[[#This Row],[World Rank]]&lt;=500,"Q2-Strong",IF(Table1[[#This Row],[World Rank]]&lt;=750,"Q3-Developing","Q4-Emerging")))</f>
        <v>Q3-Developing</v>
      </c>
    </row>
    <row r="751" spans="1:24" x14ac:dyDescent="0.2">
      <c r="A751" s="1">
        <v>750</v>
      </c>
      <c r="B751" s="1" t="s">
        <v>819</v>
      </c>
      <c r="C751" s="1" t="s">
        <v>15</v>
      </c>
      <c r="D751" s="1" t="s">
        <v>1120</v>
      </c>
      <c r="E751" s="1">
        <v>179</v>
      </c>
      <c r="F751" s="1">
        <v>156</v>
      </c>
      <c r="G751" s="1">
        <v>110</v>
      </c>
      <c r="H751" s="1">
        <v>304</v>
      </c>
      <c r="I751" s="1">
        <v>1001</v>
      </c>
      <c r="J751" s="1">
        <v>821</v>
      </c>
      <c r="K751" s="1">
        <v>860</v>
      </c>
      <c r="L751" s="1">
        <v>541</v>
      </c>
      <c r="M751" s="1">
        <v>71.5</v>
      </c>
      <c r="N751" s="1">
        <v>39.783730400000003</v>
      </c>
      <c r="O751" s="1">
        <v>-100.445882</v>
      </c>
      <c r="P751" s="14">
        <f t="shared" si="83"/>
        <v>18</v>
      </c>
      <c r="Q751" s="13">
        <f>((667 - F751) / 666) * 100</f>
        <v>76.726726726726724</v>
      </c>
      <c r="R751" s="16">
        <f t="shared" si="84"/>
        <v>89.1</v>
      </c>
      <c r="S751" s="14">
        <f t="shared" si="85"/>
        <v>0</v>
      </c>
      <c r="T751" s="13">
        <f t="shared" si="86"/>
        <v>0</v>
      </c>
      <c r="U751" s="14">
        <f t="shared" si="87"/>
        <v>14.099999999999998</v>
      </c>
      <c r="V751" s="14">
        <f t="shared" si="88"/>
        <v>46</v>
      </c>
      <c r="W751" s="1">
        <f t="shared" si="89"/>
        <v>25.1</v>
      </c>
      <c r="X751" s="1" t="str">
        <f>IF(Table1[[#This Row],[World Rank]]&lt;=250,"Q1-Elite",IF(Table1[[#This Row],[World Rank]]&lt;=500,"Q2-Strong",IF(Table1[[#This Row],[World Rank]]&lt;=750,"Q3-Developing","Q4-Emerging")))</f>
        <v>Q3-Developing</v>
      </c>
    </row>
    <row r="752" spans="1:24" x14ac:dyDescent="0.2">
      <c r="A752" s="1">
        <v>751</v>
      </c>
      <c r="B752" s="1" t="s">
        <v>820</v>
      </c>
      <c r="C752" s="1" t="s">
        <v>15</v>
      </c>
      <c r="D752" s="1" t="s">
        <v>1120</v>
      </c>
      <c r="E752" s="1">
        <v>180</v>
      </c>
      <c r="F752" s="1">
        <v>667</v>
      </c>
      <c r="G752" s="1">
        <v>119</v>
      </c>
      <c r="H752" s="1">
        <v>304</v>
      </c>
      <c r="I752" s="1">
        <v>965</v>
      </c>
      <c r="J752" s="1">
        <v>822</v>
      </c>
      <c r="K752" s="1">
        <v>810</v>
      </c>
      <c r="L752" s="1">
        <v>541</v>
      </c>
      <c r="M752" s="1">
        <v>71.5</v>
      </c>
      <c r="N752" s="1">
        <v>39.783730400000003</v>
      </c>
      <c r="O752" s="1">
        <v>-100.445882</v>
      </c>
      <c r="P752" s="14">
        <f t="shared" si="83"/>
        <v>17.899999999999999</v>
      </c>
      <c r="Q752" s="13">
        <v>20</v>
      </c>
      <c r="R752" s="16">
        <f t="shared" si="84"/>
        <v>88.2</v>
      </c>
      <c r="S752" s="14">
        <f t="shared" si="85"/>
        <v>0</v>
      </c>
      <c r="T752" s="13">
        <f t="shared" si="86"/>
        <v>3.5999999999999996</v>
      </c>
      <c r="U752" s="14">
        <f t="shared" si="87"/>
        <v>19.100000000000001</v>
      </c>
      <c r="V752" s="14">
        <f t="shared" si="88"/>
        <v>46</v>
      </c>
      <c r="W752" s="1">
        <f t="shared" si="89"/>
        <v>25</v>
      </c>
      <c r="X752" s="1" t="str">
        <f>IF(Table1[[#This Row],[World Rank]]&lt;=250,"Q1-Elite",IF(Table1[[#This Row],[World Rank]]&lt;=500,"Q2-Strong",IF(Table1[[#This Row],[World Rank]]&lt;=750,"Q3-Developing","Q4-Emerging")))</f>
        <v>Q4-Emerging</v>
      </c>
    </row>
    <row r="753" spans="1:24" x14ac:dyDescent="0.2">
      <c r="A753" s="1">
        <v>752</v>
      </c>
      <c r="B753" s="1" t="s">
        <v>821</v>
      </c>
      <c r="C753" s="1" t="s">
        <v>48</v>
      </c>
      <c r="D753" s="1" t="s">
        <v>1124</v>
      </c>
      <c r="E753" s="1">
        <v>41</v>
      </c>
      <c r="F753" s="1">
        <v>667</v>
      </c>
      <c r="G753" s="1">
        <v>818</v>
      </c>
      <c r="H753" s="1">
        <v>304</v>
      </c>
      <c r="I753" s="1">
        <v>904</v>
      </c>
      <c r="J753" s="1">
        <v>734</v>
      </c>
      <c r="K753" s="1">
        <v>662</v>
      </c>
      <c r="L753" s="1">
        <v>541</v>
      </c>
      <c r="M753" s="1">
        <v>71.5</v>
      </c>
      <c r="N753" s="1">
        <v>46.603354000000003</v>
      </c>
      <c r="O753" s="1">
        <v>1.8883335000000001</v>
      </c>
      <c r="P753" s="14">
        <f t="shared" si="83"/>
        <v>26.700000000000003</v>
      </c>
      <c r="Q753" s="13">
        <v>20</v>
      </c>
      <c r="R753" s="16">
        <f t="shared" si="84"/>
        <v>18.3</v>
      </c>
      <c r="S753" s="14">
        <f t="shared" si="85"/>
        <v>0</v>
      </c>
      <c r="T753" s="13">
        <f t="shared" si="86"/>
        <v>9.7000000000000011</v>
      </c>
      <c r="U753" s="14">
        <f t="shared" si="87"/>
        <v>33.900000000000006</v>
      </c>
      <c r="V753" s="14">
        <f t="shared" si="88"/>
        <v>46</v>
      </c>
      <c r="W753" s="1">
        <f t="shared" si="89"/>
        <v>24.9</v>
      </c>
      <c r="X753" s="1" t="str">
        <f>IF(Table1[[#This Row],[World Rank]]&lt;=250,"Q1-Elite",IF(Table1[[#This Row],[World Rank]]&lt;=500,"Q2-Strong",IF(Table1[[#This Row],[World Rank]]&lt;=750,"Q3-Developing","Q4-Emerging")))</f>
        <v>Q4-Emerging</v>
      </c>
    </row>
    <row r="754" spans="1:24" x14ac:dyDescent="0.2">
      <c r="A754" s="1">
        <v>753</v>
      </c>
      <c r="B754" s="1" t="s">
        <v>822</v>
      </c>
      <c r="C754" s="1" t="s">
        <v>212</v>
      </c>
      <c r="D754" s="1" t="s">
        <v>1124</v>
      </c>
      <c r="E754" s="1">
        <v>9</v>
      </c>
      <c r="F754" s="1">
        <v>667</v>
      </c>
      <c r="G754" s="1">
        <v>1001</v>
      </c>
      <c r="H754" s="1">
        <v>304</v>
      </c>
      <c r="I754" s="1">
        <v>811</v>
      </c>
      <c r="J754" s="1">
        <v>803</v>
      </c>
      <c r="K754" s="1">
        <v>683</v>
      </c>
      <c r="L754" s="1">
        <v>541</v>
      </c>
      <c r="M754" s="1">
        <v>71.5</v>
      </c>
      <c r="N754" s="1">
        <v>47.593969999999999</v>
      </c>
      <c r="O754" s="1">
        <v>14.124560000000001</v>
      </c>
      <c r="P754" s="14">
        <f t="shared" si="83"/>
        <v>19.8</v>
      </c>
      <c r="Q754" s="13">
        <v>20</v>
      </c>
      <c r="R754" s="16">
        <f t="shared" si="84"/>
        <v>0</v>
      </c>
      <c r="S754" s="14">
        <f t="shared" si="85"/>
        <v>0</v>
      </c>
      <c r="T754" s="13">
        <f t="shared" si="86"/>
        <v>19</v>
      </c>
      <c r="U754" s="14">
        <f t="shared" si="87"/>
        <v>31.8</v>
      </c>
      <c r="V754" s="14">
        <f t="shared" si="88"/>
        <v>46</v>
      </c>
      <c r="W754" s="1">
        <f t="shared" si="89"/>
        <v>24.8</v>
      </c>
      <c r="X754" s="1" t="str">
        <f>IF(Table1[[#This Row],[World Rank]]&lt;=250,"Q1-Elite",IF(Table1[[#This Row],[World Rank]]&lt;=500,"Q2-Strong",IF(Table1[[#This Row],[World Rank]]&lt;=750,"Q3-Developing","Q4-Emerging")))</f>
        <v>Q4-Emerging</v>
      </c>
    </row>
    <row r="755" spans="1:24" x14ac:dyDescent="0.2">
      <c r="A755" s="1">
        <v>754</v>
      </c>
      <c r="B755" s="1" t="s">
        <v>823</v>
      </c>
      <c r="C755" s="1" t="s">
        <v>124</v>
      </c>
      <c r="D755" s="1" t="s">
        <v>1125</v>
      </c>
      <c r="E755" s="1">
        <v>72</v>
      </c>
      <c r="F755" s="1">
        <v>667</v>
      </c>
      <c r="G755" s="1">
        <v>1001</v>
      </c>
      <c r="H755" s="1">
        <v>304</v>
      </c>
      <c r="I755" s="1">
        <v>490</v>
      </c>
      <c r="J755" s="1">
        <v>645</v>
      </c>
      <c r="K755" s="1">
        <v>1001</v>
      </c>
      <c r="L755" s="1">
        <v>1001</v>
      </c>
      <c r="M755" s="1">
        <v>71.5</v>
      </c>
      <c r="N755" s="1">
        <v>30.047992000000001</v>
      </c>
      <c r="O755" s="1">
        <v>-94.335743300000004</v>
      </c>
      <c r="P755" s="14">
        <f t="shared" si="83"/>
        <v>35.6</v>
      </c>
      <c r="Q755" s="13">
        <v>20</v>
      </c>
      <c r="R755" s="16">
        <f t="shared" si="84"/>
        <v>0</v>
      </c>
      <c r="S755" s="14">
        <f t="shared" si="85"/>
        <v>0</v>
      </c>
      <c r="T755" s="13">
        <f t="shared" si="86"/>
        <v>51.1</v>
      </c>
      <c r="U755" s="14">
        <f t="shared" si="87"/>
        <v>0</v>
      </c>
      <c r="V755" s="14">
        <f t="shared" si="88"/>
        <v>0</v>
      </c>
      <c r="W755" s="1">
        <f t="shared" si="89"/>
        <v>24.7</v>
      </c>
      <c r="X755" s="1" t="str">
        <f>IF(Table1[[#This Row],[World Rank]]&lt;=250,"Q1-Elite",IF(Table1[[#This Row],[World Rank]]&lt;=500,"Q2-Strong",IF(Table1[[#This Row],[World Rank]]&lt;=750,"Q3-Developing","Q4-Emerging")))</f>
        <v>Q4-Emerging</v>
      </c>
    </row>
    <row r="756" spans="1:24" x14ac:dyDescent="0.2">
      <c r="A756" s="1">
        <v>755</v>
      </c>
      <c r="B756" s="1" t="s">
        <v>824</v>
      </c>
      <c r="C756" s="1" t="s">
        <v>48</v>
      </c>
      <c r="D756" s="1" t="s">
        <v>1124</v>
      </c>
      <c r="E756" s="1">
        <v>42</v>
      </c>
      <c r="F756" s="1">
        <v>667</v>
      </c>
      <c r="G756" s="1">
        <v>1001</v>
      </c>
      <c r="H756" s="1">
        <v>304</v>
      </c>
      <c r="I756" s="1">
        <v>753</v>
      </c>
      <c r="J756" s="1">
        <v>646</v>
      </c>
      <c r="K756" s="1">
        <v>529</v>
      </c>
      <c r="L756" s="1">
        <v>1001</v>
      </c>
      <c r="M756" s="1">
        <v>71.400000000000006</v>
      </c>
      <c r="N756" s="1">
        <v>46.603354000000003</v>
      </c>
      <c r="O756" s="1">
        <v>1.8883335000000001</v>
      </c>
      <c r="P756" s="14">
        <f t="shared" si="83"/>
        <v>35.5</v>
      </c>
      <c r="Q756" s="13">
        <v>20</v>
      </c>
      <c r="R756" s="16">
        <f t="shared" si="84"/>
        <v>0</v>
      </c>
      <c r="S756" s="14">
        <f t="shared" si="85"/>
        <v>0</v>
      </c>
      <c r="T756" s="13">
        <f t="shared" si="86"/>
        <v>24.8</v>
      </c>
      <c r="U756" s="14">
        <f t="shared" si="87"/>
        <v>47.199999999999996</v>
      </c>
      <c r="V756" s="14">
        <f t="shared" si="88"/>
        <v>0</v>
      </c>
      <c r="W756" s="1">
        <f t="shared" si="89"/>
        <v>24.6</v>
      </c>
      <c r="X756" s="1" t="str">
        <f>IF(Table1[[#This Row],[World Rank]]&lt;=250,"Q1-Elite",IF(Table1[[#This Row],[World Rank]]&lt;=500,"Q2-Strong",IF(Table1[[#This Row],[World Rank]]&lt;=750,"Q3-Developing","Q4-Emerging")))</f>
        <v>Q4-Emerging</v>
      </c>
    </row>
    <row r="757" spans="1:24" x14ac:dyDescent="0.2">
      <c r="A757" s="1">
        <v>756</v>
      </c>
      <c r="B757" s="1" t="s">
        <v>825</v>
      </c>
      <c r="C757" s="1" t="s">
        <v>427</v>
      </c>
      <c r="D757" s="1" t="s">
        <v>1125</v>
      </c>
      <c r="E757" s="1">
        <v>7</v>
      </c>
      <c r="F757" s="1">
        <v>667</v>
      </c>
      <c r="G757" s="1">
        <v>1001</v>
      </c>
      <c r="H757" s="1">
        <v>304</v>
      </c>
      <c r="I757" s="1">
        <v>417</v>
      </c>
      <c r="J757" s="1">
        <v>723</v>
      </c>
      <c r="K757" s="1">
        <v>1001</v>
      </c>
      <c r="L757" s="1">
        <v>1001</v>
      </c>
      <c r="M757" s="1">
        <v>71.400000000000006</v>
      </c>
      <c r="N757" s="1">
        <v>2.9368696000000001</v>
      </c>
      <c r="O757" s="1">
        <v>115.4443356</v>
      </c>
      <c r="P757" s="14">
        <f t="shared" si="83"/>
        <v>27.800000000000004</v>
      </c>
      <c r="Q757" s="13">
        <v>20</v>
      </c>
      <c r="R757" s="16">
        <f t="shared" si="84"/>
        <v>0</v>
      </c>
      <c r="S757" s="14">
        <f t="shared" si="85"/>
        <v>0</v>
      </c>
      <c r="T757" s="13">
        <f t="shared" si="86"/>
        <v>58.4</v>
      </c>
      <c r="U757" s="14">
        <f t="shared" si="87"/>
        <v>0</v>
      </c>
      <c r="V757" s="14">
        <f t="shared" si="88"/>
        <v>0</v>
      </c>
      <c r="W757" s="1">
        <f t="shared" si="89"/>
        <v>24.5</v>
      </c>
      <c r="X757" s="1" t="str">
        <f>IF(Table1[[#This Row],[World Rank]]&lt;=250,"Q1-Elite",IF(Table1[[#This Row],[World Rank]]&lt;=500,"Q2-Strong",IF(Table1[[#This Row],[World Rank]]&lt;=750,"Q3-Developing","Q4-Emerging")))</f>
        <v>Q4-Emerging</v>
      </c>
    </row>
    <row r="758" spans="1:24" x14ac:dyDescent="0.2">
      <c r="A758" s="1">
        <v>757</v>
      </c>
      <c r="B758" s="1" t="s">
        <v>826</v>
      </c>
      <c r="C758" s="1" t="s">
        <v>15</v>
      </c>
      <c r="D758" s="1" t="s">
        <v>1120</v>
      </c>
      <c r="E758" s="1">
        <v>181</v>
      </c>
      <c r="F758" s="1">
        <v>667</v>
      </c>
      <c r="G758" s="1">
        <v>1001</v>
      </c>
      <c r="H758" s="1">
        <v>304</v>
      </c>
      <c r="I758" s="1">
        <v>859</v>
      </c>
      <c r="J758" s="1">
        <v>791</v>
      </c>
      <c r="K758" s="1">
        <v>644</v>
      </c>
      <c r="L758" s="1">
        <v>541</v>
      </c>
      <c r="M758" s="1">
        <v>71.400000000000006</v>
      </c>
      <c r="N758" s="1">
        <v>39.783730400000003</v>
      </c>
      <c r="O758" s="1">
        <v>-100.445882</v>
      </c>
      <c r="P758" s="14">
        <f t="shared" si="83"/>
        <v>21</v>
      </c>
      <c r="Q758" s="13">
        <v>20</v>
      </c>
      <c r="R758" s="16">
        <f t="shared" si="84"/>
        <v>0</v>
      </c>
      <c r="S758" s="14">
        <f t="shared" si="85"/>
        <v>0</v>
      </c>
      <c r="T758" s="13">
        <f t="shared" si="86"/>
        <v>14.2</v>
      </c>
      <c r="U758" s="14">
        <f t="shared" si="87"/>
        <v>35.699999999999996</v>
      </c>
      <c r="V758" s="14">
        <f t="shared" si="88"/>
        <v>46</v>
      </c>
      <c r="W758" s="1">
        <f t="shared" si="89"/>
        <v>24.4</v>
      </c>
      <c r="X758" s="1" t="str">
        <f>IF(Table1[[#This Row],[World Rank]]&lt;=250,"Q1-Elite",IF(Table1[[#This Row],[World Rank]]&lt;=500,"Q2-Strong",IF(Table1[[#This Row],[World Rank]]&lt;=750,"Q3-Developing","Q4-Emerging")))</f>
        <v>Q4-Emerging</v>
      </c>
    </row>
    <row r="759" spans="1:24" x14ac:dyDescent="0.2">
      <c r="A759" s="1">
        <v>758</v>
      </c>
      <c r="B759" s="1" t="s">
        <v>827</v>
      </c>
      <c r="C759" s="1" t="s">
        <v>470</v>
      </c>
      <c r="D759" s="1" t="s">
        <v>1124</v>
      </c>
      <c r="E759" s="1">
        <v>4</v>
      </c>
      <c r="F759" s="1">
        <v>667</v>
      </c>
      <c r="G759" s="1">
        <v>1001</v>
      </c>
      <c r="H759" s="1">
        <v>292</v>
      </c>
      <c r="I759" s="1">
        <v>684</v>
      </c>
      <c r="J759" s="1">
        <v>742</v>
      </c>
      <c r="K759" s="1">
        <v>826</v>
      </c>
      <c r="L759" s="1">
        <v>898</v>
      </c>
      <c r="M759" s="1">
        <v>71.400000000000006</v>
      </c>
      <c r="N759" s="1">
        <v>41.976762899999997</v>
      </c>
      <c r="O759" s="1">
        <v>-72.778984199999996</v>
      </c>
      <c r="P759" s="14">
        <f t="shared" si="83"/>
        <v>25.900000000000002</v>
      </c>
      <c r="Q759" s="13">
        <v>20</v>
      </c>
      <c r="R759" s="16">
        <f t="shared" si="84"/>
        <v>0</v>
      </c>
      <c r="S759" s="14">
        <f t="shared" si="85"/>
        <v>3.9603960396039604</v>
      </c>
      <c r="T759" s="13">
        <f t="shared" si="86"/>
        <v>31.7</v>
      </c>
      <c r="U759" s="14">
        <f t="shared" si="87"/>
        <v>17.5</v>
      </c>
      <c r="V759" s="14">
        <f t="shared" si="88"/>
        <v>10.299999999999999</v>
      </c>
      <c r="W759" s="1">
        <f t="shared" si="89"/>
        <v>24.3</v>
      </c>
      <c r="X759" s="1" t="str">
        <f>IF(Table1[[#This Row],[World Rank]]&lt;=250,"Q1-Elite",IF(Table1[[#This Row],[World Rank]]&lt;=500,"Q2-Strong",IF(Table1[[#This Row],[World Rank]]&lt;=750,"Q3-Developing","Q4-Emerging")))</f>
        <v>Q4-Emerging</v>
      </c>
    </row>
    <row r="760" spans="1:24" x14ac:dyDescent="0.2">
      <c r="A760" s="1">
        <v>759</v>
      </c>
      <c r="B760" s="1" t="s">
        <v>828</v>
      </c>
      <c r="C760" s="1" t="s">
        <v>15</v>
      </c>
      <c r="D760" s="1" t="s">
        <v>1120</v>
      </c>
      <c r="E760" s="1">
        <v>182</v>
      </c>
      <c r="F760" s="1">
        <v>667</v>
      </c>
      <c r="G760" s="1">
        <v>1001</v>
      </c>
      <c r="H760" s="1">
        <v>304</v>
      </c>
      <c r="I760" s="1">
        <v>1001</v>
      </c>
      <c r="J760" s="1">
        <v>854</v>
      </c>
      <c r="K760" s="1">
        <v>604</v>
      </c>
      <c r="L760" s="1">
        <v>405</v>
      </c>
      <c r="M760" s="1">
        <v>71.400000000000006</v>
      </c>
      <c r="N760" s="1">
        <v>39.783730400000003</v>
      </c>
      <c r="O760" s="1">
        <v>-100.445882</v>
      </c>
      <c r="P760" s="14">
        <f t="shared" si="83"/>
        <v>14.7</v>
      </c>
      <c r="Q760" s="13">
        <v>20</v>
      </c>
      <c r="R760" s="16">
        <f t="shared" si="84"/>
        <v>0</v>
      </c>
      <c r="S760" s="14">
        <f t="shared" si="85"/>
        <v>0</v>
      </c>
      <c r="T760" s="13">
        <f t="shared" si="86"/>
        <v>0</v>
      </c>
      <c r="U760" s="14">
        <f t="shared" si="87"/>
        <v>39.700000000000003</v>
      </c>
      <c r="V760" s="14">
        <f t="shared" si="88"/>
        <v>59.599999999999994</v>
      </c>
      <c r="W760" s="1">
        <f t="shared" si="89"/>
        <v>24.2</v>
      </c>
      <c r="X760" s="1" t="str">
        <f>IF(Table1[[#This Row],[World Rank]]&lt;=250,"Q1-Elite",IF(Table1[[#This Row],[World Rank]]&lt;=500,"Q2-Strong",IF(Table1[[#This Row],[World Rank]]&lt;=750,"Q3-Developing","Q4-Emerging")))</f>
        <v>Q4-Emerging</v>
      </c>
    </row>
    <row r="761" spans="1:24" x14ac:dyDescent="0.2">
      <c r="A761" s="1">
        <v>760</v>
      </c>
      <c r="B761" s="1" t="s">
        <v>829</v>
      </c>
      <c r="C761" s="1" t="s">
        <v>427</v>
      </c>
      <c r="D761" s="1" t="s">
        <v>1125</v>
      </c>
      <c r="E761" s="1">
        <v>8</v>
      </c>
      <c r="F761" s="1">
        <v>667</v>
      </c>
      <c r="G761" s="1">
        <v>1001</v>
      </c>
      <c r="H761" s="1">
        <v>304</v>
      </c>
      <c r="I761" s="1">
        <v>546</v>
      </c>
      <c r="J761" s="1">
        <v>785</v>
      </c>
      <c r="K761" s="1">
        <v>1001</v>
      </c>
      <c r="L761" s="1">
        <v>673</v>
      </c>
      <c r="M761" s="1">
        <v>71.400000000000006</v>
      </c>
      <c r="N761" s="1">
        <v>2.9368696000000001</v>
      </c>
      <c r="O761" s="1">
        <v>115.4443356</v>
      </c>
      <c r="P761" s="14">
        <f t="shared" si="83"/>
        <v>21.6</v>
      </c>
      <c r="Q761" s="13">
        <v>20</v>
      </c>
      <c r="R761" s="16">
        <f t="shared" si="84"/>
        <v>0</v>
      </c>
      <c r="S761" s="14">
        <f t="shared" si="85"/>
        <v>0</v>
      </c>
      <c r="T761" s="13">
        <f t="shared" si="86"/>
        <v>45.5</v>
      </c>
      <c r="U761" s="14">
        <f t="shared" si="87"/>
        <v>0</v>
      </c>
      <c r="V761" s="14">
        <f t="shared" si="88"/>
        <v>32.800000000000004</v>
      </c>
      <c r="W761" s="1">
        <f t="shared" si="89"/>
        <v>24.099999999999998</v>
      </c>
      <c r="X761" s="1" t="str">
        <f>IF(Table1[[#This Row],[World Rank]]&lt;=250,"Q1-Elite",IF(Table1[[#This Row],[World Rank]]&lt;=500,"Q2-Strong",IF(Table1[[#This Row],[World Rank]]&lt;=750,"Q3-Developing","Q4-Emerging")))</f>
        <v>Q4-Emerging</v>
      </c>
    </row>
    <row r="762" spans="1:24" x14ac:dyDescent="0.2">
      <c r="A762" s="1">
        <v>761</v>
      </c>
      <c r="B762" s="1" t="s">
        <v>830</v>
      </c>
      <c r="C762" s="1" t="s">
        <v>478</v>
      </c>
      <c r="D762" s="1" t="s">
        <v>1125</v>
      </c>
      <c r="E762" s="1">
        <v>9</v>
      </c>
      <c r="F762" s="1">
        <v>667</v>
      </c>
      <c r="G762" s="1">
        <v>1001</v>
      </c>
      <c r="H762" s="1">
        <v>304</v>
      </c>
      <c r="I762" s="1">
        <v>659</v>
      </c>
      <c r="J762" s="1">
        <v>841</v>
      </c>
      <c r="K762" s="1">
        <v>1001</v>
      </c>
      <c r="L762" s="1">
        <v>460</v>
      </c>
      <c r="M762" s="1">
        <v>71.400000000000006</v>
      </c>
      <c r="N762" s="1">
        <v>22.351114800000001</v>
      </c>
      <c r="O762" s="1">
        <v>78.667742799999999</v>
      </c>
      <c r="P762" s="14">
        <f t="shared" si="83"/>
        <v>16</v>
      </c>
      <c r="Q762" s="13">
        <v>20</v>
      </c>
      <c r="R762" s="16">
        <f t="shared" si="84"/>
        <v>0</v>
      </c>
      <c r="S762" s="14">
        <f t="shared" si="85"/>
        <v>0</v>
      </c>
      <c r="T762" s="13">
        <f t="shared" si="86"/>
        <v>34.200000000000003</v>
      </c>
      <c r="U762" s="14">
        <f t="shared" si="87"/>
        <v>0</v>
      </c>
      <c r="V762" s="14">
        <f t="shared" si="88"/>
        <v>54.1</v>
      </c>
      <c r="W762" s="1">
        <f t="shared" si="89"/>
        <v>24</v>
      </c>
      <c r="X762" s="1" t="str">
        <f>IF(Table1[[#This Row],[World Rank]]&lt;=250,"Q1-Elite",IF(Table1[[#This Row],[World Rank]]&lt;=500,"Q2-Strong",IF(Table1[[#This Row],[World Rank]]&lt;=750,"Q3-Developing","Q4-Emerging")))</f>
        <v>Q4-Emerging</v>
      </c>
    </row>
    <row r="763" spans="1:24" x14ac:dyDescent="0.2">
      <c r="A763" s="1">
        <v>762</v>
      </c>
      <c r="B763" s="1" t="s">
        <v>831</v>
      </c>
      <c r="C763" s="1" t="s">
        <v>341</v>
      </c>
      <c r="D763" s="1" t="s">
        <v>1123</v>
      </c>
      <c r="E763" s="1">
        <v>3</v>
      </c>
      <c r="F763" s="1">
        <v>667</v>
      </c>
      <c r="G763" s="1">
        <v>1001</v>
      </c>
      <c r="H763" s="1">
        <v>304</v>
      </c>
      <c r="I763" s="1">
        <v>740</v>
      </c>
      <c r="J763" s="1">
        <v>757</v>
      </c>
      <c r="K763" s="1">
        <v>795</v>
      </c>
      <c r="L763" s="1">
        <v>673</v>
      </c>
      <c r="M763" s="1">
        <v>71.400000000000006</v>
      </c>
      <c r="N763" s="1">
        <v>-34.996496299999997</v>
      </c>
      <c r="O763" s="1">
        <v>-64.967281700000001</v>
      </c>
      <c r="P763" s="14">
        <f t="shared" si="83"/>
        <v>24.4</v>
      </c>
      <c r="Q763" s="13">
        <v>20</v>
      </c>
      <c r="R763" s="16">
        <f t="shared" si="84"/>
        <v>0</v>
      </c>
      <c r="S763" s="14">
        <f t="shared" si="85"/>
        <v>0</v>
      </c>
      <c r="T763" s="13">
        <f t="shared" si="86"/>
        <v>26.1</v>
      </c>
      <c r="U763" s="14">
        <f t="shared" si="87"/>
        <v>20.599999999999998</v>
      </c>
      <c r="V763" s="14">
        <f t="shared" si="88"/>
        <v>32.800000000000004</v>
      </c>
      <c r="W763" s="1">
        <f t="shared" si="89"/>
        <v>23.9</v>
      </c>
      <c r="X763" s="1" t="str">
        <f>IF(Table1[[#This Row],[World Rank]]&lt;=250,"Q1-Elite",IF(Table1[[#This Row],[World Rank]]&lt;=500,"Q2-Strong",IF(Table1[[#This Row],[World Rank]]&lt;=750,"Q3-Developing","Q4-Emerging")))</f>
        <v>Q4-Emerging</v>
      </c>
    </row>
    <row r="764" spans="1:24" x14ac:dyDescent="0.2">
      <c r="A764" s="1">
        <v>763</v>
      </c>
      <c r="B764" s="1" t="s">
        <v>832</v>
      </c>
      <c r="C764" s="1" t="s">
        <v>124</v>
      </c>
      <c r="D764" s="1" t="s">
        <v>1125</v>
      </c>
      <c r="E764" s="1">
        <v>73</v>
      </c>
      <c r="F764" s="1">
        <v>667</v>
      </c>
      <c r="G764" s="1">
        <v>1001</v>
      </c>
      <c r="H764" s="1">
        <v>304</v>
      </c>
      <c r="I764" s="1">
        <v>585</v>
      </c>
      <c r="J764" s="1">
        <v>724</v>
      </c>
      <c r="K764" s="1">
        <v>1001</v>
      </c>
      <c r="L764" s="1">
        <v>898</v>
      </c>
      <c r="M764" s="1">
        <v>71.400000000000006</v>
      </c>
      <c r="N764" s="1">
        <v>30.047992000000001</v>
      </c>
      <c r="O764" s="1">
        <v>-94.335743300000004</v>
      </c>
      <c r="P764" s="14">
        <f t="shared" si="83"/>
        <v>27.700000000000003</v>
      </c>
      <c r="Q764" s="13">
        <v>20</v>
      </c>
      <c r="R764" s="16">
        <f t="shared" si="84"/>
        <v>0</v>
      </c>
      <c r="S764" s="14">
        <f t="shared" si="85"/>
        <v>0</v>
      </c>
      <c r="T764" s="13">
        <f t="shared" si="86"/>
        <v>41.6</v>
      </c>
      <c r="U764" s="14">
        <f t="shared" si="87"/>
        <v>0</v>
      </c>
      <c r="V764" s="14">
        <f t="shared" si="88"/>
        <v>10.299999999999999</v>
      </c>
      <c r="W764" s="1">
        <f t="shared" si="89"/>
        <v>23.799999999999997</v>
      </c>
      <c r="X764" s="1" t="str">
        <f>IF(Table1[[#This Row],[World Rank]]&lt;=250,"Q1-Elite",IF(Table1[[#This Row],[World Rank]]&lt;=500,"Q2-Strong",IF(Table1[[#This Row],[World Rank]]&lt;=750,"Q3-Developing","Q4-Emerging")))</f>
        <v>Q4-Emerging</v>
      </c>
    </row>
    <row r="765" spans="1:24" x14ac:dyDescent="0.2">
      <c r="A765" s="1">
        <v>764</v>
      </c>
      <c r="B765" s="1" t="s">
        <v>833</v>
      </c>
      <c r="C765" s="1" t="s">
        <v>19</v>
      </c>
      <c r="D765" s="1" t="s">
        <v>1124</v>
      </c>
      <c r="E765" s="1">
        <v>51</v>
      </c>
      <c r="F765" s="1">
        <v>667</v>
      </c>
      <c r="G765" s="1">
        <v>517</v>
      </c>
      <c r="H765" s="1">
        <v>304</v>
      </c>
      <c r="I765" s="1">
        <v>733</v>
      </c>
      <c r="J765" s="1">
        <v>642</v>
      </c>
      <c r="K765" s="1">
        <v>606</v>
      </c>
      <c r="L765" s="1">
        <v>1001</v>
      </c>
      <c r="M765" s="1">
        <v>71.400000000000006</v>
      </c>
      <c r="N765" s="1">
        <v>54.702354499999998</v>
      </c>
      <c r="O765" s="1">
        <v>-3.2765753000000002</v>
      </c>
      <c r="P765" s="14">
        <f t="shared" si="83"/>
        <v>35.9</v>
      </c>
      <c r="Q765" s="13">
        <v>20</v>
      </c>
      <c r="R765" s="16">
        <f t="shared" si="84"/>
        <v>48.4</v>
      </c>
      <c r="S765" s="14">
        <f t="shared" si="85"/>
        <v>0</v>
      </c>
      <c r="T765" s="13">
        <f t="shared" si="86"/>
        <v>26.8</v>
      </c>
      <c r="U765" s="14">
        <f t="shared" si="87"/>
        <v>39.5</v>
      </c>
      <c r="V765" s="14">
        <f t="shared" si="88"/>
        <v>0</v>
      </c>
      <c r="W765" s="1">
        <f t="shared" si="89"/>
        <v>23.7</v>
      </c>
      <c r="X765" s="1" t="str">
        <f>IF(Table1[[#This Row],[World Rank]]&lt;=250,"Q1-Elite",IF(Table1[[#This Row],[World Rank]]&lt;=500,"Q2-Strong",IF(Table1[[#This Row],[World Rank]]&lt;=750,"Q3-Developing","Q4-Emerging")))</f>
        <v>Q4-Emerging</v>
      </c>
    </row>
    <row r="766" spans="1:24" x14ac:dyDescent="0.2">
      <c r="A766" s="1">
        <v>765</v>
      </c>
      <c r="B766" s="1" t="s">
        <v>834</v>
      </c>
      <c r="C766" s="1" t="s">
        <v>15</v>
      </c>
      <c r="D766" s="1" t="s">
        <v>1120</v>
      </c>
      <c r="E766" s="1">
        <v>183</v>
      </c>
      <c r="F766" s="1">
        <v>667</v>
      </c>
      <c r="G766" s="1">
        <v>1001</v>
      </c>
      <c r="H766" s="1">
        <v>304</v>
      </c>
      <c r="I766" s="1">
        <v>791</v>
      </c>
      <c r="J766" s="1">
        <v>668</v>
      </c>
      <c r="K766" s="1">
        <v>629</v>
      </c>
      <c r="L766" s="1">
        <v>898</v>
      </c>
      <c r="M766" s="1">
        <v>71.400000000000006</v>
      </c>
      <c r="N766" s="1">
        <v>39.783730400000003</v>
      </c>
      <c r="O766" s="1">
        <v>-100.445882</v>
      </c>
      <c r="P766" s="14">
        <f t="shared" si="83"/>
        <v>33.300000000000004</v>
      </c>
      <c r="Q766" s="13">
        <v>20</v>
      </c>
      <c r="R766" s="16">
        <f t="shared" si="84"/>
        <v>0</v>
      </c>
      <c r="S766" s="14">
        <f t="shared" si="85"/>
        <v>0</v>
      </c>
      <c r="T766" s="13">
        <f t="shared" si="86"/>
        <v>21</v>
      </c>
      <c r="U766" s="14">
        <f t="shared" si="87"/>
        <v>37.200000000000003</v>
      </c>
      <c r="V766" s="14">
        <f t="shared" si="88"/>
        <v>10.299999999999999</v>
      </c>
      <c r="W766" s="1">
        <f t="shared" si="89"/>
        <v>23.599999999999998</v>
      </c>
      <c r="X766" s="1" t="str">
        <f>IF(Table1[[#This Row],[World Rank]]&lt;=250,"Q1-Elite",IF(Table1[[#This Row],[World Rank]]&lt;=500,"Q2-Strong",IF(Table1[[#This Row],[World Rank]]&lt;=750,"Q3-Developing","Q4-Emerging")))</f>
        <v>Q4-Emerging</v>
      </c>
    </row>
    <row r="767" spans="1:24" x14ac:dyDescent="0.2">
      <c r="A767" s="1">
        <v>766</v>
      </c>
      <c r="B767" s="1" t="s">
        <v>835</v>
      </c>
      <c r="C767" s="1" t="s">
        <v>836</v>
      </c>
      <c r="D767" s="1" t="s">
        <v>1123</v>
      </c>
      <c r="E767" s="1">
        <v>1</v>
      </c>
      <c r="F767" s="1">
        <v>667</v>
      </c>
      <c r="G767" s="1">
        <v>766</v>
      </c>
      <c r="H767" s="1">
        <v>304</v>
      </c>
      <c r="I767" s="1">
        <v>633</v>
      </c>
      <c r="J767" s="1">
        <v>874</v>
      </c>
      <c r="K767" s="1">
        <v>618</v>
      </c>
      <c r="L767" s="1">
        <v>898</v>
      </c>
      <c r="M767" s="1">
        <v>71.400000000000006</v>
      </c>
      <c r="N767" s="1">
        <v>4.0999169999999996</v>
      </c>
      <c r="O767" s="1">
        <v>-72.908813300000006</v>
      </c>
      <c r="P767" s="14">
        <f t="shared" si="83"/>
        <v>12.7</v>
      </c>
      <c r="Q767" s="13">
        <v>20</v>
      </c>
      <c r="R767" s="16">
        <f t="shared" si="84"/>
        <v>23.5</v>
      </c>
      <c r="S767" s="14">
        <f t="shared" si="85"/>
        <v>0</v>
      </c>
      <c r="T767" s="13">
        <f t="shared" si="86"/>
        <v>36.799999999999997</v>
      </c>
      <c r="U767" s="14">
        <f t="shared" si="87"/>
        <v>38.299999999999997</v>
      </c>
      <c r="V767" s="14">
        <f t="shared" si="88"/>
        <v>10.299999999999999</v>
      </c>
      <c r="W767" s="1">
        <f t="shared" si="89"/>
        <v>23.5</v>
      </c>
      <c r="X767" s="1" t="str">
        <f>IF(Table1[[#This Row],[World Rank]]&lt;=250,"Q1-Elite",IF(Table1[[#This Row],[World Rank]]&lt;=500,"Q2-Strong",IF(Table1[[#This Row],[World Rank]]&lt;=750,"Q3-Developing","Q4-Emerging")))</f>
        <v>Q4-Emerging</v>
      </c>
    </row>
    <row r="768" spans="1:24" x14ac:dyDescent="0.2">
      <c r="A768" s="1">
        <v>767</v>
      </c>
      <c r="B768" s="1" t="s">
        <v>837</v>
      </c>
      <c r="C768" s="1" t="s">
        <v>118</v>
      </c>
      <c r="D768" s="1" t="s">
        <v>1124</v>
      </c>
      <c r="E768" s="1">
        <v>27</v>
      </c>
      <c r="F768" s="1">
        <v>667</v>
      </c>
      <c r="G768" s="1">
        <v>1001</v>
      </c>
      <c r="H768" s="1">
        <v>304</v>
      </c>
      <c r="I768" s="1">
        <v>700</v>
      </c>
      <c r="J768" s="1">
        <v>719</v>
      </c>
      <c r="K768" s="1">
        <v>1001</v>
      </c>
      <c r="L768" s="1">
        <v>673</v>
      </c>
      <c r="M768" s="1">
        <v>71.400000000000006</v>
      </c>
      <c r="N768" s="1">
        <v>39.326068499999998</v>
      </c>
      <c r="O768" s="1">
        <v>-4.8379791000000001</v>
      </c>
      <c r="P768" s="14">
        <f t="shared" si="83"/>
        <v>28.199999999999996</v>
      </c>
      <c r="Q768" s="13">
        <v>20</v>
      </c>
      <c r="R768" s="16">
        <f t="shared" si="84"/>
        <v>0</v>
      </c>
      <c r="S768" s="14">
        <f t="shared" si="85"/>
        <v>0</v>
      </c>
      <c r="T768" s="13">
        <f t="shared" si="86"/>
        <v>30.099999999999998</v>
      </c>
      <c r="U768" s="14">
        <f t="shared" si="87"/>
        <v>0</v>
      </c>
      <c r="V768" s="14">
        <f t="shared" si="88"/>
        <v>32.800000000000004</v>
      </c>
      <c r="W768" s="1">
        <f t="shared" si="89"/>
        <v>23.400000000000002</v>
      </c>
      <c r="X768" s="1" t="str">
        <f>IF(Table1[[#This Row],[World Rank]]&lt;=250,"Q1-Elite",IF(Table1[[#This Row],[World Rank]]&lt;=500,"Q2-Strong",IF(Table1[[#This Row],[World Rank]]&lt;=750,"Q3-Developing","Q4-Emerging")))</f>
        <v>Q4-Emerging</v>
      </c>
    </row>
    <row r="769" spans="1:24" x14ac:dyDescent="0.2">
      <c r="A769" s="1">
        <v>768</v>
      </c>
      <c r="B769" s="1" t="s">
        <v>838</v>
      </c>
      <c r="C769" s="1" t="s">
        <v>19</v>
      </c>
      <c r="D769" s="1" t="s">
        <v>1124</v>
      </c>
      <c r="E769" s="1">
        <v>52</v>
      </c>
      <c r="F769" s="1">
        <v>240</v>
      </c>
      <c r="G769" s="1">
        <v>637</v>
      </c>
      <c r="H769" s="1">
        <v>304</v>
      </c>
      <c r="I769" s="1">
        <v>925</v>
      </c>
      <c r="J769" s="1">
        <v>730</v>
      </c>
      <c r="K769" s="1">
        <v>746</v>
      </c>
      <c r="L769" s="1">
        <v>541</v>
      </c>
      <c r="M769" s="1">
        <v>71.3</v>
      </c>
      <c r="N769" s="1">
        <v>54.702354499999998</v>
      </c>
      <c r="O769" s="1">
        <v>-3.2765753000000002</v>
      </c>
      <c r="P769" s="14">
        <f t="shared" si="83"/>
        <v>27.1</v>
      </c>
      <c r="Q769" s="13">
        <f>((667 - F769) / 666) * 100</f>
        <v>64.114114114114116</v>
      </c>
      <c r="R769" s="16">
        <f t="shared" si="84"/>
        <v>36.4</v>
      </c>
      <c r="S769" s="14">
        <f t="shared" si="85"/>
        <v>0</v>
      </c>
      <c r="T769" s="13">
        <f t="shared" si="86"/>
        <v>7.6</v>
      </c>
      <c r="U769" s="14">
        <f t="shared" si="87"/>
        <v>25.5</v>
      </c>
      <c r="V769" s="14">
        <f t="shared" si="88"/>
        <v>46</v>
      </c>
      <c r="W769" s="1">
        <f t="shared" si="89"/>
        <v>23.3</v>
      </c>
      <c r="X769" s="1" t="str">
        <f>IF(Table1[[#This Row],[World Rank]]&lt;=250,"Q1-Elite",IF(Table1[[#This Row],[World Rank]]&lt;=500,"Q2-Strong",IF(Table1[[#This Row],[World Rank]]&lt;=750,"Q3-Developing","Q4-Emerging")))</f>
        <v>Q4-Emerging</v>
      </c>
    </row>
    <row r="770" spans="1:24" x14ac:dyDescent="0.2">
      <c r="A770" s="1">
        <v>769</v>
      </c>
      <c r="B770" s="1" t="s">
        <v>839</v>
      </c>
      <c r="C770" s="1" t="s">
        <v>93</v>
      </c>
      <c r="D770" s="1" t="s">
        <v>1124</v>
      </c>
      <c r="E770" s="1">
        <v>40</v>
      </c>
      <c r="F770" s="1">
        <v>667</v>
      </c>
      <c r="G770" s="1">
        <v>1001</v>
      </c>
      <c r="H770" s="1">
        <v>304</v>
      </c>
      <c r="I770" s="1">
        <v>809</v>
      </c>
      <c r="J770" s="1">
        <v>756</v>
      </c>
      <c r="K770" s="1">
        <v>873</v>
      </c>
      <c r="L770" s="1">
        <v>541</v>
      </c>
      <c r="M770" s="1">
        <v>71.3</v>
      </c>
      <c r="N770" s="1">
        <v>42.638426099999997</v>
      </c>
      <c r="O770" s="1">
        <v>12.674296999999999</v>
      </c>
      <c r="P770" s="14">
        <f t="shared" ref="P770:P833" si="90">((1001 - J770) / 1000) * 100</f>
        <v>24.5</v>
      </c>
      <c r="Q770" s="13">
        <v>20</v>
      </c>
      <c r="R770" s="16">
        <f t="shared" ref="R770:R833" si="91">(1001 - G770) / 1000 * 100</f>
        <v>0</v>
      </c>
      <c r="S770" s="14">
        <f t="shared" ref="S770:S833" si="92">(304 - H770) / 303 * 100</f>
        <v>0</v>
      </c>
      <c r="T770" s="13">
        <f t="shared" ref="T770:T833" si="93">(1001 - I770) / 1000 * 100</f>
        <v>19.2</v>
      </c>
      <c r="U770" s="14">
        <f t="shared" ref="U770:U833" si="94">(1001 - K770) / 1000 * 100</f>
        <v>12.8</v>
      </c>
      <c r="V770" s="14">
        <f t="shared" ref="V770:V833" si="95">(1001 - L770) / 1000 * 100</f>
        <v>46</v>
      </c>
      <c r="W770" s="1">
        <f t="shared" ref="W770:W833" si="96">(1001 - A770) / 1000 * 100</f>
        <v>23.200000000000003</v>
      </c>
      <c r="X770" s="1" t="str">
        <f>IF(Table1[[#This Row],[World Rank]]&lt;=250,"Q1-Elite",IF(Table1[[#This Row],[World Rank]]&lt;=500,"Q2-Strong",IF(Table1[[#This Row],[World Rank]]&lt;=750,"Q3-Developing","Q4-Emerging")))</f>
        <v>Q4-Emerging</v>
      </c>
    </row>
    <row r="771" spans="1:24" x14ac:dyDescent="0.2">
      <c r="A771" s="1">
        <v>770</v>
      </c>
      <c r="B771" s="1" t="s">
        <v>840</v>
      </c>
      <c r="C771" s="1" t="s">
        <v>15</v>
      </c>
      <c r="D771" s="1" t="s">
        <v>1120</v>
      </c>
      <c r="E771" s="1">
        <v>184</v>
      </c>
      <c r="F771" s="1">
        <v>667</v>
      </c>
      <c r="G771" s="1">
        <v>904</v>
      </c>
      <c r="H771" s="1">
        <v>304</v>
      </c>
      <c r="I771" s="1">
        <v>897</v>
      </c>
      <c r="J771" s="1">
        <v>773</v>
      </c>
      <c r="K771" s="1">
        <v>649</v>
      </c>
      <c r="L771" s="1">
        <v>541</v>
      </c>
      <c r="M771" s="1">
        <v>71.3</v>
      </c>
      <c r="N771" s="1">
        <v>39.783730400000003</v>
      </c>
      <c r="O771" s="1">
        <v>-100.445882</v>
      </c>
      <c r="P771" s="14">
        <f t="shared" si="90"/>
        <v>22.8</v>
      </c>
      <c r="Q771" s="13">
        <v>20</v>
      </c>
      <c r="R771" s="16">
        <f t="shared" si="91"/>
        <v>9.7000000000000011</v>
      </c>
      <c r="S771" s="14">
        <f t="shared" si="92"/>
        <v>0</v>
      </c>
      <c r="T771" s="13">
        <f t="shared" si="93"/>
        <v>10.4</v>
      </c>
      <c r="U771" s="14">
        <f t="shared" si="94"/>
        <v>35.199999999999996</v>
      </c>
      <c r="V771" s="14">
        <f t="shared" si="95"/>
        <v>46</v>
      </c>
      <c r="W771" s="1">
        <f t="shared" si="96"/>
        <v>23.1</v>
      </c>
      <c r="X771" s="1" t="str">
        <f>IF(Table1[[#This Row],[World Rank]]&lt;=250,"Q1-Elite",IF(Table1[[#This Row],[World Rank]]&lt;=500,"Q2-Strong",IF(Table1[[#This Row],[World Rank]]&lt;=750,"Q3-Developing","Q4-Emerging")))</f>
        <v>Q4-Emerging</v>
      </c>
    </row>
    <row r="772" spans="1:24" x14ac:dyDescent="0.2">
      <c r="A772" s="1">
        <v>771</v>
      </c>
      <c r="B772" s="1" t="s">
        <v>841</v>
      </c>
      <c r="C772" s="1" t="s">
        <v>842</v>
      </c>
      <c r="D772" s="1" t="s">
        <v>1122</v>
      </c>
      <c r="E772" s="1">
        <v>1</v>
      </c>
      <c r="F772" s="1">
        <v>448</v>
      </c>
      <c r="G772" s="1">
        <v>1001</v>
      </c>
      <c r="H772" s="1">
        <v>304</v>
      </c>
      <c r="I772" s="1">
        <v>981</v>
      </c>
      <c r="J772" s="1">
        <v>779</v>
      </c>
      <c r="K772" s="1">
        <v>456</v>
      </c>
      <c r="L772" s="1">
        <v>673</v>
      </c>
      <c r="M772" s="1">
        <v>71.3</v>
      </c>
      <c r="N772" s="1">
        <v>1.5333554</v>
      </c>
      <c r="O772" s="1">
        <v>32.2166578</v>
      </c>
      <c r="P772" s="14">
        <f t="shared" si="90"/>
        <v>22.2</v>
      </c>
      <c r="Q772" s="13">
        <f>((667 - F772) / 666) * 100</f>
        <v>32.882882882882889</v>
      </c>
      <c r="R772" s="16">
        <f t="shared" si="91"/>
        <v>0</v>
      </c>
      <c r="S772" s="14">
        <f t="shared" si="92"/>
        <v>0</v>
      </c>
      <c r="T772" s="13">
        <f t="shared" si="93"/>
        <v>2</v>
      </c>
      <c r="U772" s="14">
        <f t="shared" si="94"/>
        <v>54.500000000000007</v>
      </c>
      <c r="V772" s="14">
        <f t="shared" si="95"/>
        <v>32.800000000000004</v>
      </c>
      <c r="W772" s="1">
        <f t="shared" si="96"/>
        <v>23</v>
      </c>
      <c r="X772" s="1" t="str">
        <f>IF(Table1[[#This Row],[World Rank]]&lt;=250,"Q1-Elite",IF(Table1[[#This Row],[World Rank]]&lt;=500,"Q2-Strong",IF(Table1[[#This Row],[World Rank]]&lt;=750,"Q3-Developing","Q4-Emerging")))</f>
        <v>Q4-Emerging</v>
      </c>
    </row>
    <row r="773" spans="1:24" x14ac:dyDescent="0.2">
      <c r="A773" s="1">
        <v>772</v>
      </c>
      <c r="B773" s="1" t="s">
        <v>843</v>
      </c>
      <c r="C773" s="1" t="s">
        <v>524</v>
      </c>
      <c r="D773" s="1" t="s">
        <v>1124</v>
      </c>
      <c r="E773" s="1">
        <v>2</v>
      </c>
      <c r="F773" s="1">
        <v>667</v>
      </c>
      <c r="G773" s="1">
        <v>1001</v>
      </c>
      <c r="H773" s="1">
        <v>304</v>
      </c>
      <c r="I773" s="1">
        <v>997</v>
      </c>
      <c r="J773" s="1">
        <v>1001</v>
      </c>
      <c r="K773" s="1">
        <v>454</v>
      </c>
      <c r="L773" s="1">
        <v>405</v>
      </c>
      <c r="M773" s="1">
        <v>71.3</v>
      </c>
      <c r="N773" s="1">
        <v>45.365844299999999</v>
      </c>
      <c r="O773" s="1">
        <v>15.6575209</v>
      </c>
      <c r="P773" s="14">
        <f t="shared" si="90"/>
        <v>0</v>
      </c>
      <c r="Q773" s="13">
        <v>20</v>
      </c>
      <c r="R773" s="16">
        <f t="shared" si="91"/>
        <v>0</v>
      </c>
      <c r="S773" s="14">
        <f t="shared" si="92"/>
        <v>0</v>
      </c>
      <c r="T773" s="13">
        <f t="shared" si="93"/>
        <v>0.4</v>
      </c>
      <c r="U773" s="14">
        <f t="shared" si="94"/>
        <v>54.7</v>
      </c>
      <c r="V773" s="14">
        <f t="shared" si="95"/>
        <v>59.599999999999994</v>
      </c>
      <c r="W773" s="1">
        <f t="shared" si="96"/>
        <v>22.900000000000002</v>
      </c>
      <c r="X773" s="1" t="str">
        <f>IF(Table1[[#This Row],[World Rank]]&lt;=250,"Q1-Elite",IF(Table1[[#This Row],[World Rank]]&lt;=500,"Q2-Strong",IF(Table1[[#This Row],[World Rank]]&lt;=750,"Q3-Developing","Q4-Emerging")))</f>
        <v>Q4-Emerging</v>
      </c>
    </row>
    <row r="774" spans="1:24" x14ac:dyDescent="0.2">
      <c r="A774" s="1">
        <v>773</v>
      </c>
      <c r="B774" s="1" t="s">
        <v>844</v>
      </c>
      <c r="C774" s="1" t="s">
        <v>15</v>
      </c>
      <c r="D774" s="1" t="s">
        <v>1120</v>
      </c>
      <c r="E774" s="1">
        <v>185</v>
      </c>
      <c r="F774" s="1">
        <v>667</v>
      </c>
      <c r="G774" s="1">
        <v>532</v>
      </c>
      <c r="H774" s="1">
        <v>304</v>
      </c>
      <c r="I774" s="1">
        <v>855</v>
      </c>
      <c r="J774" s="1">
        <v>789</v>
      </c>
      <c r="K774" s="1">
        <v>758</v>
      </c>
      <c r="L774" s="1">
        <v>541</v>
      </c>
      <c r="M774" s="1">
        <v>71.3</v>
      </c>
      <c r="N774" s="1">
        <v>39.783730400000003</v>
      </c>
      <c r="O774" s="1">
        <v>-100.445882</v>
      </c>
      <c r="P774" s="14">
        <f t="shared" si="90"/>
        <v>21.2</v>
      </c>
      <c r="Q774" s="13">
        <v>20</v>
      </c>
      <c r="R774" s="16">
        <f t="shared" si="91"/>
        <v>46.9</v>
      </c>
      <c r="S774" s="14">
        <f t="shared" si="92"/>
        <v>0</v>
      </c>
      <c r="T774" s="13">
        <f t="shared" si="93"/>
        <v>14.6</v>
      </c>
      <c r="U774" s="14">
        <f t="shared" si="94"/>
        <v>24.3</v>
      </c>
      <c r="V774" s="14">
        <f t="shared" si="95"/>
        <v>46</v>
      </c>
      <c r="W774" s="1">
        <f t="shared" si="96"/>
        <v>22.8</v>
      </c>
      <c r="X774" s="1" t="str">
        <f>IF(Table1[[#This Row],[World Rank]]&lt;=250,"Q1-Elite",IF(Table1[[#This Row],[World Rank]]&lt;=500,"Q2-Strong",IF(Table1[[#This Row],[World Rank]]&lt;=750,"Q3-Developing","Q4-Emerging")))</f>
        <v>Q4-Emerging</v>
      </c>
    </row>
    <row r="775" spans="1:24" x14ac:dyDescent="0.2">
      <c r="A775" s="1">
        <v>774</v>
      </c>
      <c r="B775" s="1" t="s">
        <v>845</v>
      </c>
      <c r="C775" s="1" t="s">
        <v>478</v>
      </c>
      <c r="D775" s="1" t="s">
        <v>1125</v>
      </c>
      <c r="E775" s="1">
        <v>10</v>
      </c>
      <c r="F775" s="1">
        <v>487</v>
      </c>
      <c r="G775" s="1">
        <v>606</v>
      </c>
      <c r="H775" s="1">
        <v>304</v>
      </c>
      <c r="I775" s="1">
        <v>543</v>
      </c>
      <c r="J775" s="1">
        <v>781</v>
      </c>
      <c r="K775" s="1">
        <v>1001</v>
      </c>
      <c r="L775" s="1">
        <v>898</v>
      </c>
      <c r="M775" s="1">
        <v>71.3</v>
      </c>
      <c r="N775" s="1">
        <v>22.351114800000001</v>
      </c>
      <c r="O775" s="1">
        <v>78.667742799999999</v>
      </c>
      <c r="P775" s="14">
        <f t="shared" si="90"/>
        <v>22</v>
      </c>
      <c r="Q775" s="13">
        <f>((667 - F775) / 666) * 100</f>
        <v>27.027027027027028</v>
      </c>
      <c r="R775" s="16">
        <f t="shared" si="91"/>
        <v>39.5</v>
      </c>
      <c r="S775" s="14">
        <f t="shared" si="92"/>
        <v>0</v>
      </c>
      <c r="T775" s="13">
        <f t="shared" si="93"/>
        <v>45.800000000000004</v>
      </c>
      <c r="U775" s="14">
        <f t="shared" si="94"/>
        <v>0</v>
      </c>
      <c r="V775" s="14">
        <f t="shared" si="95"/>
        <v>10.299999999999999</v>
      </c>
      <c r="W775" s="1">
        <f t="shared" si="96"/>
        <v>22.7</v>
      </c>
      <c r="X775" s="1" t="str">
        <f>IF(Table1[[#This Row],[World Rank]]&lt;=250,"Q1-Elite",IF(Table1[[#This Row],[World Rank]]&lt;=500,"Q2-Strong",IF(Table1[[#This Row],[World Rank]]&lt;=750,"Q3-Developing","Q4-Emerging")))</f>
        <v>Q4-Emerging</v>
      </c>
    </row>
    <row r="776" spans="1:24" x14ac:dyDescent="0.2">
      <c r="A776" s="1">
        <v>775</v>
      </c>
      <c r="B776" s="1" t="s">
        <v>846</v>
      </c>
      <c r="C776" s="1" t="s">
        <v>85</v>
      </c>
      <c r="D776" s="1" t="s">
        <v>1125</v>
      </c>
      <c r="E776" s="1">
        <v>25</v>
      </c>
      <c r="F776" s="1">
        <v>667</v>
      </c>
      <c r="G776" s="1">
        <v>1001</v>
      </c>
      <c r="H776" s="1">
        <v>304</v>
      </c>
      <c r="I776" s="1">
        <v>925</v>
      </c>
      <c r="J776" s="1">
        <v>642</v>
      </c>
      <c r="K776" s="1">
        <v>731</v>
      </c>
      <c r="L776" s="1">
        <v>673</v>
      </c>
      <c r="M776" s="1">
        <v>71.3</v>
      </c>
      <c r="N776" s="1">
        <v>36.638392000000003</v>
      </c>
      <c r="O776" s="1">
        <v>127.69611879999999</v>
      </c>
      <c r="P776" s="14">
        <f t="shared" si="90"/>
        <v>35.9</v>
      </c>
      <c r="Q776" s="13">
        <v>20</v>
      </c>
      <c r="R776" s="16">
        <f t="shared" si="91"/>
        <v>0</v>
      </c>
      <c r="S776" s="14">
        <f t="shared" si="92"/>
        <v>0</v>
      </c>
      <c r="T776" s="13">
        <f t="shared" si="93"/>
        <v>7.6</v>
      </c>
      <c r="U776" s="14">
        <f t="shared" si="94"/>
        <v>27</v>
      </c>
      <c r="V776" s="14">
        <f t="shared" si="95"/>
        <v>32.800000000000004</v>
      </c>
      <c r="W776" s="1">
        <f t="shared" si="96"/>
        <v>22.6</v>
      </c>
      <c r="X776" s="1" t="str">
        <f>IF(Table1[[#This Row],[World Rank]]&lt;=250,"Q1-Elite",IF(Table1[[#This Row],[World Rank]]&lt;=500,"Q2-Strong",IF(Table1[[#This Row],[World Rank]]&lt;=750,"Q3-Developing","Q4-Emerging")))</f>
        <v>Q4-Emerging</v>
      </c>
    </row>
    <row r="777" spans="1:24" x14ac:dyDescent="0.2">
      <c r="A777" s="1">
        <v>776</v>
      </c>
      <c r="B777" s="1" t="s">
        <v>847</v>
      </c>
      <c r="C777" s="1" t="s">
        <v>307</v>
      </c>
      <c r="D777" s="1" t="s">
        <v>1124</v>
      </c>
      <c r="E777" s="1">
        <v>6</v>
      </c>
      <c r="F777" s="1">
        <v>650</v>
      </c>
      <c r="G777" s="1">
        <v>1001</v>
      </c>
      <c r="H777" s="1">
        <v>304</v>
      </c>
      <c r="I777" s="1">
        <v>708</v>
      </c>
      <c r="J777" s="1">
        <v>750</v>
      </c>
      <c r="K777" s="1">
        <v>1001</v>
      </c>
      <c r="L777" s="1">
        <v>673</v>
      </c>
      <c r="M777" s="1">
        <v>71.3</v>
      </c>
      <c r="N777" s="1">
        <v>52.215933</v>
      </c>
      <c r="O777" s="1">
        <v>19.134422000000001</v>
      </c>
      <c r="P777" s="14">
        <f t="shared" si="90"/>
        <v>25.1</v>
      </c>
      <c r="Q777" s="13">
        <v>20</v>
      </c>
      <c r="R777" s="16">
        <f t="shared" si="91"/>
        <v>0</v>
      </c>
      <c r="S777" s="14">
        <f t="shared" si="92"/>
        <v>0</v>
      </c>
      <c r="T777" s="13">
        <f t="shared" si="93"/>
        <v>29.299999999999997</v>
      </c>
      <c r="U777" s="14">
        <f t="shared" si="94"/>
        <v>0</v>
      </c>
      <c r="V777" s="14">
        <f t="shared" si="95"/>
        <v>32.800000000000004</v>
      </c>
      <c r="W777" s="1">
        <f t="shared" si="96"/>
        <v>22.5</v>
      </c>
      <c r="X777" s="1" t="str">
        <f>IF(Table1[[#This Row],[World Rank]]&lt;=250,"Q1-Elite",IF(Table1[[#This Row],[World Rank]]&lt;=500,"Q2-Strong",IF(Table1[[#This Row],[World Rank]]&lt;=750,"Q3-Developing","Q4-Emerging")))</f>
        <v>Q4-Emerging</v>
      </c>
    </row>
    <row r="778" spans="1:24" x14ac:dyDescent="0.2">
      <c r="A778" s="1">
        <v>777</v>
      </c>
      <c r="B778" s="1" t="s">
        <v>848</v>
      </c>
      <c r="C778" s="1" t="s">
        <v>19</v>
      </c>
      <c r="D778" s="1" t="s">
        <v>1124</v>
      </c>
      <c r="E778" s="1">
        <v>53</v>
      </c>
      <c r="F778" s="1">
        <v>667</v>
      </c>
      <c r="G778" s="1">
        <v>601</v>
      </c>
      <c r="H778" s="1">
        <v>304</v>
      </c>
      <c r="I778" s="1">
        <v>969</v>
      </c>
      <c r="J778" s="1">
        <v>783</v>
      </c>
      <c r="K778" s="1">
        <v>728</v>
      </c>
      <c r="L778" s="1">
        <v>460</v>
      </c>
      <c r="M778" s="1">
        <v>71.3</v>
      </c>
      <c r="N778" s="1">
        <v>54.702354499999998</v>
      </c>
      <c r="O778" s="1">
        <v>-3.2765753000000002</v>
      </c>
      <c r="P778" s="14">
        <f t="shared" si="90"/>
        <v>21.8</v>
      </c>
      <c r="Q778" s="13">
        <v>20</v>
      </c>
      <c r="R778" s="16">
        <f t="shared" si="91"/>
        <v>40</v>
      </c>
      <c r="S778" s="14">
        <f t="shared" si="92"/>
        <v>0</v>
      </c>
      <c r="T778" s="13">
        <f t="shared" si="93"/>
        <v>3.2</v>
      </c>
      <c r="U778" s="14">
        <f t="shared" si="94"/>
        <v>27.3</v>
      </c>
      <c r="V778" s="14">
        <f t="shared" si="95"/>
        <v>54.1</v>
      </c>
      <c r="W778" s="1">
        <f t="shared" si="96"/>
        <v>22.400000000000002</v>
      </c>
      <c r="X778" s="1" t="str">
        <f>IF(Table1[[#This Row],[World Rank]]&lt;=250,"Q1-Elite",IF(Table1[[#This Row],[World Rank]]&lt;=500,"Q2-Strong",IF(Table1[[#This Row],[World Rank]]&lt;=750,"Q3-Developing","Q4-Emerging")))</f>
        <v>Q4-Emerging</v>
      </c>
    </row>
    <row r="779" spans="1:24" x14ac:dyDescent="0.2">
      <c r="A779" s="1">
        <v>778</v>
      </c>
      <c r="B779" s="1" t="s">
        <v>849</v>
      </c>
      <c r="C779" s="1" t="s">
        <v>124</v>
      </c>
      <c r="D779" s="1" t="s">
        <v>1125</v>
      </c>
      <c r="E779" s="1">
        <v>74</v>
      </c>
      <c r="F779" s="1">
        <v>667</v>
      </c>
      <c r="G779" s="1">
        <v>1001</v>
      </c>
      <c r="H779" s="1">
        <v>304</v>
      </c>
      <c r="I779" s="1">
        <v>589</v>
      </c>
      <c r="J779" s="1">
        <v>707</v>
      </c>
      <c r="K779" s="1">
        <v>1001</v>
      </c>
      <c r="L779" s="1">
        <v>898</v>
      </c>
      <c r="M779" s="1">
        <v>71.3</v>
      </c>
      <c r="N779" s="1">
        <v>30.047992000000001</v>
      </c>
      <c r="O779" s="1">
        <v>-94.335743300000004</v>
      </c>
      <c r="P779" s="14">
        <f t="shared" si="90"/>
        <v>29.4</v>
      </c>
      <c r="Q779" s="13">
        <v>20</v>
      </c>
      <c r="R779" s="16">
        <f t="shared" si="91"/>
        <v>0</v>
      </c>
      <c r="S779" s="14">
        <f t="shared" si="92"/>
        <v>0</v>
      </c>
      <c r="T779" s="13">
        <f t="shared" si="93"/>
        <v>41.199999999999996</v>
      </c>
      <c r="U779" s="14">
        <f t="shared" si="94"/>
        <v>0</v>
      </c>
      <c r="V779" s="14">
        <f t="shared" si="95"/>
        <v>10.299999999999999</v>
      </c>
      <c r="W779" s="1">
        <f t="shared" si="96"/>
        <v>22.3</v>
      </c>
      <c r="X779" s="1" t="str">
        <f>IF(Table1[[#This Row],[World Rank]]&lt;=250,"Q1-Elite",IF(Table1[[#This Row],[World Rank]]&lt;=500,"Q2-Strong",IF(Table1[[#This Row],[World Rank]]&lt;=750,"Q3-Developing","Q4-Emerging")))</f>
        <v>Q4-Emerging</v>
      </c>
    </row>
    <row r="780" spans="1:24" x14ac:dyDescent="0.2">
      <c r="A780" s="1">
        <v>779</v>
      </c>
      <c r="B780" s="1" t="s">
        <v>850</v>
      </c>
      <c r="C780" s="1" t="s">
        <v>68</v>
      </c>
      <c r="D780" s="1" t="s">
        <v>1124</v>
      </c>
      <c r="E780" s="1">
        <v>49</v>
      </c>
      <c r="F780" s="1">
        <v>667</v>
      </c>
      <c r="G780" s="1">
        <v>1001</v>
      </c>
      <c r="H780" s="1">
        <v>304</v>
      </c>
      <c r="I780" s="1">
        <v>877</v>
      </c>
      <c r="J780" s="1">
        <v>793</v>
      </c>
      <c r="K780" s="1">
        <v>694</v>
      </c>
      <c r="L780" s="1">
        <v>541</v>
      </c>
      <c r="M780" s="1">
        <v>71.3</v>
      </c>
      <c r="N780" s="1">
        <v>40.420347900000003</v>
      </c>
      <c r="O780" s="1">
        <v>-79.116698299999996</v>
      </c>
      <c r="P780" s="14">
        <f t="shared" si="90"/>
        <v>20.8</v>
      </c>
      <c r="Q780" s="13">
        <v>20</v>
      </c>
      <c r="R780" s="16">
        <f t="shared" si="91"/>
        <v>0</v>
      </c>
      <c r="S780" s="14">
        <f t="shared" si="92"/>
        <v>0</v>
      </c>
      <c r="T780" s="13">
        <f t="shared" si="93"/>
        <v>12.4</v>
      </c>
      <c r="U780" s="14">
        <f t="shared" si="94"/>
        <v>30.7</v>
      </c>
      <c r="V780" s="14">
        <f t="shared" si="95"/>
        <v>46</v>
      </c>
      <c r="W780" s="1">
        <f t="shared" si="96"/>
        <v>22.2</v>
      </c>
      <c r="X780" s="1" t="str">
        <f>IF(Table1[[#This Row],[World Rank]]&lt;=250,"Q1-Elite",IF(Table1[[#This Row],[World Rank]]&lt;=500,"Q2-Strong",IF(Table1[[#This Row],[World Rank]]&lt;=750,"Q3-Developing","Q4-Emerging")))</f>
        <v>Q4-Emerging</v>
      </c>
    </row>
    <row r="781" spans="1:24" x14ac:dyDescent="0.2">
      <c r="A781" s="1">
        <v>780</v>
      </c>
      <c r="B781" s="1" t="s">
        <v>851</v>
      </c>
      <c r="C781" s="1" t="s">
        <v>48</v>
      </c>
      <c r="D781" s="1" t="s">
        <v>1124</v>
      </c>
      <c r="E781" s="1">
        <v>43</v>
      </c>
      <c r="F781" s="1">
        <v>57</v>
      </c>
      <c r="G781" s="1">
        <v>26</v>
      </c>
      <c r="H781" s="1">
        <v>304</v>
      </c>
      <c r="I781" s="1">
        <v>1001</v>
      </c>
      <c r="J781" s="1">
        <v>1001</v>
      </c>
      <c r="K781" s="1">
        <v>1001</v>
      </c>
      <c r="L781" s="1">
        <v>1001</v>
      </c>
      <c r="M781" s="1">
        <v>71.3</v>
      </c>
      <c r="N781" s="1">
        <v>46.603354000000003</v>
      </c>
      <c r="O781" s="1">
        <v>1.8883335000000001</v>
      </c>
      <c r="P781" s="14">
        <f t="shared" si="90"/>
        <v>0</v>
      </c>
      <c r="Q781" s="13">
        <f>((667 - F781) / 666) * 100</f>
        <v>91.591591591591595</v>
      </c>
      <c r="R781" s="16">
        <f t="shared" si="91"/>
        <v>97.5</v>
      </c>
      <c r="S781" s="14">
        <f t="shared" si="92"/>
        <v>0</v>
      </c>
      <c r="T781" s="13">
        <f t="shared" si="93"/>
        <v>0</v>
      </c>
      <c r="U781" s="14">
        <f t="shared" si="94"/>
        <v>0</v>
      </c>
      <c r="V781" s="14">
        <f t="shared" si="95"/>
        <v>0</v>
      </c>
      <c r="W781" s="1">
        <f t="shared" si="96"/>
        <v>22.1</v>
      </c>
      <c r="X781" s="1" t="str">
        <f>IF(Table1[[#This Row],[World Rank]]&lt;=250,"Q1-Elite",IF(Table1[[#This Row],[World Rank]]&lt;=500,"Q2-Strong",IF(Table1[[#This Row],[World Rank]]&lt;=750,"Q3-Developing","Q4-Emerging")))</f>
        <v>Q4-Emerging</v>
      </c>
    </row>
    <row r="782" spans="1:24" x14ac:dyDescent="0.2">
      <c r="A782" s="1">
        <v>781</v>
      </c>
      <c r="B782" s="1" t="s">
        <v>852</v>
      </c>
      <c r="C782" s="1" t="s">
        <v>478</v>
      </c>
      <c r="D782" s="1" t="s">
        <v>1125</v>
      </c>
      <c r="E782" s="1">
        <v>11</v>
      </c>
      <c r="F782" s="1">
        <v>667</v>
      </c>
      <c r="G782" s="1">
        <v>1001</v>
      </c>
      <c r="H782" s="1">
        <v>185</v>
      </c>
      <c r="I782" s="1">
        <v>1001</v>
      </c>
      <c r="J782" s="1">
        <v>956</v>
      </c>
      <c r="K782" s="1">
        <v>921</v>
      </c>
      <c r="L782" s="1">
        <v>673</v>
      </c>
      <c r="M782" s="1">
        <v>71.2</v>
      </c>
      <c r="N782" s="1">
        <v>22.351114800000001</v>
      </c>
      <c r="O782" s="1">
        <v>78.667742799999999</v>
      </c>
      <c r="P782" s="14">
        <f t="shared" si="90"/>
        <v>4.5</v>
      </c>
      <c r="Q782" s="13">
        <v>20</v>
      </c>
      <c r="R782" s="16">
        <f t="shared" si="91"/>
        <v>0</v>
      </c>
      <c r="S782" s="14">
        <f t="shared" si="92"/>
        <v>39.273927392739274</v>
      </c>
      <c r="T782" s="13">
        <f t="shared" si="93"/>
        <v>0</v>
      </c>
      <c r="U782" s="14">
        <f t="shared" si="94"/>
        <v>8</v>
      </c>
      <c r="V782" s="14">
        <f t="shared" si="95"/>
        <v>32.800000000000004</v>
      </c>
      <c r="W782" s="1">
        <f t="shared" si="96"/>
        <v>22</v>
      </c>
      <c r="X782" s="1" t="str">
        <f>IF(Table1[[#This Row],[World Rank]]&lt;=250,"Q1-Elite",IF(Table1[[#This Row],[World Rank]]&lt;=500,"Q2-Strong",IF(Table1[[#This Row],[World Rank]]&lt;=750,"Q3-Developing","Q4-Emerging")))</f>
        <v>Q4-Emerging</v>
      </c>
    </row>
    <row r="783" spans="1:24" x14ac:dyDescent="0.2">
      <c r="A783" s="1">
        <v>782</v>
      </c>
      <c r="B783" s="1" t="s">
        <v>853</v>
      </c>
      <c r="C783" s="1" t="s">
        <v>68</v>
      </c>
      <c r="D783" s="1" t="s">
        <v>1124</v>
      </c>
      <c r="E783" s="1">
        <v>50</v>
      </c>
      <c r="F783" s="1">
        <v>667</v>
      </c>
      <c r="G783" s="1">
        <v>997</v>
      </c>
      <c r="H783" s="1">
        <v>304</v>
      </c>
      <c r="I783" s="1">
        <v>911</v>
      </c>
      <c r="J783" s="1">
        <v>786</v>
      </c>
      <c r="K783" s="1">
        <v>660</v>
      </c>
      <c r="L783" s="1">
        <v>541</v>
      </c>
      <c r="M783" s="1">
        <v>71.2</v>
      </c>
      <c r="N783" s="1">
        <v>40.420347900000003</v>
      </c>
      <c r="O783" s="1">
        <v>-79.116698299999996</v>
      </c>
      <c r="P783" s="14">
        <f t="shared" si="90"/>
        <v>21.5</v>
      </c>
      <c r="Q783" s="13">
        <v>20</v>
      </c>
      <c r="R783" s="16">
        <f t="shared" si="91"/>
        <v>0.4</v>
      </c>
      <c r="S783" s="14">
        <f t="shared" si="92"/>
        <v>0</v>
      </c>
      <c r="T783" s="13">
        <f t="shared" si="93"/>
        <v>9</v>
      </c>
      <c r="U783" s="14">
        <f t="shared" si="94"/>
        <v>34.1</v>
      </c>
      <c r="V783" s="14">
        <f t="shared" si="95"/>
        <v>46</v>
      </c>
      <c r="W783" s="1">
        <f t="shared" si="96"/>
        <v>21.9</v>
      </c>
      <c r="X783" s="1" t="str">
        <f>IF(Table1[[#This Row],[World Rank]]&lt;=250,"Q1-Elite",IF(Table1[[#This Row],[World Rank]]&lt;=500,"Q2-Strong",IF(Table1[[#This Row],[World Rank]]&lt;=750,"Q3-Developing","Q4-Emerging")))</f>
        <v>Q4-Emerging</v>
      </c>
    </row>
    <row r="784" spans="1:24" x14ac:dyDescent="0.2">
      <c r="A784" s="1">
        <v>783</v>
      </c>
      <c r="B784" s="1" t="s">
        <v>854</v>
      </c>
      <c r="C784" s="1" t="s">
        <v>855</v>
      </c>
      <c r="D784" s="1" t="s">
        <v>1125</v>
      </c>
      <c r="E784" s="1">
        <v>1</v>
      </c>
      <c r="F784" s="1">
        <v>202</v>
      </c>
      <c r="G784" s="1">
        <v>176</v>
      </c>
      <c r="H784" s="1">
        <v>304</v>
      </c>
      <c r="I784" s="1">
        <v>899</v>
      </c>
      <c r="J784" s="1">
        <v>862</v>
      </c>
      <c r="K784" s="1">
        <v>698</v>
      </c>
      <c r="L784" s="1">
        <v>673</v>
      </c>
      <c r="M784" s="1">
        <v>71.2</v>
      </c>
      <c r="N784" s="1">
        <v>40.375712999999998</v>
      </c>
      <c r="O784" s="1">
        <v>-76.462611800000005</v>
      </c>
      <c r="P784" s="14">
        <f t="shared" si="90"/>
        <v>13.900000000000002</v>
      </c>
      <c r="Q784" s="13">
        <f>((667 - F784) / 666) * 100</f>
        <v>69.819819819819813</v>
      </c>
      <c r="R784" s="16">
        <f t="shared" si="91"/>
        <v>82.5</v>
      </c>
      <c r="S784" s="14">
        <f t="shared" si="92"/>
        <v>0</v>
      </c>
      <c r="T784" s="13">
        <f t="shared" si="93"/>
        <v>10.199999999999999</v>
      </c>
      <c r="U784" s="14">
        <f t="shared" si="94"/>
        <v>30.3</v>
      </c>
      <c r="V784" s="14">
        <f t="shared" si="95"/>
        <v>32.800000000000004</v>
      </c>
      <c r="W784" s="1">
        <f t="shared" si="96"/>
        <v>21.8</v>
      </c>
      <c r="X784" s="1" t="str">
        <f>IF(Table1[[#This Row],[World Rank]]&lt;=250,"Q1-Elite",IF(Table1[[#This Row],[World Rank]]&lt;=500,"Q2-Strong",IF(Table1[[#This Row],[World Rank]]&lt;=750,"Q3-Developing","Q4-Emerging")))</f>
        <v>Q4-Emerging</v>
      </c>
    </row>
    <row r="785" spans="1:24" x14ac:dyDescent="0.2">
      <c r="A785" s="1">
        <v>784</v>
      </c>
      <c r="B785" s="1" t="s">
        <v>856</v>
      </c>
      <c r="C785" s="1" t="s">
        <v>373</v>
      </c>
      <c r="D785" s="1" t="s">
        <v>1125</v>
      </c>
      <c r="E785" s="1">
        <v>4</v>
      </c>
      <c r="F785" s="1">
        <v>667</v>
      </c>
      <c r="G785" s="1">
        <v>122</v>
      </c>
      <c r="H785" s="1">
        <v>304</v>
      </c>
      <c r="I785" s="1">
        <v>743</v>
      </c>
      <c r="J785" s="1">
        <v>899</v>
      </c>
      <c r="K785" s="1">
        <v>1001</v>
      </c>
      <c r="L785" s="1">
        <v>673</v>
      </c>
      <c r="M785" s="1">
        <v>71.2</v>
      </c>
      <c r="N785" s="1">
        <v>25.624261799999999</v>
      </c>
      <c r="O785" s="1">
        <v>42.352832800000002</v>
      </c>
      <c r="P785" s="14">
        <f t="shared" si="90"/>
        <v>10.199999999999999</v>
      </c>
      <c r="Q785" s="13">
        <v>20</v>
      </c>
      <c r="R785" s="16">
        <f t="shared" si="91"/>
        <v>87.9</v>
      </c>
      <c r="S785" s="14">
        <f t="shared" si="92"/>
        <v>0</v>
      </c>
      <c r="T785" s="13">
        <f t="shared" si="93"/>
        <v>25.8</v>
      </c>
      <c r="U785" s="14">
        <f t="shared" si="94"/>
        <v>0</v>
      </c>
      <c r="V785" s="14">
        <f t="shared" si="95"/>
        <v>32.800000000000004</v>
      </c>
      <c r="W785" s="1">
        <f t="shared" si="96"/>
        <v>21.7</v>
      </c>
      <c r="X785" s="1" t="str">
        <f>IF(Table1[[#This Row],[World Rank]]&lt;=250,"Q1-Elite",IF(Table1[[#This Row],[World Rank]]&lt;=500,"Q2-Strong",IF(Table1[[#This Row],[World Rank]]&lt;=750,"Q3-Developing","Q4-Emerging")))</f>
        <v>Q4-Emerging</v>
      </c>
    </row>
    <row r="786" spans="1:24" x14ac:dyDescent="0.2">
      <c r="A786" s="1">
        <v>785</v>
      </c>
      <c r="B786" s="1" t="s">
        <v>857</v>
      </c>
      <c r="C786" s="1" t="s">
        <v>124</v>
      </c>
      <c r="D786" s="1" t="s">
        <v>1125</v>
      </c>
      <c r="E786" s="1">
        <v>75</v>
      </c>
      <c r="F786" s="1">
        <v>667</v>
      </c>
      <c r="G786" s="1">
        <v>1001</v>
      </c>
      <c r="H786" s="1">
        <v>304</v>
      </c>
      <c r="I786" s="1">
        <v>526</v>
      </c>
      <c r="J786" s="1">
        <v>736</v>
      </c>
      <c r="K786" s="1">
        <v>904</v>
      </c>
      <c r="L786" s="1">
        <v>1001</v>
      </c>
      <c r="M786" s="1">
        <v>71.2</v>
      </c>
      <c r="N786" s="1">
        <v>30.047992000000001</v>
      </c>
      <c r="O786" s="1">
        <v>-94.335743300000004</v>
      </c>
      <c r="P786" s="14">
        <f t="shared" si="90"/>
        <v>26.5</v>
      </c>
      <c r="Q786" s="13">
        <v>20</v>
      </c>
      <c r="R786" s="16">
        <f t="shared" si="91"/>
        <v>0</v>
      </c>
      <c r="S786" s="14">
        <f t="shared" si="92"/>
        <v>0</v>
      </c>
      <c r="T786" s="13">
        <f t="shared" si="93"/>
        <v>47.5</v>
      </c>
      <c r="U786" s="14">
        <f t="shared" si="94"/>
        <v>9.7000000000000011</v>
      </c>
      <c r="V786" s="14">
        <f t="shared" si="95"/>
        <v>0</v>
      </c>
      <c r="W786" s="1">
        <f t="shared" si="96"/>
        <v>21.6</v>
      </c>
      <c r="X786" s="1" t="str">
        <f>IF(Table1[[#This Row],[World Rank]]&lt;=250,"Q1-Elite",IF(Table1[[#This Row],[World Rank]]&lt;=500,"Q2-Strong",IF(Table1[[#This Row],[World Rank]]&lt;=750,"Q3-Developing","Q4-Emerging")))</f>
        <v>Q4-Emerging</v>
      </c>
    </row>
    <row r="787" spans="1:24" x14ac:dyDescent="0.2">
      <c r="A787" s="1">
        <v>786</v>
      </c>
      <c r="B787" s="1" t="s">
        <v>858</v>
      </c>
      <c r="C787" s="1" t="s">
        <v>48</v>
      </c>
      <c r="D787" s="1" t="s">
        <v>1124</v>
      </c>
      <c r="E787" s="1">
        <v>44</v>
      </c>
      <c r="F787" s="1">
        <v>667</v>
      </c>
      <c r="G787" s="1">
        <v>1001</v>
      </c>
      <c r="H787" s="1">
        <v>304</v>
      </c>
      <c r="I787" s="1">
        <v>830</v>
      </c>
      <c r="J787" s="1">
        <v>712</v>
      </c>
      <c r="K787" s="1">
        <v>807</v>
      </c>
      <c r="L787" s="1">
        <v>673</v>
      </c>
      <c r="M787" s="1">
        <v>71.2</v>
      </c>
      <c r="N787" s="1">
        <v>46.603354000000003</v>
      </c>
      <c r="O787" s="1">
        <v>1.8883335000000001</v>
      </c>
      <c r="P787" s="14">
        <f t="shared" si="90"/>
        <v>28.9</v>
      </c>
      <c r="Q787" s="13">
        <v>20</v>
      </c>
      <c r="R787" s="16">
        <f t="shared" si="91"/>
        <v>0</v>
      </c>
      <c r="S787" s="14">
        <f t="shared" si="92"/>
        <v>0</v>
      </c>
      <c r="T787" s="13">
        <f t="shared" si="93"/>
        <v>17.100000000000001</v>
      </c>
      <c r="U787" s="14">
        <f t="shared" si="94"/>
        <v>19.400000000000002</v>
      </c>
      <c r="V787" s="14">
        <f t="shared" si="95"/>
        <v>32.800000000000004</v>
      </c>
      <c r="W787" s="1">
        <f t="shared" si="96"/>
        <v>21.5</v>
      </c>
      <c r="X787" s="1" t="str">
        <f>IF(Table1[[#This Row],[World Rank]]&lt;=250,"Q1-Elite",IF(Table1[[#This Row],[World Rank]]&lt;=500,"Q2-Strong",IF(Table1[[#This Row],[World Rank]]&lt;=750,"Q3-Developing","Q4-Emerging")))</f>
        <v>Q4-Emerging</v>
      </c>
    </row>
    <row r="788" spans="1:24" x14ac:dyDescent="0.2">
      <c r="A788" s="1">
        <v>787</v>
      </c>
      <c r="B788" s="1" t="s">
        <v>859</v>
      </c>
      <c r="C788" s="1" t="s">
        <v>126</v>
      </c>
      <c r="D788" s="1" t="s">
        <v>1124</v>
      </c>
      <c r="E788" s="1">
        <v>8</v>
      </c>
      <c r="F788" s="1">
        <v>667</v>
      </c>
      <c r="G788" s="1">
        <v>318</v>
      </c>
      <c r="H788" s="1">
        <v>304</v>
      </c>
      <c r="I788" s="1">
        <v>905</v>
      </c>
      <c r="J788" s="1">
        <v>859</v>
      </c>
      <c r="K788" s="1">
        <v>707</v>
      </c>
      <c r="L788" s="1">
        <v>541</v>
      </c>
      <c r="M788" s="1">
        <v>71.2</v>
      </c>
      <c r="N788" s="1">
        <v>63.246777700000003</v>
      </c>
      <c r="O788" s="1">
        <v>25.920916399999999</v>
      </c>
      <c r="P788" s="14">
        <f t="shared" si="90"/>
        <v>14.2</v>
      </c>
      <c r="Q788" s="13">
        <v>20</v>
      </c>
      <c r="R788" s="16">
        <f t="shared" si="91"/>
        <v>68.300000000000011</v>
      </c>
      <c r="S788" s="14">
        <f t="shared" si="92"/>
        <v>0</v>
      </c>
      <c r="T788" s="13">
        <f t="shared" si="93"/>
        <v>9.6</v>
      </c>
      <c r="U788" s="14">
        <f t="shared" si="94"/>
        <v>29.4</v>
      </c>
      <c r="V788" s="14">
        <f t="shared" si="95"/>
        <v>46</v>
      </c>
      <c r="W788" s="1">
        <f t="shared" si="96"/>
        <v>21.4</v>
      </c>
      <c r="X788" s="1" t="str">
        <f>IF(Table1[[#This Row],[World Rank]]&lt;=250,"Q1-Elite",IF(Table1[[#This Row],[World Rank]]&lt;=500,"Q2-Strong",IF(Table1[[#This Row],[World Rank]]&lt;=750,"Q3-Developing","Q4-Emerging")))</f>
        <v>Q4-Emerging</v>
      </c>
    </row>
    <row r="789" spans="1:24" x14ac:dyDescent="0.2">
      <c r="A789" s="1">
        <v>788</v>
      </c>
      <c r="B789" s="1" t="s">
        <v>860</v>
      </c>
      <c r="C789" s="1" t="s">
        <v>28</v>
      </c>
      <c r="D789" s="1" t="s">
        <v>1125</v>
      </c>
      <c r="E789" s="1">
        <v>32</v>
      </c>
      <c r="F789" s="1">
        <v>667</v>
      </c>
      <c r="G789" s="1">
        <v>1001</v>
      </c>
      <c r="H789" s="1">
        <v>304</v>
      </c>
      <c r="I789" s="1">
        <v>720</v>
      </c>
      <c r="J789" s="1">
        <v>759</v>
      </c>
      <c r="K789" s="1">
        <v>1001</v>
      </c>
      <c r="L789" s="1">
        <v>673</v>
      </c>
      <c r="M789" s="1">
        <v>71.2</v>
      </c>
      <c r="N789" s="1">
        <v>36.5748441</v>
      </c>
      <c r="O789" s="1">
        <v>139.23941790000001</v>
      </c>
      <c r="P789" s="14">
        <f t="shared" si="90"/>
        <v>24.2</v>
      </c>
      <c r="Q789" s="13">
        <v>20</v>
      </c>
      <c r="R789" s="16">
        <f t="shared" si="91"/>
        <v>0</v>
      </c>
      <c r="S789" s="14">
        <f t="shared" si="92"/>
        <v>0</v>
      </c>
      <c r="T789" s="13">
        <f t="shared" si="93"/>
        <v>28.1</v>
      </c>
      <c r="U789" s="14">
        <f t="shared" si="94"/>
        <v>0</v>
      </c>
      <c r="V789" s="14">
        <f t="shared" si="95"/>
        <v>32.800000000000004</v>
      </c>
      <c r="W789" s="1">
        <f t="shared" si="96"/>
        <v>21.3</v>
      </c>
      <c r="X789" s="1" t="str">
        <f>IF(Table1[[#This Row],[World Rank]]&lt;=250,"Q1-Elite",IF(Table1[[#This Row],[World Rank]]&lt;=500,"Q2-Strong",IF(Table1[[#This Row],[World Rank]]&lt;=750,"Q3-Developing","Q4-Emerging")))</f>
        <v>Q4-Emerging</v>
      </c>
    </row>
    <row r="790" spans="1:24" x14ac:dyDescent="0.2">
      <c r="A790" s="1">
        <v>789</v>
      </c>
      <c r="B790" s="1" t="s">
        <v>861</v>
      </c>
      <c r="C790" s="1" t="s">
        <v>591</v>
      </c>
      <c r="D790" s="1" t="s">
        <v>1125</v>
      </c>
      <c r="E790" s="1">
        <v>9</v>
      </c>
      <c r="F790" s="1">
        <v>667</v>
      </c>
      <c r="G790" s="1">
        <v>856</v>
      </c>
      <c r="H790" s="1">
        <v>304</v>
      </c>
      <c r="I790" s="1">
        <v>967</v>
      </c>
      <c r="J790" s="1">
        <v>798</v>
      </c>
      <c r="K790" s="1">
        <v>763</v>
      </c>
      <c r="L790" s="1">
        <v>460</v>
      </c>
      <c r="M790" s="1">
        <v>71.2</v>
      </c>
      <c r="N790" s="1">
        <v>38.959759400000003</v>
      </c>
      <c r="O790" s="1">
        <v>34.924965299999997</v>
      </c>
      <c r="P790" s="14">
        <f t="shared" si="90"/>
        <v>20.3</v>
      </c>
      <c r="Q790" s="13">
        <v>20</v>
      </c>
      <c r="R790" s="16">
        <f t="shared" si="91"/>
        <v>14.499999999999998</v>
      </c>
      <c r="S790" s="14">
        <f t="shared" si="92"/>
        <v>0</v>
      </c>
      <c r="T790" s="13">
        <f t="shared" si="93"/>
        <v>3.4000000000000004</v>
      </c>
      <c r="U790" s="14">
        <f t="shared" si="94"/>
        <v>23.799999999999997</v>
      </c>
      <c r="V790" s="14">
        <f t="shared" si="95"/>
        <v>54.1</v>
      </c>
      <c r="W790" s="1">
        <f t="shared" si="96"/>
        <v>21.2</v>
      </c>
      <c r="X790" s="1" t="str">
        <f>IF(Table1[[#This Row],[World Rank]]&lt;=250,"Q1-Elite",IF(Table1[[#This Row],[World Rank]]&lt;=500,"Q2-Strong",IF(Table1[[#This Row],[World Rank]]&lt;=750,"Q3-Developing","Q4-Emerging")))</f>
        <v>Q4-Emerging</v>
      </c>
    </row>
    <row r="791" spans="1:24" x14ac:dyDescent="0.2">
      <c r="A791" s="1">
        <v>790</v>
      </c>
      <c r="B791" s="1" t="s">
        <v>862</v>
      </c>
      <c r="C791" s="1" t="s">
        <v>266</v>
      </c>
      <c r="D791" s="1" t="s">
        <v>1122</v>
      </c>
      <c r="E791" s="1">
        <v>6</v>
      </c>
      <c r="F791" s="1">
        <v>667</v>
      </c>
      <c r="G791" s="1">
        <v>1001</v>
      </c>
      <c r="H791" s="1">
        <v>304</v>
      </c>
      <c r="I791" s="1">
        <v>785</v>
      </c>
      <c r="J791" s="1">
        <v>896</v>
      </c>
      <c r="K791" s="1">
        <v>781</v>
      </c>
      <c r="L791" s="1">
        <v>541</v>
      </c>
      <c r="M791" s="1">
        <v>71.2</v>
      </c>
      <c r="N791" s="1">
        <v>-28.8166236</v>
      </c>
      <c r="O791" s="1">
        <v>24.991638999999999</v>
      </c>
      <c r="P791" s="14">
        <f t="shared" si="90"/>
        <v>10.5</v>
      </c>
      <c r="Q791" s="13">
        <v>20</v>
      </c>
      <c r="R791" s="16">
        <f t="shared" si="91"/>
        <v>0</v>
      </c>
      <c r="S791" s="14">
        <f t="shared" si="92"/>
        <v>0</v>
      </c>
      <c r="T791" s="13">
        <f t="shared" si="93"/>
        <v>21.6</v>
      </c>
      <c r="U791" s="14">
        <f t="shared" si="94"/>
        <v>22</v>
      </c>
      <c r="V791" s="14">
        <f t="shared" si="95"/>
        <v>46</v>
      </c>
      <c r="W791" s="1">
        <f t="shared" si="96"/>
        <v>21.099999999999998</v>
      </c>
      <c r="X791" s="1" t="str">
        <f>IF(Table1[[#This Row],[World Rank]]&lt;=250,"Q1-Elite",IF(Table1[[#This Row],[World Rank]]&lt;=500,"Q2-Strong",IF(Table1[[#This Row],[World Rank]]&lt;=750,"Q3-Developing","Q4-Emerging")))</f>
        <v>Q4-Emerging</v>
      </c>
    </row>
    <row r="792" spans="1:24" x14ac:dyDescent="0.2">
      <c r="A792" s="1">
        <v>791</v>
      </c>
      <c r="B792" s="1" t="s">
        <v>863</v>
      </c>
      <c r="C792" s="1" t="s">
        <v>376</v>
      </c>
      <c r="D792" s="1" t="s">
        <v>1123</v>
      </c>
      <c r="E792" s="1">
        <v>3</v>
      </c>
      <c r="F792" s="1">
        <v>667</v>
      </c>
      <c r="G792" s="1">
        <v>1001</v>
      </c>
      <c r="H792" s="1">
        <v>304</v>
      </c>
      <c r="I792" s="1">
        <v>687</v>
      </c>
      <c r="J792" s="1">
        <v>746</v>
      </c>
      <c r="K792" s="1">
        <v>586</v>
      </c>
      <c r="L792" s="1">
        <v>1001</v>
      </c>
      <c r="M792" s="1">
        <v>71.2</v>
      </c>
      <c r="N792" s="1">
        <v>-31.761336499999999</v>
      </c>
      <c r="O792" s="1">
        <v>-71.318769700000004</v>
      </c>
      <c r="P792" s="14">
        <f t="shared" si="90"/>
        <v>25.5</v>
      </c>
      <c r="Q792" s="13">
        <v>20</v>
      </c>
      <c r="R792" s="16">
        <f t="shared" si="91"/>
        <v>0</v>
      </c>
      <c r="S792" s="14">
        <f t="shared" si="92"/>
        <v>0</v>
      </c>
      <c r="T792" s="13">
        <f t="shared" si="93"/>
        <v>31.4</v>
      </c>
      <c r="U792" s="14">
        <f t="shared" si="94"/>
        <v>41.5</v>
      </c>
      <c r="V792" s="14">
        <f t="shared" si="95"/>
        <v>0</v>
      </c>
      <c r="W792" s="1">
        <f t="shared" si="96"/>
        <v>21</v>
      </c>
      <c r="X792" s="1" t="str">
        <f>IF(Table1[[#This Row],[World Rank]]&lt;=250,"Q1-Elite",IF(Table1[[#This Row],[World Rank]]&lt;=500,"Q2-Strong",IF(Table1[[#This Row],[World Rank]]&lt;=750,"Q3-Developing","Q4-Emerging")))</f>
        <v>Q4-Emerging</v>
      </c>
    </row>
    <row r="793" spans="1:24" x14ac:dyDescent="0.2">
      <c r="A793" s="1">
        <v>792</v>
      </c>
      <c r="B793" s="1" t="s">
        <v>864</v>
      </c>
      <c r="C793" s="1" t="s">
        <v>124</v>
      </c>
      <c r="D793" s="1" t="s">
        <v>1125</v>
      </c>
      <c r="E793" s="1">
        <v>76</v>
      </c>
      <c r="F793" s="1">
        <v>667</v>
      </c>
      <c r="G793" s="1">
        <v>890</v>
      </c>
      <c r="H793" s="1">
        <v>304</v>
      </c>
      <c r="I793" s="1">
        <v>532</v>
      </c>
      <c r="J793" s="1">
        <v>797</v>
      </c>
      <c r="K793" s="1">
        <v>1001</v>
      </c>
      <c r="L793" s="1">
        <v>898</v>
      </c>
      <c r="M793" s="1">
        <v>71.2</v>
      </c>
      <c r="N793" s="1">
        <v>30.047992000000001</v>
      </c>
      <c r="O793" s="1">
        <v>-94.335743300000004</v>
      </c>
      <c r="P793" s="14">
        <f t="shared" si="90"/>
        <v>20.399999999999999</v>
      </c>
      <c r="Q793" s="13">
        <v>20</v>
      </c>
      <c r="R793" s="16">
        <f t="shared" si="91"/>
        <v>11.1</v>
      </c>
      <c r="S793" s="14">
        <f t="shared" si="92"/>
        <v>0</v>
      </c>
      <c r="T793" s="13">
        <f t="shared" si="93"/>
        <v>46.9</v>
      </c>
      <c r="U793" s="14">
        <f t="shared" si="94"/>
        <v>0</v>
      </c>
      <c r="V793" s="14">
        <f t="shared" si="95"/>
        <v>10.299999999999999</v>
      </c>
      <c r="W793" s="1">
        <f t="shared" si="96"/>
        <v>20.9</v>
      </c>
      <c r="X793" s="1" t="str">
        <f>IF(Table1[[#This Row],[World Rank]]&lt;=250,"Q1-Elite",IF(Table1[[#This Row],[World Rank]]&lt;=500,"Q2-Strong",IF(Table1[[#This Row],[World Rank]]&lt;=750,"Q3-Developing","Q4-Emerging")))</f>
        <v>Q4-Emerging</v>
      </c>
    </row>
    <row r="794" spans="1:24" x14ac:dyDescent="0.2">
      <c r="A794" s="1">
        <v>793</v>
      </c>
      <c r="B794" s="1" t="s">
        <v>865</v>
      </c>
      <c r="C794" s="1" t="s">
        <v>533</v>
      </c>
      <c r="D794" s="1" t="s">
        <v>1125</v>
      </c>
      <c r="E794" s="1">
        <v>3</v>
      </c>
      <c r="F794" s="1">
        <v>667</v>
      </c>
      <c r="G794" s="1">
        <v>1001</v>
      </c>
      <c r="H794" s="1">
        <v>304</v>
      </c>
      <c r="I794" s="1">
        <v>718</v>
      </c>
      <c r="J794" s="1">
        <v>877</v>
      </c>
      <c r="K794" s="1">
        <v>793</v>
      </c>
      <c r="L794" s="1">
        <v>673</v>
      </c>
      <c r="M794" s="1">
        <v>71.2</v>
      </c>
      <c r="N794" s="1">
        <v>13.03876215</v>
      </c>
      <c r="O794" s="2" t="s">
        <v>534</v>
      </c>
      <c r="P794" s="14">
        <f t="shared" si="90"/>
        <v>12.4</v>
      </c>
      <c r="Q794" s="13">
        <v>20</v>
      </c>
      <c r="R794" s="16">
        <f t="shared" si="91"/>
        <v>0</v>
      </c>
      <c r="S794" s="14">
        <f t="shared" si="92"/>
        <v>0</v>
      </c>
      <c r="T794" s="13">
        <f t="shared" si="93"/>
        <v>28.299999999999997</v>
      </c>
      <c r="U794" s="14">
        <f t="shared" si="94"/>
        <v>20.8</v>
      </c>
      <c r="V794" s="14">
        <f t="shared" si="95"/>
        <v>32.800000000000004</v>
      </c>
      <c r="W794" s="1">
        <f t="shared" si="96"/>
        <v>20.8</v>
      </c>
      <c r="X794" s="1" t="str">
        <f>IF(Table1[[#This Row],[World Rank]]&lt;=250,"Q1-Elite",IF(Table1[[#This Row],[World Rank]]&lt;=500,"Q2-Strong",IF(Table1[[#This Row],[World Rank]]&lt;=750,"Q3-Developing","Q4-Emerging")))</f>
        <v>Q4-Emerging</v>
      </c>
    </row>
    <row r="795" spans="1:24" x14ac:dyDescent="0.2">
      <c r="A795" s="1">
        <v>794</v>
      </c>
      <c r="B795" s="1" t="s">
        <v>866</v>
      </c>
      <c r="C795" s="1" t="s">
        <v>85</v>
      </c>
      <c r="D795" s="1" t="s">
        <v>1125</v>
      </c>
      <c r="E795" s="1">
        <v>26</v>
      </c>
      <c r="F795" s="1">
        <v>667</v>
      </c>
      <c r="G795" s="1">
        <v>467</v>
      </c>
      <c r="H795" s="1">
        <v>304</v>
      </c>
      <c r="I795" s="1">
        <v>530</v>
      </c>
      <c r="J795" s="1">
        <v>693</v>
      </c>
      <c r="K795" s="1">
        <v>1001</v>
      </c>
      <c r="L795" s="1">
        <v>1001</v>
      </c>
      <c r="M795" s="1">
        <v>71.2</v>
      </c>
      <c r="N795" s="1">
        <v>36.638392000000003</v>
      </c>
      <c r="O795" s="1">
        <v>127.69611879999999</v>
      </c>
      <c r="P795" s="14">
        <f t="shared" si="90"/>
        <v>30.8</v>
      </c>
      <c r="Q795" s="13">
        <v>20</v>
      </c>
      <c r="R795" s="16">
        <f t="shared" si="91"/>
        <v>53.400000000000006</v>
      </c>
      <c r="S795" s="14">
        <f t="shared" si="92"/>
        <v>0</v>
      </c>
      <c r="T795" s="13">
        <f t="shared" si="93"/>
        <v>47.099999999999994</v>
      </c>
      <c r="U795" s="14">
        <f t="shared" si="94"/>
        <v>0</v>
      </c>
      <c r="V795" s="14">
        <f t="shared" si="95"/>
        <v>0</v>
      </c>
      <c r="W795" s="1">
        <f t="shared" si="96"/>
        <v>20.7</v>
      </c>
      <c r="X795" s="1" t="str">
        <f>IF(Table1[[#This Row],[World Rank]]&lt;=250,"Q1-Elite",IF(Table1[[#This Row],[World Rank]]&lt;=500,"Q2-Strong",IF(Table1[[#This Row],[World Rank]]&lt;=750,"Q3-Developing","Q4-Emerging")))</f>
        <v>Q4-Emerging</v>
      </c>
    </row>
    <row r="796" spans="1:24" x14ac:dyDescent="0.2">
      <c r="A796" s="1">
        <v>795</v>
      </c>
      <c r="B796" s="1" t="s">
        <v>867</v>
      </c>
      <c r="C796" s="1" t="s">
        <v>93</v>
      </c>
      <c r="D796" s="1" t="s">
        <v>1124</v>
      </c>
      <c r="E796" s="1">
        <v>41</v>
      </c>
      <c r="F796" s="1">
        <v>667</v>
      </c>
      <c r="G796" s="1">
        <v>1001</v>
      </c>
      <c r="H796" s="1">
        <v>304</v>
      </c>
      <c r="I796" s="1">
        <v>775</v>
      </c>
      <c r="J796" s="1">
        <v>732</v>
      </c>
      <c r="K796" s="1">
        <v>722</v>
      </c>
      <c r="L796" s="1">
        <v>898</v>
      </c>
      <c r="M796" s="1">
        <v>71.099999999999994</v>
      </c>
      <c r="N796" s="1">
        <v>42.638426099999997</v>
      </c>
      <c r="O796" s="1">
        <v>12.674296999999999</v>
      </c>
      <c r="P796" s="14">
        <f t="shared" si="90"/>
        <v>26.900000000000002</v>
      </c>
      <c r="Q796" s="13">
        <v>20</v>
      </c>
      <c r="R796" s="16">
        <f t="shared" si="91"/>
        <v>0</v>
      </c>
      <c r="S796" s="14">
        <f t="shared" si="92"/>
        <v>0</v>
      </c>
      <c r="T796" s="13">
        <f t="shared" si="93"/>
        <v>22.6</v>
      </c>
      <c r="U796" s="14">
        <f t="shared" si="94"/>
        <v>27.900000000000002</v>
      </c>
      <c r="V796" s="14">
        <f t="shared" si="95"/>
        <v>10.299999999999999</v>
      </c>
      <c r="W796" s="1">
        <f t="shared" si="96"/>
        <v>20.599999999999998</v>
      </c>
      <c r="X796" s="1" t="str">
        <f>IF(Table1[[#This Row],[World Rank]]&lt;=250,"Q1-Elite",IF(Table1[[#This Row],[World Rank]]&lt;=500,"Q2-Strong",IF(Table1[[#This Row],[World Rank]]&lt;=750,"Q3-Developing","Q4-Emerging")))</f>
        <v>Q4-Emerging</v>
      </c>
    </row>
    <row r="797" spans="1:24" x14ac:dyDescent="0.2">
      <c r="A797" s="1">
        <v>796</v>
      </c>
      <c r="B797" s="1" t="s">
        <v>868</v>
      </c>
      <c r="C797" s="1" t="s">
        <v>145</v>
      </c>
      <c r="D797" s="1" t="s">
        <v>1125</v>
      </c>
      <c r="E797" s="1">
        <v>13</v>
      </c>
      <c r="F797" s="1">
        <v>667</v>
      </c>
      <c r="G797" s="1">
        <v>1001</v>
      </c>
      <c r="H797" s="1">
        <v>304</v>
      </c>
      <c r="I797" s="1">
        <v>577</v>
      </c>
      <c r="J797" s="1">
        <v>616</v>
      </c>
      <c r="K797" s="1">
        <v>1001</v>
      </c>
      <c r="L797" s="1">
        <v>1001</v>
      </c>
      <c r="M797" s="1">
        <v>71.099999999999994</v>
      </c>
      <c r="N797" s="1">
        <v>23.598322700000001</v>
      </c>
      <c r="O797" s="2" t="s">
        <v>146</v>
      </c>
      <c r="P797" s="14">
        <f t="shared" si="90"/>
        <v>38.5</v>
      </c>
      <c r="Q797" s="13">
        <v>20</v>
      </c>
      <c r="R797" s="16">
        <f t="shared" si="91"/>
        <v>0</v>
      </c>
      <c r="S797" s="14">
        <f t="shared" si="92"/>
        <v>0</v>
      </c>
      <c r="T797" s="13">
        <f t="shared" si="93"/>
        <v>42.4</v>
      </c>
      <c r="U797" s="14">
        <f t="shared" si="94"/>
        <v>0</v>
      </c>
      <c r="V797" s="14">
        <f t="shared" si="95"/>
        <v>0</v>
      </c>
      <c r="W797" s="1">
        <f t="shared" si="96"/>
        <v>20.5</v>
      </c>
      <c r="X797" s="1" t="str">
        <f>IF(Table1[[#This Row],[World Rank]]&lt;=250,"Q1-Elite",IF(Table1[[#This Row],[World Rank]]&lt;=500,"Q2-Strong",IF(Table1[[#This Row],[World Rank]]&lt;=750,"Q3-Developing","Q4-Emerging")))</f>
        <v>Q4-Emerging</v>
      </c>
    </row>
    <row r="798" spans="1:24" x14ac:dyDescent="0.2">
      <c r="A798" s="1">
        <v>797</v>
      </c>
      <c r="B798" s="1" t="s">
        <v>869</v>
      </c>
      <c r="C798" s="1" t="s">
        <v>28</v>
      </c>
      <c r="D798" s="1" t="s">
        <v>1125</v>
      </c>
      <c r="E798" s="1">
        <v>33</v>
      </c>
      <c r="F798" s="1">
        <v>143</v>
      </c>
      <c r="G798" s="1">
        <v>1001</v>
      </c>
      <c r="H798" s="1">
        <v>304</v>
      </c>
      <c r="I798" s="1">
        <v>736</v>
      </c>
      <c r="J798" s="1">
        <v>764</v>
      </c>
      <c r="K798" s="1">
        <v>578</v>
      </c>
      <c r="L798" s="1">
        <v>1001</v>
      </c>
      <c r="M798" s="1">
        <v>71.099999999999994</v>
      </c>
      <c r="N798" s="1">
        <v>36.5748441</v>
      </c>
      <c r="O798" s="1">
        <v>139.23941790000001</v>
      </c>
      <c r="P798" s="14">
        <f t="shared" si="90"/>
        <v>23.7</v>
      </c>
      <c r="Q798" s="13">
        <f>((667 - F798) / 666) * 100</f>
        <v>78.678678678678679</v>
      </c>
      <c r="R798" s="16">
        <f t="shared" si="91"/>
        <v>0</v>
      </c>
      <c r="S798" s="14">
        <f t="shared" si="92"/>
        <v>0</v>
      </c>
      <c r="T798" s="13">
        <f t="shared" si="93"/>
        <v>26.5</v>
      </c>
      <c r="U798" s="14">
        <f t="shared" si="94"/>
        <v>42.3</v>
      </c>
      <c r="V798" s="14">
        <f t="shared" si="95"/>
        <v>0</v>
      </c>
      <c r="W798" s="1">
        <f t="shared" si="96"/>
        <v>20.399999999999999</v>
      </c>
      <c r="X798" s="1" t="str">
        <f>IF(Table1[[#This Row],[World Rank]]&lt;=250,"Q1-Elite",IF(Table1[[#This Row],[World Rank]]&lt;=500,"Q2-Strong",IF(Table1[[#This Row],[World Rank]]&lt;=750,"Q3-Developing","Q4-Emerging")))</f>
        <v>Q4-Emerging</v>
      </c>
    </row>
    <row r="799" spans="1:24" x14ac:dyDescent="0.2">
      <c r="A799" s="1">
        <v>798</v>
      </c>
      <c r="B799" s="1" t="s">
        <v>870</v>
      </c>
      <c r="C799" s="1" t="s">
        <v>478</v>
      </c>
      <c r="D799" s="1" t="s">
        <v>1125</v>
      </c>
      <c r="E799" s="1">
        <v>12</v>
      </c>
      <c r="F799" s="1">
        <v>268</v>
      </c>
      <c r="G799" s="1">
        <v>707</v>
      </c>
      <c r="H799" s="1">
        <v>304</v>
      </c>
      <c r="I799" s="1">
        <v>625</v>
      </c>
      <c r="J799" s="1">
        <v>609</v>
      </c>
      <c r="K799" s="1">
        <v>1001</v>
      </c>
      <c r="L799" s="1">
        <v>1001</v>
      </c>
      <c r="M799" s="1">
        <v>71.099999999999994</v>
      </c>
      <c r="N799" s="1">
        <v>22.351114800000001</v>
      </c>
      <c r="O799" s="1">
        <v>78.667742799999999</v>
      </c>
      <c r="P799" s="14">
        <f t="shared" si="90"/>
        <v>39.200000000000003</v>
      </c>
      <c r="Q799" s="13">
        <f>((667 - F799) / 666) * 100</f>
        <v>59.909909909909906</v>
      </c>
      <c r="R799" s="16">
        <f t="shared" si="91"/>
        <v>29.4</v>
      </c>
      <c r="S799" s="14">
        <f t="shared" si="92"/>
        <v>0</v>
      </c>
      <c r="T799" s="13">
        <f t="shared" si="93"/>
        <v>37.6</v>
      </c>
      <c r="U799" s="14">
        <f t="shared" si="94"/>
        <v>0</v>
      </c>
      <c r="V799" s="14">
        <f t="shared" si="95"/>
        <v>0</v>
      </c>
      <c r="W799" s="1">
        <f t="shared" si="96"/>
        <v>20.3</v>
      </c>
      <c r="X799" s="1" t="str">
        <f>IF(Table1[[#This Row],[World Rank]]&lt;=250,"Q1-Elite",IF(Table1[[#This Row],[World Rank]]&lt;=500,"Q2-Strong",IF(Table1[[#This Row],[World Rank]]&lt;=750,"Q3-Developing","Q4-Emerging")))</f>
        <v>Q4-Emerging</v>
      </c>
    </row>
    <row r="800" spans="1:24" x14ac:dyDescent="0.2">
      <c r="A800" s="1">
        <v>799</v>
      </c>
      <c r="B800" s="1" t="s">
        <v>871</v>
      </c>
      <c r="C800" s="1" t="s">
        <v>872</v>
      </c>
      <c r="D800" s="1" t="s">
        <v>1125</v>
      </c>
      <c r="E800" s="1">
        <v>1</v>
      </c>
      <c r="F800" s="1">
        <v>667</v>
      </c>
      <c r="G800" s="1">
        <v>1001</v>
      </c>
      <c r="H800" s="1">
        <v>304</v>
      </c>
      <c r="I800" s="1">
        <v>643</v>
      </c>
      <c r="J800" s="1">
        <v>924</v>
      </c>
      <c r="K800" s="1">
        <v>1001</v>
      </c>
      <c r="L800" s="1">
        <v>541</v>
      </c>
      <c r="M800" s="1">
        <v>71.099999999999994</v>
      </c>
      <c r="N800" s="1">
        <v>30.3308401</v>
      </c>
      <c r="O800" s="1">
        <v>71.247499000000005</v>
      </c>
      <c r="P800" s="14">
        <f t="shared" si="90"/>
        <v>7.7</v>
      </c>
      <c r="Q800" s="13">
        <v>20</v>
      </c>
      <c r="R800" s="16">
        <f t="shared" si="91"/>
        <v>0</v>
      </c>
      <c r="S800" s="14">
        <f t="shared" si="92"/>
        <v>0</v>
      </c>
      <c r="T800" s="13">
        <f t="shared" si="93"/>
        <v>35.799999999999997</v>
      </c>
      <c r="U800" s="14">
        <f t="shared" si="94"/>
        <v>0</v>
      </c>
      <c r="V800" s="14">
        <f t="shared" si="95"/>
        <v>46</v>
      </c>
      <c r="W800" s="1">
        <f t="shared" si="96"/>
        <v>20.200000000000003</v>
      </c>
      <c r="X800" s="1" t="str">
        <f>IF(Table1[[#This Row],[World Rank]]&lt;=250,"Q1-Elite",IF(Table1[[#This Row],[World Rank]]&lt;=500,"Q2-Strong",IF(Table1[[#This Row],[World Rank]]&lt;=750,"Q3-Developing","Q4-Emerging")))</f>
        <v>Q4-Emerging</v>
      </c>
    </row>
    <row r="801" spans="1:24" x14ac:dyDescent="0.2">
      <c r="A801" s="1">
        <v>800</v>
      </c>
      <c r="B801" s="1" t="s">
        <v>873</v>
      </c>
      <c r="C801" s="1" t="s">
        <v>124</v>
      </c>
      <c r="D801" s="1" t="s">
        <v>1125</v>
      </c>
      <c r="E801" s="1">
        <v>77</v>
      </c>
      <c r="F801" s="1">
        <v>667</v>
      </c>
      <c r="G801" s="1">
        <v>1001</v>
      </c>
      <c r="H801" s="1">
        <v>304</v>
      </c>
      <c r="I801" s="1">
        <v>663</v>
      </c>
      <c r="J801" s="1">
        <v>638</v>
      </c>
      <c r="K801" s="1">
        <v>913</v>
      </c>
      <c r="L801" s="1">
        <v>1001</v>
      </c>
      <c r="M801" s="1">
        <v>71.099999999999994</v>
      </c>
      <c r="N801" s="1">
        <v>30.047992000000001</v>
      </c>
      <c r="O801" s="1">
        <v>-94.335743300000004</v>
      </c>
      <c r="P801" s="14">
        <f t="shared" si="90"/>
        <v>36.299999999999997</v>
      </c>
      <c r="Q801" s="13">
        <v>20</v>
      </c>
      <c r="R801" s="16">
        <f t="shared" si="91"/>
        <v>0</v>
      </c>
      <c r="S801" s="14">
        <f t="shared" si="92"/>
        <v>0</v>
      </c>
      <c r="T801" s="13">
        <f t="shared" si="93"/>
        <v>33.800000000000004</v>
      </c>
      <c r="U801" s="14">
        <f t="shared" si="94"/>
        <v>8.7999999999999989</v>
      </c>
      <c r="V801" s="14">
        <f t="shared" si="95"/>
        <v>0</v>
      </c>
      <c r="W801" s="1">
        <f t="shared" si="96"/>
        <v>20.100000000000001</v>
      </c>
      <c r="X801" s="1" t="str">
        <f>IF(Table1[[#This Row],[World Rank]]&lt;=250,"Q1-Elite",IF(Table1[[#This Row],[World Rank]]&lt;=500,"Q2-Strong",IF(Table1[[#This Row],[World Rank]]&lt;=750,"Q3-Developing","Q4-Emerging")))</f>
        <v>Q4-Emerging</v>
      </c>
    </row>
    <row r="802" spans="1:24" x14ac:dyDescent="0.2">
      <c r="A802" s="1">
        <v>801</v>
      </c>
      <c r="B802" s="1" t="s">
        <v>874</v>
      </c>
      <c r="C802" s="1" t="s">
        <v>34</v>
      </c>
      <c r="D802" s="1" t="s">
        <v>1120</v>
      </c>
      <c r="E802" s="1">
        <v>25</v>
      </c>
      <c r="F802" s="1">
        <v>667</v>
      </c>
      <c r="G802" s="1">
        <v>1001</v>
      </c>
      <c r="H802" s="1">
        <v>304</v>
      </c>
      <c r="I802" s="1">
        <v>783</v>
      </c>
      <c r="J802" s="1">
        <v>752</v>
      </c>
      <c r="K802" s="1">
        <v>1001</v>
      </c>
      <c r="L802" s="1">
        <v>541</v>
      </c>
      <c r="M802" s="1">
        <v>71.099999999999994</v>
      </c>
      <c r="N802" s="1">
        <v>61.066692199999999</v>
      </c>
      <c r="O802" s="1">
        <v>-107.99170700000001</v>
      </c>
      <c r="P802" s="14">
        <f t="shared" si="90"/>
        <v>24.9</v>
      </c>
      <c r="Q802" s="13">
        <v>20</v>
      </c>
      <c r="R802" s="16">
        <f t="shared" si="91"/>
        <v>0</v>
      </c>
      <c r="S802" s="14">
        <f t="shared" si="92"/>
        <v>0</v>
      </c>
      <c r="T802" s="13">
        <f t="shared" si="93"/>
        <v>21.8</v>
      </c>
      <c r="U802" s="14">
        <f t="shared" si="94"/>
        <v>0</v>
      </c>
      <c r="V802" s="14">
        <f t="shared" si="95"/>
        <v>46</v>
      </c>
      <c r="W802" s="1">
        <f t="shared" si="96"/>
        <v>20</v>
      </c>
      <c r="X802" s="1" t="str">
        <f>IF(Table1[[#This Row],[World Rank]]&lt;=250,"Q1-Elite",IF(Table1[[#This Row],[World Rank]]&lt;=500,"Q2-Strong",IF(Table1[[#This Row],[World Rank]]&lt;=750,"Q3-Developing","Q4-Emerging")))</f>
        <v>Q4-Emerging</v>
      </c>
    </row>
    <row r="803" spans="1:24" x14ac:dyDescent="0.2">
      <c r="A803" s="1">
        <v>802</v>
      </c>
      <c r="B803" s="1" t="s">
        <v>875</v>
      </c>
      <c r="C803" s="1" t="s">
        <v>876</v>
      </c>
      <c r="D803" s="1" t="s">
        <v>1124</v>
      </c>
      <c r="E803" s="1">
        <v>1</v>
      </c>
      <c r="F803" s="1">
        <v>667</v>
      </c>
      <c r="G803" s="1">
        <v>1001</v>
      </c>
      <c r="H803" s="1">
        <v>304</v>
      </c>
      <c r="I803" s="1">
        <v>645</v>
      </c>
      <c r="J803" s="1">
        <v>909</v>
      </c>
      <c r="K803" s="1">
        <v>989</v>
      </c>
      <c r="L803" s="1">
        <v>673</v>
      </c>
      <c r="M803" s="1">
        <v>71.099999999999994</v>
      </c>
      <c r="N803" s="1">
        <v>45.985212900000001</v>
      </c>
      <c r="O803" s="1">
        <v>24.6859225</v>
      </c>
      <c r="P803" s="14">
        <f t="shared" si="90"/>
        <v>9.1999999999999993</v>
      </c>
      <c r="Q803" s="13">
        <v>20</v>
      </c>
      <c r="R803" s="16">
        <f t="shared" si="91"/>
        <v>0</v>
      </c>
      <c r="S803" s="14">
        <f t="shared" si="92"/>
        <v>0</v>
      </c>
      <c r="T803" s="13">
        <f t="shared" si="93"/>
        <v>35.6</v>
      </c>
      <c r="U803" s="14">
        <f t="shared" si="94"/>
        <v>1.2</v>
      </c>
      <c r="V803" s="14">
        <f t="shared" si="95"/>
        <v>32.800000000000004</v>
      </c>
      <c r="W803" s="1">
        <f t="shared" si="96"/>
        <v>19.900000000000002</v>
      </c>
      <c r="X803" s="1" t="str">
        <f>IF(Table1[[#This Row],[World Rank]]&lt;=250,"Q1-Elite",IF(Table1[[#This Row],[World Rank]]&lt;=500,"Q2-Strong",IF(Table1[[#This Row],[World Rank]]&lt;=750,"Q3-Developing","Q4-Emerging")))</f>
        <v>Q4-Emerging</v>
      </c>
    </row>
    <row r="804" spans="1:24" x14ac:dyDescent="0.2">
      <c r="A804" s="1">
        <v>803</v>
      </c>
      <c r="B804" s="1" t="s">
        <v>877</v>
      </c>
      <c r="C804" s="1" t="s">
        <v>15</v>
      </c>
      <c r="D804" s="1" t="s">
        <v>1120</v>
      </c>
      <c r="E804" s="1">
        <v>186</v>
      </c>
      <c r="F804" s="1">
        <v>441</v>
      </c>
      <c r="G804" s="1">
        <v>353</v>
      </c>
      <c r="H804" s="1">
        <v>304</v>
      </c>
      <c r="I804" s="1">
        <v>809</v>
      </c>
      <c r="J804" s="1">
        <v>680</v>
      </c>
      <c r="K804" s="1">
        <v>591</v>
      </c>
      <c r="L804" s="1">
        <v>1001</v>
      </c>
      <c r="M804" s="1">
        <v>71.099999999999994</v>
      </c>
      <c r="N804" s="1">
        <v>39.783730400000003</v>
      </c>
      <c r="O804" s="1">
        <v>-100.445882</v>
      </c>
      <c r="P804" s="14">
        <f t="shared" si="90"/>
        <v>32.1</v>
      </c>
      <c r="Q804" s="13">
        <f>((667 - F804) / 666) * 100</f>
        <v>33.933933933933936</v>
      </c>
      <c r="R804" s="16">
        <f t="shared" si="91"/>
        <v>64.8</v>
      </c>
      <c r="S804" s="14">
        <f t="shared" si="92"/>
        <v>0</v>
      </c>
      <c r="T804" s="13">
        <f t="shared" si="93"/>
        <v>19.2</v>
      </c>
      <c r="U804" s="14">
        <f t="shared" si="94"/>
        <v>41</v>
      </c>
      <c r="V804" s="14">
        <f t="shared" si="95"/>
        <v>0</v>
      </c>
      <c r="W804" s="1">
        <f t="shared" si="96"/>
        <v>19.8</v>
      </c>
      <c r="X804" s="1" t="str">
        <f>IF(Table1[[#This Row],[World Rank]]&lt;=250,"Q1-Elite",IF(Table1[[#This Row],[World Rank]]&lt;=500,"Q2-Strong",IF(Table1[[#This Row],[World Rank]]&lt;=750,"Q3-Developing","Q4-Emerging")))</f>
        <v>Q4-Emerging</v>
      </c>
    </row>
    <row r="805" spans="1:24" x14ac:dyDescent="0.2">
      <c r="A805" s="1">
        <v>804</v>
      </c>
      <c r="B805" s="1" t="s">
        <v>878</v>
      </c>
      <c r="C805" s="1" t="s">
        <v>124</v>
      </c>
      <c r="D805" s="1" t="s">
        <v>1125</v>
      </c>
      <c r="E805" s="1">
        <v>78</v>
      </c>
      <c r="F805" s="1">
        <v>667</v>
      </c>
      <c r="G805" s="1">
        <v>1001</v>
      </c>
      <c r="H805" s="1">
        <v>304</v>
      </c>
      <c r="I805" s="1">
        <v>650</v>
      </c>
      <c r="J805" s="1">
        <v>744</v>
      </c>
      <c r="K805" s="1">
        <v>1001</v>
      </c>
      <c r="L805" s="1">
        <v>898</v>
      </c>
      <c r="M805" s="1">
        <v>71.099999999999994</v>
      </c>
      <c r="N805" s="1">
        <v>30.047992000000001</v>
      </c>
      <c r="O805" s="1">
        <v>-94.335743300000004</v>
      </c>
      <c r="P805" s="14">
        <f t="shared" si="90"/>
        <v>25.7</v>
      </c>
      <c r="Q805" s="13">
        <v>20</v>
      </c>
      <c r="R805" s="16">
        <f t="shared" si="91"/>
        <v>0</v>
      </c>
      <c r="S805" s="14">
        <f t="shared" si="92"/>
        <v>0</v>
      </c>
      <c r="T805" s="13">
        <f t="shared" si="93"/>
        <v>35.099999999999994</v>
      </c>
      <c r="U805" s="14">
        <f t="shared" si="94"/>
        <v>0</v>
      </c>
      <c r="V805" s="14">
        <f t="shared" si="95"/>
        <v>10.299999999999999</v>
      </c>
      <c r="W805" s="1">
        <f t="shared" si="96"/>
        <v>19.7</v>
      </c>
      <c r="X805" s="1" t="str">
        <f>IF(Table1[[#This Row],[World Rank]]&lt;=250,"Q1-Elite",IF(Table1[[#This Row],[World Rank]]&lt;=500,"Q2-Strong",IF(Table1[[#This Row],[World Rank]]&lt;=750,"Q3-Developing","Q4-Emerging")))</f>
        <v>Q4-Emerging</v>
      </c>
    </row>
    <row r="806" spans="1:24" x14ac:dyDescent="0.2">
      <c r="A806" s="1">
        <v>805</v>
      </c>
      <c r="B806" s="1" t="s">
        <v>879</v>
      </c>
      <c r="C806" s="1" t="s">
        <v>48</v>
      </c>
      <c r="D806" s="1" t="s">
        <v>1124</v>
      </c>
      <c r="E806" s="1">
        <v>45</v>
      </c>
      <c r="F806" s="1">
        <v>424</v>
      </c>
      <c r="G806" s="1">
        <v>1001</v>
      </c>
      <c r="H806" s="1">
        <v>304</v>
      </c>
      <c r="I806" s="1">
        <v>797</v>
      </c>
      <c r="J806" s="1">
        <v>689</v>
      </c>
      <c r="K806" s="1">
        <v>541</v>
      </c>
      <c r="L806" s="1">
        <v>1001</v>
      </c>
      <c r="M806" s="1">
        <v>71.099999999999994</v>
      </c>
      <c r="N806" s="1">
        <v>46.603354000000003</v>
      </c>
      <c r="O806" s="1">
        <v>1.8883335000000001</v>
      </c>
      <c r="P806" s="14">
        <f t="shared" si="90"/>
        <v>31.2</v>
      </c>
      <c r="Q806" s="13">
        <f>((667 - F806) / 666) * 100</f>
        <v>36.486486486486484</v>
      </c>
      <c r="R806" s="16">
        <f t="shared" si="91"/>
        <v>0</v>
      </c>
      <c r="S806" s="14">
        <f t="shared" si="92"/>
        <v>0</v>
      </c>
      <c r="T806" s="13">
        <f t="shared" si="93"/>
        <v>20.399999999999999</v>
      </c>
      <c r="U806" s="14">
        <f t="shared" si="94"/>
        <v>46</v>
      </c>
      <c r="V806" s="14">
        <f t="shared" si="95"/>
        <v>0</v>
      </c>
      <c r="W806" s="1">
        <f t="shared" si="96"/>
        <v>19.600000000000001</v>
      </c>
      <c r="X806" s="1" t="str">
        <f>IF(Table1[[#This Row],[World Rank]]&lt;=250,"Q1-Elite",IF(Table1[[#This Row],[World Rank]]&lt;=500,"Q2-Strong",IF(Table1[[#This Row],[World Rank]]&lt;=750,"Q3-Developing","Q4-Emerging")))</f>
        <v>Q4-Emerging</v>
      </c>
    </row>
    <row r="807" spans="1:24" x14ac:dyDescent="0.2">
      <c r="A807" s="1">
        <v>806</v>
      </c>
      <c r="B807" s="1" t="s">
        <v>880</v>
      </c>
      <c r="C807" s="1" t="s">
        <v>836</v>
      </c>
      <c r="D807" s="1" t="s">
        <v>1123</v>
      </c>
      <c r="E807" s="1">
        <v>2</v>
      </c>
      <c r="F807" s="1">
        <v>667</v>
      </c>
      <c r="G807" s="1">
        <v>410</v>
      </c>
      <c r="H807" s="1">
        <v>304</v>
      </c>
      <c r="I807" s="1">
        <v>1001</v>
      </c>
      <c r="J807" s="1">
        <v>897</v>
      </c>
      <c r="K807" s="1">
        <v>543</v>
      </c>
      <c r="L807" s="1">
        <v>541</v>
      </c>
      <c r="M807" s="1">
        <v>71.099999999999994</v>
      </c>
      <c r="N807" s="1">
        <v>4.0999169999999996</v>
      </c>
      <c r="O807" s="1">
        <v>-72.908813300000006</v>
      </c>
      <c r="P807" s="14">
        <f t="shared" si="90"/>
        <v>10.4</v>
      </c>
      <c r="Q807" s="13">
        <v>20</v>
      </c>
      <c r="R807" s="16">
        <f t="shared" si="91"/>
        <v>59.099999999999994</v>
      </c>
      <c r="S807" s="14">
        <f t="shared" si="92"/>
        <v>0</v>
      </c>
      <c r="T807" s="13">
        <f t="shared" si="93"/>
        <v>0</v>
      </c>
      <c r="U807" s="14">
        <f t="shared" si="94"/>
        <v>45.800000000000004</v>
      </c>
      <c r="V807" s="14">
        <f t="shared" si="95"/>
        <v>46</v>
      </c>
      <c r="W807" s="1">
        <f t="shared" si="96"/>
        <v>19.5</v>
      </c>
      <c r="X807" s="1" t="str">
        <f>IF(Table1[[#This Row],[World Rank]]&lt;=250,"Q1-Elite",IF(Table1[[#This Row],[World Rank]]&lt;=500,"Q2-Strong",IF(Table1[[#This Row],[World Rank]]&lt;=750,"Q3-Developing","Q4-Emerging")))</f>
        <v>Q4-Emerging</v>
      </c>
    </row>
    <row r="808" spans="1:24" x14ac:dyDescent="0.2">
      <c r="A808" s="1">
        <v>807</v>
      </c>
      <c r="B808" s="1" t="s">
        <v>881</v>
      </c>
      <c r="C808" s="1" t="s">
        <v>478</v>
      </c>
      <c r="D808" s="1" t="s">
        <v>1125</v>
      </c>
      <c r="E808" s="1">
        <v>13</v>
      </c>
      <c r="F808" s="1">
        <v>620</v>
      </c>
      <c r="G808" s="1">
        <v>566</v>
      </c>
      <c r="H808" s="1">
        <v>304</v>
      </c>
      <c r="I808" s="1">
        <v>774</v>
      </c>
      <c r="J808" s="1">
        <v>811</v>
      </c>
      <c r="K808" s="1">
        <v>897</v>
      </c>
      <c r="L808" s="1">
        <v>673</v>
      </c>
      <c r="M808" s="1">
        <v>71.099999999999994</v>
      </c>
      <c r="N808" s="1">
        <v>22.351114800000001</v>
      </c>
      <c r="O808" s="1">
        <v>78.667742799999999</v>
      </c>
      <c r="P808" s="14">
        <f t="shared" si="90"/>
        <v>19</v>
      </c>
      <c r="Q808" s="13">
        <v>20</v>
      </c>
      <c r="R808" s="16">
        <f t="shared" si="91"/>
        <v>43.5</v>
      </c>
      <c r="S808" s="14">
        <f t="shared" si="92"/>
        <v>0</v>
      </c>
      <c r="T808" s="13">
        <f t="shared" si="93"/>
        <v>22.7</v>
      </c>
      <c r="U808" s="14">
        <f t="shared" si="94"/>
        <v>10.4</v>
      </c>
      <c r="V808" s="14">
        <f t="shared" si="95"/>
        <v>32.800000000000004</v>
      </c>
      <c r="W808" s="1">
        <f t="shared" si="96"/>
        <v>19.400000000000002</v>
      </c>
      <c r="X808" s="1" t="str">
        <f>IF(Table1[[#This Row],[World Rank]]&lt;=250,"Q1-Elite",IF(Table1[[#This Row],[World Rank]]&lt;=500,"Q2-Strong",IF(Table1[[#This Row],[World Rank]]&lt;=750,"Q3-Developing","Q4-Emerging")))</f>
        <v>Q4-Emerging</v>
      </c>
    </row>
    <row r="809" spans="1:24" x14ac:dyDescent="0.2">
      <c r="A809" s="1">
        <v>808</v>
      </c>
      <c r="B809" s="1" t="s">
        <v>882</v>
      </c>
      <c r="C809" s="1" t="s">
        <v>118</v>
      </c>
      <c r="D809" s="1" t="s">
        <v>1124</v>
      </c>
      <c r="E809" s="1">
        <v>28</v>
      </c>
      <c r="F809" s="1">
        <v>667</v>
      </c>
      <c r="G809" s="1">
        <v>1001</v>
      </c>
      <c r="H809" s="1">
        <v>304</v>
      </c>
      <c r="I809" s="1">
        <v>812</v>
      </c>
      <c r="J809" s="1">
        <v>740</v>
      </c>
      <c r="K809" s="1">
        <v>650</v>
      </c>
      <c r="L809" s="1">
        <v>898</v>
      </c>
      <c r="M809" s="1">
        <v>71</v>
      </c>
      <c r="N809" s="1">
        <v>39.326068499999998</v>
      </c>
      <c r="O809" s="1">
        <v>-4.8379791000000001</v>
      </c>
      <c r="P809" s="14">
        <f t="shared" si="90"/>
        <v>26.1</v>
      </c>
      <c r="Q809" s="13">
        <v>20</v>
      </c>
      <c r="R809" s="16">
        <f t="shared" si="91"/>
        <v>0</v>
      </c>
      <c r="S809" s="14">
        <f t="shared" si="92"/>
        <v>0</v>
      </c>
      <c r="T809" s="13">
        <f t="shared" si="93"/>
        <v>18.899999999999999</v>
      </c>
      <c r="U809" s="14">
        <f t="shared" si="94"/>
        <v>35.099999999999994</v>
      </c>
      <c r="V809" s="14">
        <f t="shared" si="95"/>
        <v>10.299999999999999</v>
      </c>
      <c r="W809" s="1">
        <f t="shared" si="96"/>
        <v>19.3</v>
      </c>
      <c r="X809" s="1" t="str">
        <f>IF(Table1[[#This Row],[World Rank]]&lt;=250,"Q1-Elite",IF(Table1[[#This Row],[World Rank]]&lt;=500,"Q2-Strong",IF(Table1[[#This Row],[World Rank]]&lt;=750,"Q3-Developing","Q4-Emerging")))</f>
        <v>Q4-Emerging</v>
      </c>
    </row>
    <row r="810" spans="1:24" x14ac:dyDescent="0.2">
      <c r="A810" s="1">
        <v>809</v>
      </c>
      <c r="B810" s="1" t="s">
        <v>883</v>
      </c>
      <c r="C810" s="1" t="s">
        <v>19</v>
      </c>
      <c r="D810" s="1" t="s">
        <v>1124</v>
      </c>
      <c r="E810" s="1">
        <v>54</v>
      </c>
      <c r="F810" s="1">
        <v>667</v>
      </c>
      <c r="G810" s="1">
        <v>1001</v>
      </c>
      <c r="H810" s="1">
        <v>304</v>
      </c>
      <c r="I810" s="1">
        <v>1001</v>
      </c>
      <c r="J810" s="1">
        <v>823</v>
      </c>
      <c r="K810" s="1">
        <v>514</v>
      </c>
      <c r="L810" s="1">
        <v>541</v>
      </c>
      <c r="M810" s="1">
        <v>71</v>
      </c>
      <c r="N810" s="1">
        <v>54.702354499999998</v>
      </c>
      <c r="O810" s="1">
        <v>-3.2765753000000002</v>
      </c>
      <c r="P810" s="14">
        <f t="shared" si="90"/>
        <v>17.8</v>
      </c>
      <c r="Q810" s="13">
        <v>20</v>
      </c>
      <c r="R810" s="16">
        <f t="shared" si="91"/>
        <v>0</v>
      </c>
      <c r="S810" s="14">
        <f t="shared" si="92"/>
        <v>0</v>
      </c>
      <c r="T810" s="13">
        <f t="shared" si="93"/>
        <v>0</v>
      </c>
      <c r="U810" s="14">
        <f t="shared" si="94"/>
        <v>48.699999999999996</v>
      </c>
      <c r="V810" s="14">
        <f t="shared" si="95"/>
        <v>46</v>
      </c>
      <c r="W810" s="1">
        <f t="shared" si="96"/>
        <v>19.2</v>
      </c>
      <c r="X810" s="1" t="str">
        <f>IF(Table1[[#This Row],[World Rank]]&lt;=250,"Q1-Elite",IF(Table1[[#This Row],[World Rank]]&lt;=500,"Q2-Strong",IF(Table1[[#This Row],[World Rank]]&lt;=750,"Q3-Developing","Q4-Emerging")))</f>
        <v>Q4-Emerging</v>
      </c>
    </row>
    <row r="811" spans="1:24" x14ac:dyDescent="0.2">
      <c r="A811" s="1">
        <v>810</v>
      </c>
      <c r="B811" s="1" t="s">
        <v>884</v>
      </c>
      <c r="C811" s="1" t="s">
        <v>85</v>
      </c>
      <c r="D811" s="1" t="s">
        <v>1125</v>
      </c>
      <c r="E811" s="1">
        <v>27</v>
      </c>
      <c r="F811" s="1">
        <v>667</v>
      </c>
      <c r="G811" s="1">
        <v>1001</v>
      </c>
      <c r="H811" s="1">
        <v>304</v>
      </c>
      <c r="I811" s="1">
        <v>734</v>
      </c>
      <c r="J811" s="1">
        <v>900</v>
      </c>
      <c r="K811" s="1">
        <v>1001</v>
      </c>
      <c r="L811" s="1">
        <v>460</v>
      </c>
      <c r="M811" s="1">
        <v>71</v>
      </c>
      <c r="N811" s="1">
        <v>36.638392000000003</v>
      </c>
      <c r="O811" s="1">
        <v>127.69611879999999</v>
      </c>
      <c r="P811" s="14">
        <f t="shared" si="90"/>
        <v>10.100000000000001</v>
      </c>
      <c r="Q811" s="13">
        <v>20</v>
      </c>
      <c r="R811" s="16">
        <f t="shared" si="91"/>
        <v>0</v>
      </c>
      <c r="S811" s="14">
        <f t="shared" si="92"/>
        <v>0</v>
      </c>
      <c r="T811" s="13">
        <f t="shared" si="93"/>
        <v>26.700000000000003</v>
      </c>
      <c r="U811" s="14">
        <f t="shared" si="94"/>
        <v>0</v>
      </c>
      <c r="V811" s="14">
        <f t="shared" si="95"/>
        <v>54.1</v>
      </c>
      <c r="W811" s="1">
        <f t="shared" si="96"/>
        <v>19.100000000000001</v>
      </c>
      <c r="X811" s="1" t="str">
        <f>IF(Table1[[#This Row],[World Rank]]&lt;=250,"Q1-Elite",IF(Table1[[#This Row],[World Rank]]&lt;=500,"Q2-Strong",IF(Table1[[#This Row],[World Rank]]&lt;=750,"Q3-Developing","Q4-Emerging")))</f>
        <v>Q4-Emerging</v>
      </c>
    </row>
    <row r="812" spans="1:24" x14ac:dyDescent="0.2">
      <c r="A812" s="1">
        <v>811</v>
      </c>
      <c r="B812" s="1" t="s">
        <v>885</v>
      </c>
      <c r="C812" s="1" t="s">
        <v>85</v>
      </c>
      <c r="D812" s="1" t="s">
        <v>1125</v>
      </c>
      <c r="E812" s="1">
        <v>28</v>
      </c>
      <c r="F812" s="1">
        <v>667</v>
      </c>
      <c r="G812" s="1">
        <v>1001</v>
      </c>
      <c r="H812" s="1">
        <v>304</v>
      </c>
      <c r="I812" s="1">
        <v>633</v>
      </c>
      <c r="J812" s="1">
        <v>777</v>
      </c>
      <c r="K812" s="1">
        <v>1001</v>
      </c>
      <c r="L812" s="1">
        <v>898</v>
      </c>
      <c r="M812" s="1">
        <v>71</v>
      </c>
      <c r="N812" s="1">
        <v>36.638392000000003</v>
      </c>
      <c r="O812" s="1">
        <v>127.69611879999999</v>
      </c>
      <c r="P812" s="14">
        <f t="shared" si="90"/>
        <v>22.400000000000002</v>
      </c>
      <c r="Q812" s="13">
        <v>20</v>
      </c>
      <c r="R812" s="16">
        <f t="shared" si="91"/>
        <v>0</v>
      </c>
      <c r="S812" s="14">
        <f t="shared" si="92"/>
        <v>0</v>
      </c>
      <c r="T812" s="13">
        <f t="shared" si="93"/>
        <v>36.799999999999997</v>
      </c>
      <c r="U812" s="14">
        <f t="shared" si="94"/>
        <v>0</v>
      </c>
      <c r="V812" s="14">
        <f t="shared" si="95"/>
        <v>10.299999999999999</v>
      </c>
      <c r="W812" s="1">
        <f t="shared" si="96"/>
        <v>19</v>
      </c>
      <c r="X812" s="1" t="str">
        <f>IF(Table1[[#This Row],[World Rank]]&lt;=250,"Q1-Elite",IF(Table1[[#This Row],[World Rank]]&lt;=500,"Q2-Strong",IF(Table1[[#This Row],[World Rank]]&lt;=750,"Q3-Developing","Q4-Emerging")))</f>
        <v>Q4-Emerging</v>
      </c>
    </row>
    <row r="813" spans="1:24" x14ac:dyDescent="0.2">
      <c r="A813" s="1">
        <v>812</v>
      </c>
      <c r="B813" s="1" t="s">
        <v>886</v>
      </c>
      <c r="C813" s="1" t="s">
        <v>93</v>
      </c>
      <c r="D813" s="1" t="s">
        <v>1124</v>
      </c>
      <c r="E813" s="1">
        <v>42</v>
      </c>
      <c r="F813" s="1">
        <v>667</v>
      </c>
      <c r="G813" s="1">
        <v>1001</v>
      </c>
      <c r="H813" s="1">
        <v>304</v>
      </c>
      <c r="I813" s="1">
        <v>873</v>
      </c>
      <c r="J813" s="1">
        <v>802</v>
      </c>
      <c r="K813" s="1">
        <v>665</v>
      </c>
      <c r="L813" s="1">
        <v>673</v>
      </c>
      <c r="M813" s="1">
        <v>71</v>
      </c>
      <c r="N813" s="1">
        <v>42.638426099999997</v>
      </c>
      <c r="O813" s="1">
        <v>12.674296999999999</v>
      </c>
      <c r="P813" s="14">
        <f t="shared" si="90"/>
        <v>19.900000000000002</v>
      </c>
      <c r="Q813" s="13">
        <v>20</v>
      </c>
      <c r="R813" s="16">
        <f t="shared" si="91"/>
        <v>0</v>
      </c>
      <c r="S813" s="14">
        <f t="shared" si="92"/>
        <v>0</v>
      </c>
      <c r="T813" s="13">
        <f t="shared" si="93"/>
        <v>12.8</v>
      </c>
      <c r="U813" s="14">
        <f t="shared" si="94"/>
        <v>33.6</v>
      </c>
      <c r="V813" s="14">
        <f t="shared" si="95"/>
        <v>32.800000000000004</v>
      </c>
      <c r="W813" s="1">
        <f t="shared" si="96"/>
        <v>18.899999999999999</v>
      </c>
      <c r="X813" s="1" t="str">
        <f>IF(Table1[[#This Row],[World Rank]]&lt;=250,"Q1-Elite",IF(Table1[[#This Row],[World Rank]]&lt;=500,"Q2-Strong",IF(Table1[[#This Row],[World Rank]]&lt;=750,"Q3-Developing","Q4-Emerging")))</f>
        <v>Q4-Emerging</v>
      </c>
    </row>
    <row r="814" spans="1:24" x14ac:dyDescent="0.2">
      <c r="A814" s="1">
        <v>813</v>
      </c>
      <c r="B814" s="1" t="s">
        <v>887</v>
      </c>
      <c r="C814" s="1" t="s">
        <v>28</v>
      </c>
      <c r="D814" s="1" t="s">
        <v>1125</v>
      </c>
      <c r="E814" s="1">
        <v>34</v>
      </c>
      <c r="F814" s="1">
        <v>667</v>
      </c>
      <c r="G814" s="1">
        <v>1001</v>
      </c>
      <c r="H814" s="1">
        <v>258</v>
      </c>
      <c r="I814" s="1">
        <v>980</v>
      </c>
      <c r="J814" s="1">
        <v>962</v>
      </c>
      <c r="K814" s="1">
        <v>1001</v>
      </c>
      <c r="L814" s="1">
        <v>673</v>
      </c>
      <c r="M814" s="1">
        <v>71</v>
      </c>
      <c r="N814" s="1">
        <v>36.5748441</v>
      </c>
      <c r="O814" s="1">
        <v>139.23941790000001</v>
      </c>
      <c r="P814" s="14">
        <f t="shared" si="90"/>
        <v>3.9</v>
      </c>
      <c r="Q814" s="13">
        <v>20</v>
      </c>
      <c r="R814" s="16">
        <f t="shared" si="91"/>
        <v>0</v>
      </c>
      <c r="S814" s="14">
        <f t="shared" si="92"/>
        <v>15.181518151815181</v>
      </c>
      <c r="T814" s="13">
        <f t="shared" si="93"/>
        <v>2.1</v>
      </c>
      <c r="U814" s="14">
        <f t="shared" si="94"/>
        <v>0</v>
      </c>
      <c r="V814" s="14">
        <f t="shared" si="95"/>
        <v>32.800000000000004</v>
      </c>
      <c r="W814" s="1">
        <f t="shared" si="96"/>
        <v>18.8</v>
      </c>
      <c r="X814" s="1" t="str">
        <f>IF(Table1[[#This Row],[World Rank]]&lt;=250,"Q1-Elite",IF(Table1[[#This Row],[World Rank]]&lt;=500,"Q2-Strong",IF(Table1[[#This Row],[World Rank]]&lt;=750,"Q3-Developing","Q4-Emerging")))</f>
        <v>Q4-Emerging</v>
      </c>
    </row>
    <row r="815" spans="1:24" x14ac:dyDescent="0.2">
      <c r="A815" s="1">
        <v>814</v>
      </c>
      <c r="B815" s="1" t="s">
        <v>888</v>
      </c>
      <c r="C815" s="1" t="s">
        <v>107</v>
      </c>
      <c r="D815" s="1" t="s">
        <v>1123</v>
      </c>
      <c r="E815" s="1">
        <v>13</v>
      </c>
      <c r="F815" s="1">
        <v>667</v>
      </c>
      <c r="G815" s="1">
        <v>1001</v>
      </c>
      <c r="H815" s="1">
        <v>304</v>
      </c>
      <c r="I815" s="1">
        <v>614</v>
      </c>
      <c r="J815" s="1">
        <v>838</v>
      </c>
      <c r="K815" s="1">
        <v>981</v>
      </c>
      <c r="L815" s="1">
        <v>898</v>
      </c>
      <c r="M815" s="1">
        <v>71</v>
      </c>
      <c r="N815" s="1">
        <v>-10.3333333</v>
      </c>
      <c r="O815" s="1">
        <v>-53.2</v>
      </c>
      <c r="P815" s="14">
        <f t="shared" si="90"/>
        <v>16.3</v>
      </c>
      <c r="Q815" s="13">
        <v>20</v>
      </c>
      <c r="R815" s="16">
        <f t="shared" si="91"/>
        <v>0</v>
      </c>
      <c r="S815" s="14">
        <f t="shared" si="92"/>
        <v>0</v>
      </c>
      <c r="T815" s="13">
        <f t="shared" si="93"/>
        <v>38.700000000000003</v>
      </c>
      <c r="U815" s="14">
        <f t="shared" si="94"/>
        <v>2</v>
      </c>
      <c r="V815" s="14">
        <f t="shared" si="95"/>
        <v>10.299999999999999</v>
      </c>
      <c r="W815" s="1">
        <f t="shared" si="96"/>
        <v>18.7</v>
      </c>
      <c r="X815" s="1" t="str">
        <f>IF(Table1[[#This Row],[World Rank]]&lt;=250,"Q1-Elite",IF(Table1[[#This Row],[World Rank]]&lt;=500,"Q2-Strong",IF(Table1[[#This Row],[World Rank]]&lt;=750,"Q3-Developing","Q4-Emerging")))</f>
        <v>Q4-Emerging</v>
      </c>
    </row>
    <row r="816" spans="1:24" x14ac:dyDescent="0.2">
      <c r="A816" s="1">
        <v>815</v>
      </c>
      <c r="B816" s="1" t="s">
        <v>889</v>
      </c>
      <c r="C816" s="1" t="s">
        <v>15</v>
      </c>
      <c r="D816" s="1" t="s">
        <v>1120</v>
      </c>
      <c r="E816" s="1">
        <v>187</v>
      </c>
      <c r="F816" s="1">
        <v>667</v>
      </c>
      <c r="G816" s="1">
        <v>335</v>
      </c>
      <c r="H816" s="1">
        <v>304</v>
      </c>
      <c r="I816" s="1">
        <v>934</v>
      </c>
      <c r="J816" s="1">
        <v>817</v>
      </c>
      <c r="K816" s="1">
        <v>652</v>
      </c>
      <c r="L816" s="1">
        <v>673</v>
      </c>
      <c r="M816" s="1">
        <v>71</v>
      </c>
      <c r="N816" s="1">
        <v>39.783730400000003</v>
      </c>
      <c r="O816" s="1">
        <v>-100.445882</v>
      </c>
      <c r="P816" s="14">
        <f t="shared" si="90"/>
        <v>18.399999999999999</v>
      </c>
      <c r="Q816" s="13">
        <v>20</v>
      </c>
      <c r="R816" s="16">
        <f t="shared" si="91"/>
        <v>66.600000000000009</v>
      </c>
      <c r="S816" s="14">
        <f t="shared" si="92"/>
        <v>0</v>
      </c>
      <c r="T816" s="13">
        <f t="shared" si="93"/>
        <v>6.7</v>
      </c>
      <c r="U816" s="14">
        <f t="shared" si="94"/>
        <v>34.9</v>
      </c>
      <c r="V816" s="14">
        <f t="shared" si="95"/>
        <v>32.800000000000004</v>
      </c>
      <c r="W816" s="1">
        <f t="shared" si="96"/>
        <v>18.600000000000001</v>
      </c>
      <c r="X816" s="1" t="str">
        <f>IF(Table1[[#This Row],[World Rank]]&lt;=250,"Q1-Elite",IF(Table1[[#This Row],[World Rank]]&lt;=500,"Q2-Strong",IF(Table1[[#This Row],[World Rank]]&lt;=750,"Q3-Developing","Q4-Emerging")))</f>
        <v>Q4-Emerging</v>
      </c>
    </row>
    <row r="817" spans="1:24" x14ac:dyDescent="0.2">
      <c r="A817" s="1">
        <v>816</v>
      </c>
      <c r="B817" s="1" t="s">
        <v>890</v>
      </c>
      <c r="C817" s="1" t="s">
        <v>28</v>
      </c>
      <c r="D817" s="1" t="s">
        <v>1125</v>
      </c>
      <c r="E817" s="1">
        <v>35</v>
      </c>
      <c r="F817" s="1">
        <v>667</v>
      </c>
      <c r="G817" s="1">
        <v>1001</v>
      </c>
      <c r="H817" s="1">
        <v>304</v>
      </c>
      <c r="I817" s="1">
        <v>794</v>
      </c>
      <c r="J817" s="1">
        <v>769</v>
      </c>
      <c r="K817" s="1">
        <v>678</v>
      </c>
      <c r="L817" s="1">
        <v>898</v>
      </c>
      <c r="M817" s="1">
        <v>71</v>
      </c>
      <c r="N817" s="1">
        <v>36.5748441</v>
      </c>
      <c r="O817" s="1">
        <v>139.23941790000001</v>
      </c>
      <c r="P817" s="14">
        <f t="shared" si="90"/>
        <v>23.200000000000003</v>
      </c>
      <c r="Q817" s="13">
        <v>20</v>
      </c>
      <c r="R817" s="16">
        <f t="shared" si="91"/>
        <v>0</v>
      </c>
      <c r="S817" s="14">
        <f t="shared" si="92"/>
        <v>0</v>
      </c>
      <c r="T817" s="13">
        <f t="shared" si="93"/>
        <v>20.7</v>
      </c>
      <c r="U817" s="14">
        <f t="shared" si="94"/>
        <v>32.300000000000004</v>
      </c>
      <c r="V817" s="14">
        <f t="shared" si="95"/>
        <v>10.299999999999999</v>
      </c>
      <c r="W817" s="1">
        <f t="shared" si="96"/>
        <v>18.5</v>
      </c>
      <c r="X817" s="1" t="str">
        <f>IF(Table1[[#This Row],[World Rank]]&lt;=250,"Q1-Elite",IF(Table1[[#This Row],[World Rank]]&lt;=500,"Q2-Strong",IF(Table1[[#This Row],[World Rank]]&lt;=750,"Q3-Developing","Q4-Emerging")))</f>
        <v>Q4-Emerging</v>
      </c>
    </row>
    <row r="818" spans="1:24" x14ac:dyDescent="0.2">
      <c r="A818" s="1">
        <v>817</v>
      </c>
      <c r="B818" s="1" t="s">
        <v>891</v>
      </c>
      <c r="C818" s="1" t="s">
        <v>876</v>
      </c>
      <c r="D818" s="1" t="s">
        <v>1124</v>
      </c>
      <c r="E818" s="1">
        <v>2</v>
      </c>
      <c r="F818" s="1">
        <v>667</v>
      </c>
      <c r="G818" s="1">
        <v>1001</v>
      </c>
      <c r="H818" s="1">
        <v>304</v>
      </c>
      <c r="I818" s="1">
        <v>596</v>
      </c>
      <c r="J818" s="1">
        <v>993</v>
      </c>
      <c r="K818" s="1">
        <v>1001</v>
      </c>
      <c r="L818" s="1">
        <v>541</v>
      </c>
      <c r="M818" s="1">
        <v>71</v>
      </c>
      <c r="N818" s="1">
        <v>45.985212900000001</v>
      </c>
      <c r="O818" s="1">
        <v>24.6859225</v>
      </c>
      <c r="P818" s="14">
        <f t="shared" si="90"/>
        <v>0.8</v>
      </c>
      <c r="Q818" s="13">
        <v>20</v>
      </c>
      <c r="R818" s="16">
        <f t="shared" si="91"/>
        <v>0</v>
      </c>
      <c r="S818" s="14">
        <f t="shared" si="92"/>
        <v>0</v>
      </c>
      <c r="T818" s="13">
        <f t="shared" si="93"/>
        <v>40.5</v>
      </c>
      <c r="U818" s="14">
        <f t="shared" si="94"/>
        <v>0</v>
      </c>
      <c r="V818" s="14">
        <f t="shared" si="95"/>
        <v>46</v>
      </c>
      <c r="W818" s="1">
        <f t="shared" si="96"/>
        <v>18.399999999999999</v>
      </c>
      <c r="X818" s="1" t="str">
        <f>IF(Table1[[#This Row],[World Rank]]&lt;=250,"Q1-Elite",IF(Table1[[#This Row],[World Rank]]&lt;=500,"Q2-Strong",IF(Table1[[#This Row],[World Rank]]&lt;=750,"Q3-Developing","Q4-Emerging")))</f>
        <v>Q4-Emerging</v>
      </c>
    </row>
    <row r="819" spans="1:24" x14ac:dyDescent="0.2">
      <c r="A819" s="1">
        <v>818</v>
      </c>
      <c r="B819" s="1" t="s">
        <v>892</v>
      </c>
      <c r="C819" s="1" t="s">
        <v>28</v>
      </c>
      <c r="D819" s="1" t="s">
        <v>1125</v>
      </c>
      <c r="E819" s="1">
        <v>36</v>
      </c>
      <c r="F819" s="1">
        <v>120</v>
      </c>
      <c r="G819" s="1">
        <v>329</v>
      </c>
      <c r="H819" s="1">
        <v>246</v>
      </c>
      <c r="I819" s="1">
        <v>1001</v>
      </c>
      <c r="J819" s="1">
        <v>1001</v>
      </c>
      <c r="K819" s="1">
        <v>1001</v>
      </c>
      <c r="L819" s="1">
        <v>673</v>
      </c>
      <c r="M819" s="1">
        <v>71</v>
      </c>
      <c r="N819" s="1">
        <v>36.5748441</v>
      </c>
      <c r="O819" s="1">
        <v>139.23941790000001</v>
      </c>
      <c r="P819" s="14">
        <f t="shared" si="90"/>
        <v>0</v>
      </c>
      <c r="Q819" s="13">
        <f>((667 - F819) / 666) * 100</f>
        <v>82.132132132132128</v>
      </c>
      <c r="R819" s="16">
        <f t="shared" si="91"/>
        <v>67.2</v>
      </c>
      <c r="S819" s="14">
        <f t="shared" si="92"/>
        <v>19.141914191419144</v>
      </c>
      <c r="T819" s="13">
        <f t="shared" si="93"/>
        <v>0</v>
      </c>
      <c r="U819" s="14">
        <f t="shared" si="94"/>
        <v>0</v>
      </c>
      <c r="V819" s="14">
        <f t="shared" si="95"/>
        <v>32.800000000000004</v>
      </c>
      <c r="W819" s="1">
        <f t="shared" si="96"/>
        <v>18.3</v>
      </c>
      <c r="X819" s="1" t="str">
        <f>IF(Table1[[#This Row],[World Rank]]&lt;=250,"Q1-Elite",IF(Table1[[#This Row],[World Rank]]&lt;=500,"Q2-Strong",IF(Table1[[#This Row],[World Rank]]&lt;=750,"Q3-Developing","Q4-Emerging")))</f>
        <v>Q4-Emerging</v>
      </c>
    </row>
    <row r="820" spans="1:24" x14ac:dyDescent="0.2">
      <c r="A820" s="1">
        <v>819</v>
      </c>
      <c r="B820" s="1" t="s">
        <v>893</v>
      </c>
      <c r="C820" s="1" t="s">
        <v>124</v>
      </c>
      <c r="D820" s="1" t="s">
        <v>1125</v>
      </c>
      <c r="E820" s="1">
        <v>79</v>
      </c>
      <c r="F820" s="1">
        <v>667</v>
      </c>
      <c r="G820" s="1">
        <v>1001</v>
      </c>
      <c r="H820" s="1">
        <v>304</v>
      </c>
      <c r="I820" s="1">
        <v>630</v>
      </c>
      <c r="J820" s="1">
        <v>727</v>
      </c>
      <c r="K820" s="1">
        <v>1001</v>
      </c>
      <c r="L820" s="1">
        <v>898</v>
      </c>
      <c r="M820" s="1">
        <v>71</v>
      </c>
      <c r="N820" s="1">
        <v>30.047992000000001</v>
      </c>
      <c r="O820" s="1">
        <v>-94.335743300000004</v>
      </c>
      <c r="P820" s="14">
        <f t="shared" si="90"/>
        <v>27.400000000000002</v>
      </c>
      <c r="Q820" s="13">
        <v>20</v>
      </c>
      <c r="R820" s="16">
        <f t="shared" si="91"/>
        <v>0</v>
      </c>
      <c r="S820" s="14">
        <f t="shared" si="92"/>
        <v>0</v>
      </c>
      <c r="T820" s="13">
        <f t="shared" si="93"/>
        <v>37.1</v>
      </c>
      <c r="U820" s="14">
        <f t="shared" si="94"/>
        <v>0</v>
      </c>
      <c r="V820" s="14">
        <f t="shared" si="95"/>
        <v>10.299999999999999</v>
      </c>
      <c r="W820" s="1">
        <f t="shared" si="96"/>
        <v>18.2</v>
      </c>
      <c r="X820" s="1" t="str">
        <f>IF(Table1[[#This Row],[World Rank]]&lt;=250,"Q1-Elite",IF(Table1[[#This Row],[World Rank]]&lt;=500,"Q2-Strong",IF(Table1[[#This Row],[World Rank]]&lt;=750,"Q3-Developing","Q4-Emerging")))</f>
        <v>Q4-Emerging</v>
      </c>
    </row>
    <row r="821" spans="1:24" x14ac:dyDescent="0.2">
      <c r="A821" s="1">
        <v>820</v>
      </c>
      <c r="B821" s="1" t="s">
        <v>894</v>
      </c>
      <c r="C821" s="1" t="s">
        <v>118</v>
      </c>
      <c r="D821" s="1" t="s">
        <v>1124</v>
      </c>
      <c r="E821" s="1">
        <v>29</v>
      </c>
      <c r="F821" s="1">
        <v>667</v>
      </c>
      <c r="G821" s="1">
        <v>1001</v>
      </c>
      <c r="H821" s="1">
        <v>304</v>
      </c>
      <c r="I821" s="1">
        <v>841</v>
      </c>
      <c r="J821" s="1">
        <v>729</v>
      </c>
      <c r="K821" s="1">
        <v>709</v>
      </c>
      <c r="L821" s="1">
        <v>898</v>
      </c>
      <c r="M821" s="1">
        <v>71</v>
      </c>
      <c r="N821" s="1">
        <v>39.326068499999998</v>
      </c>
      <c r="O821" s="1">
        <v>-4.8379791000000001</v>
      </c>
      <c r="P821" s="14">
        <f t="shared" si="90"/>
        <v>27.200000000000003</v>
      </c>
      <c r="Q821" s="13">
        <v>20</v>
      </c>
      <c r="R821" s="16">
        <f t="shared" si="91"/>
        <v>0</v>
      </c>
      <c r="S821" s="14">
        <f t="shared" si="92"/>
        <v>0</v>
      </c>
      <c r="T821" s="13">
        <f t="shared" si="93"/>
        <v>16</v>
      </c>
      <c r="U821" s="14">
        <f t="shared" si="94"/>
        <v>29.2</v>
      </c>
      <c r="V821" s="14">
        <f t="shared" si="95"/>
        <v>10.299999999999999</v>
      </c>
      <c r="W821" s="1">
        <f t="shared" si="96"/>
        <v>18.099999999999998</v>
      </c>
      <c r="X821" s="1" t="str">
        <f>IF(Table1[[#This Row],[World Rank]]&lt;=250,"Q1-Elite",IF(Table1[[#This Row],[World Rank]]&lt;=500,"Q2-Strong",IF(Table1[[#This Row],[World Rank]]&lt;=750,"Q3-Developing","Q4-Emerging")))</f>
        <v>Q4-Emerging</v>
      </c>
    </row>
    <row r="822" spans="1:24" x14ac:dyDescent="0.2">
      <c r="A822" s="1">
        <v>821</v>
      </c>
      <c r="B822" s="1" t="s">
        <v>895</v>
      </c>
      <c r="C822" s="1" t="s">
        <v>19</v>
      </c>
      <c r="D822" s="1" t="s">
        <v>1124</v>
      </c>
      <c r="E822" s="1">
        <v>55</v>
      </c>
      <c r="F822" s="1">
        <v>667</v>
      </c>
      <c r="G822" s="1">
        <v>134</v>
      </c>
      <c r="H822" s="1">
        <v>304</v>
      </c>
      <c r="I822" s="1">
        <v>882</v>
      </c>
      <c r="J822" s="1">
        <v>847</v>
      </c>
      <c r="K822" s="1">
        <v>1001</v>
      </c>
      <c r="L822" s="1">
        <v>673</v>
      </c>
      <c r="M822" s="1">
        <v>71</v>
      </c>
      <c r="N822" s="1">
        <v>54.702354499999998</v>
      </c>
      <c r="O822" s="1">
        <v>-3.2765753000000002</v>
      </c>
      <c r="P822" s="14">
        <f t="shared" si="90"/>
        <v>15.4</v>
      </c>
      <c r="Q822" s="13">
        <v>20</v>
      </c>
      <c r="R822" s="16">
        <f t="shared" si="91"/>
        <v>86.7</v>
      </c>
      <c r="S822" s="14">
        <f t="shared" si="92"/>
        <v>0</v>
      </c>
      <c r="T822" s="13">
        <f t="shared" si="93"/>
        <v>11.899999999999999</v>
      </c>
      <c r="U822" s="14">
        <f t="shared" si="94"/>
        <v>0</v>
      </c>
      <c r="V822" s="14">
        <f t="shared" si="95"/>
        <v>32.800000000000004</v>
      </c>
      <c r="W822" s="1">
        <f t="shared" si="96"/>
        <v>18</v>
      </c>
      <c r="X822" s="1" t="str">
        <f>IF(Table1[[#This Row],[World Rank]]&lt;=250,"Q1-Elite",IF(Table1[[#This Row],[World Rank]]&lt;=500,"Q2-Strong",IF(Table1[[#This Row],[World Rank]]&lt;=750,"Q3-Developing","Q4-Emerging")))</f>
        <v>Q4-Emerging</v>
      </c>
    </row>
    <row r="823" spans="1:24" x14ac:dyDescent="0.2">
      <c r="A823" s="1">
        <v>822</v>
      </c>
      <c r="B823" s="1" t="s">
        <v>896</v>
      </c>
      <c r="C823" s="1" t="s">
        <v>93</v>
      </c>
      <c r="D823" s="1" t="s">
        <v>1124</v>
      </c>
      <c r="E823" s="1">
        <v>43</v>
      </c>
      <c r="F823" s="1">
        <v>667</v>
      </c>
      <c r="G823" s="1">
        <v>1001</v>
      </c>
      <c r="H823" s="1">
        <v>304</v>
      </c>
      <c r="I823" s="1">
        <v>1001</v>
      </c>
      <c r="J823" s="1">
        <v>946</v>
      </c>
      <c r="K823" s="1">
        <v>556</v>
      </c>
      <c r="L823" s="1">
        <v>405</v>
      </c>
      <c r="M823" s="1">
        <v>70.900000000000006</v>
      </c>
      <c r="N823" s="1">
        <v>42.638426099999997</v>
      </c>
      <c r="O823" s="1">
        <v>12.674296999999999</v>
      </c>
      <c r="P823" s="14">
        <f t="shared" si="90"/>
        <v>5.5</v>
      </c>
      <c r="Q823" s="13">
        <v>20</v>
      </c>
      <c r="R823" s="16">
        <f t="shared" si="91"/>
        <v>0</v>
      </c>
      <c r="S823" s="14">
        <f t="shared" si="92"/>
        <v>0</v>
      </c>
      <c r="T823" s="13">
        <f t="shared" si="93"/>
        <v>0</v>
      </c>
      <c r="U823" s="14">
        <f t="shared" si="94"/>
        <v>44.5</v>
      </c>
      <c r="V823" s="14">
        <f t="shared" si="95"/>
        <v>59.599999999999994</v>
      </c>
      <c r="W823" s="1">
        <f t="shared" si="96"/>
        <v>17.899999999999999</v>
      </c>
      <c r="X823" s="1" t="str">
        <f>IF(Table1[[#This Row],[World Rank]]&lt;=250,"Q1-Elite",IF(Table1[[#This Row],[World Rank]]&lt;=500,"Q2-Strong",IF(Table1[[#This Row],[World Rank]]&lt;=750,"Q3-Developing","Q4-Emerging")))</f>
        <v>Q4-Emerging</v>
      </c>
    </row>
    <row r="824" spans="1:24" x14ac:dyDescent="0.2">
      <c r="A824" s="1">
        <v>823</v>
      </c>
      <c r="B824" s="1" t="s">
        <v>897</v>
      </c>
      <c r="C824" s="1" t="s">
        <v>470</v>
      </c>
      <c r="D824" s="1" t="s">
        <v>1124</v>
      </c>
      <c r="E824" s="1">
        <v>5</v>
      </c>
      <c r="F824" s="1">
        <v>478</v>
      </c>
      <c r="G824" s="1">
        <v>1001</v>
      </c>
      <c r="H824" s="1">
        <v>304</v>
      </c>
      <c r="I824" s="1">
        <v>767</v>
      </c>
      <c r="J824" s="1">
        <v>843</v>
      </c>
      <c r="K824" s="1">
        <v>905</v>
      </c>
      <c r="L824" s="1">
        <v>673</v>
      </c>
      <c r="M824" s="1">
        <v>70.900000000000006</v>
      </c>
      <c r="N824" s="1">
        <v>41.976762899999997</v>
      </c>
      <c r="O824" s="1">
        <v>-72.778984199999996</v>
      </c>
      <c r="P824" s="14">
        <f t="shared" si="90"/>
        <v>15.8</v>
      </c>
      <c r="Q824" s="13">
        <f>((667 - F824) / 666) * 100</f>
        <v>28.378378378378379</v>
      </c>
      <c r="R824" s="16">
        <f t="shared" si="91"/>
        <v>0</v>
      </c>
      <c r="S824" s="14">
        <f t="shared" si="92"/>
        <v>0</v>
      </c>
      <c r="T824" s="13">
        <f t="shared" si="93"/>
        <v>23.400000000000002</v>
      </c>
      <c r="U824" s="14">
        <f t="shared" si="94"/>
        <v>9.6</v>
      </c>
      <c r="V824" s="14">
        <f t="shared" si="95"/>
        <v>32.800000000000004</v>
      </c>
      <c r="W824" s="1">
        <f t="shared" si="96"/>
        <v>17.8</v>
      </c>
      <c r="X824" s="1" t="str">
        <f>IF(Table1[[#This Row],[World Rank]]&lt;=250,"Q1-Elite",IF(Table1[[#This Row],[World Rank]]&lt;=500,"Q2-Strong",IF(Table1[[#This Row],[World Rank]]&lt;=750,"Q3-Developing","Q4-Emerging")))</f>
        <v>Q4-Emerging</v>
      </c>
    </row>
    <row r="825" spans="1:24" x14ac:dyDescent="0.2">
      <c r="A825" s="1">
        <v>824</v>
      </c>
      <c r="B825" s="1" t="s">
        <v>898</v>
      </c>
      <c r="C825" s="1" t="s">
        <v>124</v>
      </c>
      <c r="D825" s="1" t="s">
        <v>1125</v>
      </c>
      <c r="E825" s="1">
        <v>80</v>
      </c>
      <c r="F825" s="1">
        <v>667</v>
      </c>
      <c r="G825" s="1">
        <v>1001</v>
      </c>
      <c r="H825" s="1">
        <v>304</v>
      </c>
      <c r="I825" s="1">
        <v>723</v>
      </c>
      <c r="J825" s="1">
        <v>749</v>
      </c>
      <c r="K825" s="1">
        <v>997</v>
      </c>
      <c r="L825" s="1">
        <v>898</v>
      </c>
      <c r="M825" s="1">
        <v>70.900000000000006</v>
      </c>
      <c r="N825" s="1">
        <v>30.047992000000001</v>
      </c>
      <c r="O825" s="1">
        <v>-94.335743300000004</v>
      </c>
      <c r="P825" s="14">
        <f t="shared" si="90"/>
        <v>25.2</v>
      </c>
      <c r="Q825" s="13">
        <v>20</v>
      </c>
      <c r="R825" s="16">
        <f t="shared" si="91"/>
        <v>0</v>
      </c>
      <c r="S825" s="14">
        <f t="shared" si="92"/>
        <v>0</v>
      </c>
      <c r="T825" s="13">
        <f t="shared" si="93"/>
        <v>27.800000000000004</v>
      </c>
      <c r="U825" s="14">
        <f t="shared" si="94"/>
        <v>0.4</v>
      </c>
      <c r="V825" s="14">
        <f t="shared" si="95"/>
        <v>10.299999999999999</v>
      </c>
      <c r="W825" s="1">
        <f t="shared" si="96"/>
        <v>17.7</v>
      </c>
      <c r="X825" s="1" t="str">
        <f>IF(Table1[[#This Row],[World Rank]]&lt;=250,"Q1-Elite",IF(Table1[[#This Row],[World Rank]]&lt;=500,"Q2-Strong",IF(Table1[[#This Row],[World Rank]]&lt;=750,"Q3-Developing","Q4-Emerging")))</f>
        <v>Q4-Emerging</v>
      </c>
    </row>
    <row r="826" spans="1:24" x14ac:dyDescent="0.2">
      <c r="A826" s="1">
        <v>825</v>
      </c>
      <c r="B826" s="1" t="s">
        <v>899</v>
      </c>
      <c r="C826" s="1" t="s">
        <v>48</v>
      </c>
      <c r="D826" s="1" t="s">
        <v>1124</v>
      </c>
      <c r="E826" s="1">
        <v>46</v>
      </c>
      <c r="F826" s="1">
        <v>667</v>
      </c>
      <c r="G826" s="1">
        <v>1001</v>
      </c>
      <c r="H826" s="1">
        <v>304</v>
      </c>
      <c r="I826" s="1">
        <v>876</v>
      </c>
      <c r="J826" s="1">
        <v>765</v>
      </c>
      <c r="K826" s="1">
        <v>448</v>
      </c>
      <c r="L826" s="1">
        <v>1001</v>
      </c>
      <c r="M826" s="1">
        <v>70.900000000000006</v>
      </c>
      <c r="N826" s="1">
        <v>46.603354000000003</v>
      </c>
      <c r="O826" s="1">
        <v>1.8883335000000001</v>
      </c>
      <c r="P826" s="14">
        <f t="shared" si="90"/>
        <v>23.599999999999998</v>
      </c>
      <c r="Q826" s="13">
        <v>20</v>
      </c>
      <c r="R826" s="16">
        <f t="shared" si="91"/>
        <v>0</v>
      </c>
      <c r="S826" s="14">
        <f t="shared" si="92"/>
        <v>0</v>
      </c>
      <c r="T826" s="13">
        <f t="shared" si="93"/>
        <v>12.5</v>
      </c>
      <c r="U826" s="14">
        <f t="shared" si="94"/>
        <v>55.300000000000004</v>
      </c>
      <c r="V826" s="14">
        <f t="shared" si="95"/>
        <v>0</v>
      </c>
      <c r="W826" s="1">
        <f t="shared" si="96"/>
        <v>17.599999999999998</v>
      </c>
      <c r="X826" s="1" t="str">
        <f>IF(Table1[[#This Row],[World Rank]]&lt;=250,"Q1-Elite",IF(Table1[[#This Row],[World Rank]]&lt;=500,"Q2-Strong",IF(Table1[[#This Row],[World Rank]]&lt;=750,"Q3-Developing","Q4-Emerging")))</f>
        <v>Q4-Emerging</v>
      </c>
    </row>
    <row r="827" spans="1:24" x14ac:dyDescent="0.2">
      <c r="A827" s="1">
        <v>826</v>
      </c>
      <c r="B827" s="1" t="s">
        <v>900</v>
      </c>
      <c r="C827" s="1" t="s">
        <v>510</v>
      </c>
      <c r="D827" s="1" t="s">
        <v>1125</v>
      </c>
      <c r="E827" s="1">
        <v>4</v>
      </c>
      <c r="F827" s="1">
        <v>667</v>
      </c>
      <c r="G827" s="1">
        <v>1001</v>
      </c>
      <c r="H827" s="1">
        <v>304</v>
      </c>
      <c r="I827" s="1">
        <v>527</v>
      </c>
      <c r="J827" s="1">
        <v>846</v>
      </c>
      <c r="K827" s="1">
        <v>917</v>
      </c>
      <c r="L827" s="1">
        <v>1001</v>
      </c>
      <c r="M827" s="1">
        <v>70.900000000000006</v>
      </c>
      <c r="N827" s="1">
        <v>4.5693754000000002</v>
      </c>
      <c r="O827" s="1">
        <v>102.26568229999999</v>
      </c>
      <c r="P827" s="14">
        <f t="shared" si="90"/>
        <v>15.5</v>
      </c>
      <c r="Q827" s="13">
        <v>20</v>
      </c>
      <c r="R827" s="16">
        <f t="shared" si="91"/>
        <v>0</v>
      </c>
      <c r="S827" s="14">
        <f t="shared" si="92"/>
        <v>0</v>
      </c>
      <c r="T827" s="13">
        <f t="shared" si="93"/>
        <v>47.4</v>
      </c>
      <c r="U827" s="14">
        <f t="shared" si="94"/>
        <v>8.4</v>
      </c>
      <c r="V827" s="14">
        <f t="shared" si="95"/>
        <v>0</v>
      </c>
      <c r="W827" s="1">
        <f t="shared" si="96"/>
        <v>17.5</v>
      </c>
      <c r="X827" s="1" t="str">
        <f>IF(Table1[[#This Row],[World Rank]]&lt;=250,"Q1-Elite",IF(Table1[[#This Row],[World Rank]]&lt;=500,"Q2-Strong",IF(Table1[[#This Row],[World Rank]]&lt;=750,"Q3-Developing","Q4-Emerging")))</f>
        <v>Q4-Emerging</v>
      </c>
    </row>
    <row r="828" spans="1:24" x14ac:dyDescent="0.2">
      <c r="A828" s="1">
        <v>827</v>
      </c>
      <c r="B828" s="1" t="s">
        <v>901</v>
      </c>
      <c r="C828" s="1" t="s">
        <v>876</v>
      </c>
      <c r="D828" s="1" t="s">
        <v>1124</v>
      </c>
      <c r="E828" s="1">
        <v>3</v>
      </c>
      <c r="F828" s="1">
        <v>461</v>
      </c>
      <c r="G828" s="1">
        <v>1001</v>
      </c>
      <c r="H828" s="1">
        <v>304</v>
      </c>
      <c r="I828" s="1">
        <v>674</v>
      </c>
      <c r="J828" s="1">
        <v>925</v>
      </c>
      <c r="K828" s="1">
        <v>1001</v>
      </c>
      <c r="L828" s="1">
        <v>673</v>
      </c>
      <c r="M828" s="1">
        <v>70.900000000000006</v>
      </c>
      <c r="N828" s="1">
        <v>45.985212900000001</v>
      </c>
      <c r="O828" s="1">
        <v>24.6859225</v>
      </c>
      <c r="P828" s="14">
        <f t="shared" si="90"/>
        <v>7.6</v>
      </c>
      <c r="Q828" s="13">
        <f>((667 - F828) / 666) * 100</f>
        <v>30.930930930930934</v>
      </c>
      <c r="R828" s="16">
        <f t="shared" si="91"/>
        <v>0</v>
      </c>
      <c r="S828" s="14">
        <f t="shared" si="92"/>
        <v>0</v>
      </c>
      <c r="T828" s="13">
        <f t="shared" si="93"/>
        <v>32.700000000000003</v>
      </c>
      <c r="U828" s="14">
        <f t="shared" si="94"/>
        <v>0</v>
      </c>
      <c r="V828" s="14">
        <f t="shared" si="95"/>
        <v>32.800000000000004</v>
      </c>
      <c r="W828" s="1">
        <f t="shared" si="96"/>
        <v>17.399999999999999</v>
      </c>
      <c r="X828" s="1" t="str">
        <f>IF(Table1[[#This Row],[World Rank]]&lt;=250,"Q1-Elite",IF(Table1[[#This Row],[World Rank]]&lt;=500,"Q2-Strong",IF(Table1[[#This Row],[World Rank]]&lt;=750,"Q3-Developing","Q4-Emerging")))</f>
        <v>Q4-Emerging</v>
      </c>
    </row>
    <row r="829" spans="1:24" x14ac:dyDescent="0.2">
      <c r="A829" s="1">
        <v>828</v>
      </c>
      <c r="B829" s="1" t="s">
        <v>902</v>
      </c>
      <c r="C829" s="1" t="s">
        <v>118</v>
      </c>
      <c r="D829" s="1" t="s">
        <v>1124</v>
      </c>
      <c r="E829" s="1">
        <v>30</v>
      </c>
      <c r="F829" s="1">
        <v>667</v>
      </c>
      <c r="G829" s="1">
        <v>1001</v>
      </c>
      <c r="H829" s="1">
        <v>304</v>
      </c>
      <c r="I829" s="1">
        <v>739</v>
      </c>
      <c r="J829" s="1">
        <v>661</v>
      </c>
      <c r="K829" s="1">
        <v>1001</v>
      </c>
      <c r="L829" s="1">
        <v>898</v>
      </c>
      <c r="M829" s="1">
        <v>70.900000000000006</v>
      </c>
      <c r="N829" s="1">
        <v>39.326068499999998</v>
      </c>
      <c r="O829" s="1">
        <v>-4.8379791000000001</v>
      </c>
      <c r="P829" s="14">
        <f t="shared" si="90"/>
        <v>34</v>
      </c>
      <c r="Q829" s="13">
        <v>20</v>
      </c>
      <c r="R829" s="16">
        <f t="shared" si="91"/>
        <v>0</v>
      </c>
      <c r="S829" s="14">
        <f t="shared" si="92"/>
        <v>0</v>
      </c>
      <c r="T829" s="13">
        <f t="shared" si="93"/>
        <v>26.200000000000003</v>
      </c>
      <c r="U829" s="14">
        <f t="shared" si="94"/>
        <v>0</v>
      </c>
      <c r="V829" s="14">
        <f t="shared" si="95"/>
        <v>10.299999999999999</v>
      </c>
      <c r="W829" s="1">
        <f t="shared" si="96"/>
        <v>17.299999999999997</v>
      </c>
      <c r="X829" s="1" t="str">
        <f>IF(Table1[[#This Row],[World Rank]]&lt;=250,"Q1-Elite",IF(Table1[[#This Row],[World Rank]]&lt;=500,"Q2-Strong",IF(Table1[[#This Row],[World Rank]]&lt;=750,"Q3-Developing","Q4-Emerging")))</f>
        <v>Q4-Emerging</v>
      </c>
    </row>
    <row r="830" spans="1:24" x14ac:dyDescent="0.2">
      <c r="A830" s="1">
        <v>829</v>
      </c>
      <c r="B830" s="1" t="s">
        <v>903</v>
      </c>
      <c r="C830" s="1" t="s">
        <v>15</v>
      </c>
      <c r="D830" s="1" t="s">
        <v>1120</v>
      </c>
      <c r="E830" s="1">
        <v>188</v>
      </c>
      <c r="F830" s="1">
        <v>667</v>
      </c>
      <c r="G830" s="1">
        <v>1001</v>
      </c>
      <c r="H830" s="1">
        <v>304</v>
      </c>
      <c r="I830" s="1">
        <v>869</v>
      </c>
      <c r="J830" s="1">
        <v>690</v>
      </c>
      <c r="K830" s="1">
        <v>525</v>
      </c>
      <c r="L830" s="1">
        <v>1001</v>
      </c>
      <c r="M830" s="1">
        <v>70.900000000000006</v>
      </c>
      <c r="N830" s="1">
        <v>39.783730400000003</v>
      </c>
      <c r="O830" s="1">
        <v>-100.445882</v>
      </c>
      <c r="P830" s="14">
        <f t="shared" si="90"/>
        <v>31.1</v>
      </c>
      <c r="Q830" s="13">
        <v>20</v>
      </c>
      <c r="R830" s="16">
        <f t="shared" si="91"/>
        <v>0</v>
      </c>
      <c r="S830" s="14">
        <f t="shared" si="92"/>
        <v>0</v>
      </c>
      <c r="T830" s="13">
        <f t="shared" si="93"/>
        <v>13.200000000000001</v>
      </c>
      <c r="U830" s="14">
        <f t="shared" si="94"/>
        <v>47.599999999999994</v>
      </c>
      <c r="V830" s="14">
        <f t="shared" si="95"/>
        <v>0</v>
      </c>
      <c r="W830" s="1">
        <f t="shared" si="96"/>
        <v>17.2</v>
      </c>
      <c r="X830" s="1" t="str">
        <f>IF(Table1[[#This Row],[World Rank]]&lt;=250,"Q1-Elite",IF(Table1[[#This Row],[World Rank]]&lt;=500,"Q2-Strong",IF(Table1[[#This Row],[World Rank]]&lt;=750,"Q3-Developing","Q4-Emerging")))</f>
        <v>Q4-Emerging</v>
      </c>
    </row>
    <row r="831" spans="1:24" x14ac:dyDescent="0.2">
      <c r="A831" s="1">
        <v>830</v>
      </c>
      <c r="B831" s="1" t="s">
        <v>904</v>
      </c>
      <c r="C831" s="1" t="s">
        <v>15</v>
      </c>
      <c r="D831" s="1" t="s">
        <v>1120</v>
      </c>
      <c r="E831" s="1">
        <v>189</v>
      </c>
      <c r="F831" s="1">
        <v>558</v>
      </c>
      <c r="G831" s="1">
        <v>160</v>
      </c>
      <c r="H831" s="1">
        <v>304</v>
      </c>
      <c r="I831" s="1">
        <v>1001</v>
      </c>
      <c r="J831" s="1">
        <v>900</v>
      </c>
      <c r="K831" s="1">
        <v>554</v>
      </c>
      <c r="L831" s="1">
        <v>673</v>
      </c>
      <c r="M831" s="1">
        <v>70.900000000000006</v>
      </c>
      <c r="N831" s="1">
        <v>39.783730400000003</v>
      </c>
      <c r="O831" s="1">
        <v>-100.445882</v>
      </c>
      <c r="P831" s="14">
        <f t="shared" si="90"/>
        <v>10.100000000000001</v>
      </c>
      <c r="Q831" s="13">
        <v>20</v>
      </c>
      <c r="R831" s="16">
        <f t="shared" si="91"/>
        <v>84.1</v>
      </c>
      <c r="S831" s="14">
        <f t="shared" si="92"/>
        <v>0</v>
      </c>
      <c r="T831" s="13">
        <f t="shared" si="93"/>
        <v>0</v>
      </c>
      <c r="U831" s="14">
        <f t="shared" si="94"/>
        <v>44.7</v>
      </c>
      <c r="V831" s="14">
        <f t="shared" si="95"/>
        <v>32.800000000000004</v>
      </c>
      <c r="W831" s="1">
        <f t="shared" si="96"/>
        <v>17.100000000000001</v>
      </c>
      <c r="X831" s="1" t="str">
        <f>IF(Table1[[#This Row],[World Rank]]&lt;=250,"Q1-Elite",IF(Table1[[#This Row],[World Rank]]&lt;=500,"Q2-Strong",IF(Table1[[#This Row],[World Rank]]&lt;=750,"Q3-Developing","Q4-Emerging")))</f>
        <v>Q4-Emerging</v>
      </c>
    </row>
    <row r="832" spans="1:24" x14ac:dyDescent="0.2">
      <c r="A832" s="1">
        <v>831</v>
      </c>
      <c r="B832" s="1" t="s">
        <v>905</v>
      </c>
      <c r="C832" s="1" t="s">
        <v>124</v>
      </c>
      <c r="D832" s="1" t="s">
        <v>1125</v>
      </c>
      <c r="E832" s="1">
        <v>81</v>
      </c>
      <c r="F832" s="1">
        <v>667</v>
      </c>
      <c r="G832" s="1">
        <v>1001</v>
      </c>
      <c r="H832" s="1">
        <v>304</v>
      </c>
      <c r="I832" s="1">
        <v>578</v>
      </c>
      <c r="J832" s="1">
        <v>666</v>
      </c>
      <c r="K832" s="1">
        <v>1001</v>
      </c>
      <c r="L832" s="1">
        <v>1001</v>
      </c>
      <c r="M832" s="1">
        <v>70.900000000000006</v>
      </c>
      <c r="N832" s="1">
        <v>30.047992000000001</v>
      </c>
      <c r="O832" s="1">
        <v>-94.335743300000004</v>
      </c>
      <c r="P832" s="14">
        <f t="shared" si="90"/>
        <v>33.5</v>
      </c>
      <c r="Q832" s="13">
        <v>20</v>
      </c>
      <c r="R832" s="16">
        <f t="shared" si="91"/>
        <v>0</v>
      </c>
      <c r="S832" s="14">
        <f t="shared" si="92"/>
        <v>0</v>
      </c>
      <c r="T832" s="13">
        <f t="shared" si="93"/>
        <v>42.3</v>
      </c>
      <c r="U832" s="14">
        <f t="shared" si="94"/>
        <v>0</v>
      </c>
      <c r="V832" s="14">
        <f t="shared" si="95"/>
        <v>0</v>
      </c>
      <c r="W832" s="1">
        <f t="shared" si="96"/>
        <v>17</v>
      </c>
      <c r="X832" s="1" t="str">
        <f>IF(Table1[[#This Row],[World Rank]]&lt;=250,"Q1-Elite",IF(Table1[[#This Row],[World Rank]]&lt;=500,"Q2-Strong",IF(Table1[[#This Row],[World Rank]]&lt;=750,"Q3-Developing","Q4-Emerging")))</f>
        <v>Q4-Emerging</v>
      </c>
    </row>
    <row r="833" spans="1:24" x14ac:dyDescent="0.2">
      <c r="A833" s="1">
        <v>832</v>
      </c>
      <c r="B833" s="1" t="s">
        <v>906</v>
      </c>
      <c r="C833" s="1" t="s">
        <v>93</v>
      </c>
      <c r="D833" s="1" t="s">
        <v>1124</v>
      </c>
      <c r="E833" s="1">
        <v>44</v>
      </c>
      <c r="F833" s="1">
        <v>667</v>
      </c>
      <c r="G833" s="1">
        <v>1001</v>
      </c>
      <c r="H833" s="1">
        <v>304</v>
      </c>
      <c r="I833" s="1">
        <v>902</v>
      </c>
      <c r="J833" s="1">
        <v>779</v>
      </c>
      <c r="K833" s="1">
        <v>579</v>
      </c>
      <c r="L833" s="1">
        <v>898</v>
      </c>
      <c r="M833" s="1">
        <v>70.900000000000006</v>
      </c>
      <c r="N833" s="1">
        <v>42.638426099999997</v>
      </c>
      <c r="O833" s="1">
        <v>12.674296999999999</v>
      </c>
      <c r="P833" s="14">
        <f t="shared" si="90"/>
        <v>22.2</v>
      </c>
      <c r="Q833" s="13">
        <v>20</v>
      </c>
      <c r="R833" s="16">
        <f t="shared" si="91"/>
        <v>0</v>
      </c>
      <c r="S833" s="14">
        <f t="shared" si="92"/>
        <v>0</v>
      </c>
      <c r="T833" s="13">
        <f t="shared" si="93"/>
        <v>9.9</v>
      </c>
      <c r="U833" s="14">
        <f t="shared" si="94"/>
        <v>42.199999999999996</v>
      </c>
      <c r="V833" s="14">
        <f t="shared" si="95"/>
        <v>10.299999999999999</v>
      </c>
      <c r="W833" s="1">
        <f t="shared" si="96"/>
        <v>16.900000000000002</v>
      </c>
      <c r="X833" s="1" t="str">
        <f>IF(Table1[[#This Row],[World Rank]]&lt;=250,"Q1-Elite",IF(Table1[[#This Row],[World Rank]]&lt;=500,"Q2-Strong",IF(Table1[[#This Row],[World Rank]]&lt;=750,"Q3-Developing","Q4-Emerging")))</f>
        <v>Q4-Emerging</v>
      </c>
    </row>
    <row r="834" spans="1:24" x14ac:dyDescent="0.2">
      <c r="A834" s="1">
        <v>833</v>
      </c>
      <c r="B834" s="1" t="s">
        <v>907</v>
      </c>
      <c r="C834" s="1" t="s">
        <v>85</v>
      </c>
      <c r="D834" s="1" t="s">
        <v>1125</v>
      </c>
      <c r="E834" s="1">
        <v>29</v>
      </c>
      <c r="F834" s="1">
        <v>667</v>
      </c>
      <c r="G834" s="1">
        <v>1001</v>
      </c>
      <c r="H834" s="1">
        <v>304</v>
      </c>
      <c r="I834" s="1">
        <v>816</v>
      </c>
      <c r="J834" s="1">
        <v>791</v>
      </c>
      <c r="K834" s="1">
        <v>969</v>
      </c>
      <c r="L834" s="1">
        <v>673</v>
      </c>
      <c r="M834" s="1">
        <v>70.900000000000006</v>
      </c>
      <c r="N834" s="1">
        <v>36.638392000000003</v>
      </c>
      <c r="O834" s="1">
        <v>127.69611879999999</v>
      </c>
      <c r="P834" s="14">
        <f t="shared" ref="P834:P897" si="97">((1001 - J834) / 1000) * 100</f>
        <v>21</v>
      </c>
      <c r="Q834" s="13">
        <v>20</v>
      </c>
      <c r="R834" s="16">
        <f t="shared" ref="R834:R897" si="98">(1001 - G834) / 1000 * 100</f>
        <v>0</v>
      </c>
      <c r="S834" s="14">
        <f t="shared" ref="S834:S897" si="99">(304 - H834) / 303 * 100</f>
        <v>0</v>
      </c>
      <c r="T834" s="13">
        <f t="shared" ref="T834:T897" si="100">(1001 - I834) / 1000 * 100</f>
        <v>18.5</v>
      </c>
      <c r="U834" s="14">
        <f t="shared" ref="U834:U897" si="101">(1001 - K834) / 1000 * 100</f>
        <v>3.2</v>
      </c>
      <c r="V834" s="14">
        <f t="shared" ref="V834:V897" si="102">(1001 - L834) / 1000 * 100</f>
        <v>32.800000000000004</v>
      </c>
      <c r="W834" s="1">
        <f t="shared" ref="W834:W897" si="103">(1001 - A834) / 1000 * 100</f>
        <v>16.8</v>
      </c>
      <c r="X834" s="1" t="str">
        <f>IF(Table1[[#This Row],[World Rank]]&lt;=250,"Q1-Elite",IF(Table1[[#This Row],[World Rank]]&lt;=500,"Q2-Strong",IF(Table1[[#This Row],[World Rank]]&lt;=750,"Q3-Developing","Q4-Emerging")))</f>
        <v>Q4-Emerging</v>
      </c>
    </row>
    <row r="835" spans="1:24" x14ac:dyDescent="0.2">
      <c r="A835" s="1">
        <v>834</v>
      </c>
      <c r="B835" s="1" t="s">
        <v>908</v>
      </c>
      <c r="C835" s="1" t="s">
        <v>307</v>
      </c>
      <c r="D835" s="1" t="s">
        <v>1124</v>
      </c>
      <c r="E835" s="1">
        <v>7</v>
      </c>
      <c r="F835" s="1">
        <v>667</v>
      </c>
      <c r="G835" s="1">
        <v>1001</v>
      </c>
      <c r="H835" s="1">
        <v>304</v>
      </c>
      <c r="I835" s="1">
        <v>829</v>
      </c>
      <c r="J835" s="1">
        <v>1001</v>
      </c>
      <c r="K835" s="1">
        <v>805</v>
      </c>
      <c r="L835" s="1">
        <v>673</v>
      </c>
      <c r="M835" s="1">
        <v>70.900000000000006</v>
      </c>
      <c r="N835" s="1">
        <v>52.215933</v>
      </c>
      <c r="O835" s="1">
        <v>19.134422000000001</v>
      </c>
      <c r="P835" s="14">
        <f t="shared" si="97"/>
        <v>0</v>
      </c>
      <c r="Q835" s="13">
        <v>20</v>
      </c>
      <c r="R835" s="16">
        <f t="shared" si="98"/>
        <v>0</v>
      </c>
      <c r="S835" s="14">
        <f t="shared" si="99"/>
        <v>0</v>
      </c>
      <c r="T835" s="13">
        <f t="shared" si="100"/>
        <v>17.2</v>
      </c>
      <c r="U835" s="14">
        <f t="shared" si="101"/>
        <v>19.600000000000001</v>
      </c>
      <c r="V835" s="14">
        <f t="shared" si="102"/>
        <v>32.800000000000004</v>
      </c>
      <c r="W835" s="1">
        <f t="shared" si="103"/>
        <v>16.7</v>
      </c>
      <c r="X835" s="1" t="str">
        <f>IF(Table1[[#This Row],[World Rank]]&lt;=250,"Q1-Elite",IF(Table1[[#This Row],[World Rank]]&lt;=500,"Q2-Strong",IF(Table1[[#This Row],[World Rank]]&lt;=750,"Q3-Developing","Q4-Emerging")))</f>
        <v>Q4-Emerging</v>
      </c>
    </row>
    <row r="836" spans="1:24" x14ac:dyDescent="0.2">
      <c r="A836" s="1">
        <v>835</v>
      </c>
      <c r="B836" s="1" t="s">
        <v>909</v>
      </c>
      <c r="C836" s="1" t="s">
        <v>15</v>
      </c>
      <c r="D836" s="1" t="s">
        <v>1120</v>
      </c>
      <c r="E836" s="1">
        <v>190</v>
      </c>
      <c r="F836" s="1">
        <v>667</v>
      </c>
      <c r="G836" s="1">
        <v>704</v>
      </c>
      <c r="H836" s="1">
        <v>304</v>
      </c>
      <c r="I836" s="1">
        <v>842</v>
      </c>
      <c r="J836" s="1">
        <v>763</v>
      </c>
      <c r="K836" s="1">
        <v>710</v>
      </c>
      <c r="L836" s="1">
        <v>898</v>
      </c>
      <c r="M836" s="1">
        <v>70.900000000000006</v>
      </c>
      <c r="N836" s="1">
        <v>39.783730400000003</v>
      </c>
      <c r="O836" s="1">
        <v>-100.445882</v>
      </c>
      <c r="P836" s="14">
        <f t="shared" si="97"/>
        <v>23.799999999999997</v>
      </c>
      <c r="Q836" s="13">
        <v>20</v>
      </c>
      <c r="R836" s="16">
        <f t="shared" si="98"/>
        <v>29.7</v>
      </c>
      <c r="S836" s="14">
        <f t="shared" si="99"/>
        <v>0</v>
      </c>
      <c r="T836" s="13">
        <f t="shared" si="100"/>
        <v>15.9</v>
      </c>
      <c r="U836" s="14">
        <f t="shared" si="101"/>
        <v>29.099999999999998</v>
      </c>
      <c r="V836" s="14">
        <f t="shared" si="102"/>
        <v>10.299999999999999</v>
      </c>
      <c r="W836" s="1">
        <f t="shared" si="103"/>
        <v>16.600000000000001</v>
      </c>
      <c r="X836" s="1" t="str">
        <f>IF(Table1[[#This Row],[World Rank]]&lt;=250,"Q1-Elite",IF(Table1[[#This Row],[World Rank]]&lt;=500,"Q2-Strong",IF(Table1[[#This Row],[World Rank]]&lt;=750,"Q3-Developing","Q4-Emerging")))</f>
        <v>Q4-Emerging</v>
      </c>
    </row>
    <row r="837" spans="1:24" x14ac:dyDescent="0.2">
      <c r="A837" s="1">
        <v>836</v>
      </c>
      <c r="B837" s="1" t="s">
        <v>910</v>
      </c>
      <c r="C837" s="1" t="s">
        <v>124</v>
      </c>
      <c r="D837" s="1" t="s">
        <v>1125</v>
      </c>
      <c r="E837" s="1">
        <v>82</v>
      </c>
      <c r="F837" s="1">
        <v>667</v>
      </c>
      <c r="G837" s="1">
        <v>1001</v>
      </c>
      <c r="H837" s="1">
        <v>304</v>
      </c>
      <c r="I837" s="1">
        <v>553</v>
      </c>
      <c r="J837" s="1">
        <v>721</v>
      </c>
      <c r="K837" s="1">
        <v>1001</v>
      </c>
      <c r="L837" s="1">
        <v>1001</v>
      </c>
      <c r="M837" s="1">
        <v>70.8</v>
      </c>
      <c r="N837" s="1">
        <v>30.047992000000001</v>
      </c>
      <c r="O837" s="1">
        <v>-94.335743300000004</v>
      </c>
      <c r="P837" s="14">
        <f t="shared" si="97"/>
        <v>28.000000000000004</v>
      </c>
      <c r="Q837" s="13">
        <v>20</v>
      </c>
      <c r="R837" s="16">
        <f t="shared" si="98"/>
        <v>0</v>
      </c>
      <c r="S837" s="14">
        <f t="shared" si="99"/>
        <v>0</v>
      </c>
      <c r="T837" s="13">
        <f t="shared" si="100"/>
        <v>44.800000000000004</v>
      </c>
      <c r="U837" s="14">
        <f t="shared" si="101"/>
        <v>0</v>
      </c>
      <c r="V837" s="14">
        <f t="shared" si="102"/>
        <v>0</v>
      </c>
      <c r="W837" s="1">
        <f t="shared" si="103"/>
        <v>16.5</v>
      </c>
      <c r="X837" s="1" t="str">
        <f>IF(Table1[[#This Row],[World Rank]]&lt;=250,"Q1-Elite",IF(Table1[[#This Row],[World Rank]]&lt;=500,"Q2-Strong",IF(Table1[[#This Row],[World Rank]]&lt;=750,"Q3-Developing","Q4-Emerging")))</f>
        <v>Q4-Emerging</v>
      </c>
    </row>
    <row r="838" spans="1:24" x14ac:dyDescent="0.2">
      <c r="A838" s="1">
        <v>837</v>
      </c>
      <c r="B838" s="1" t="s">
        <v>911</v>
      </c>
      <c r="C838" s="1" t="s">
        <v>124</v>
      </c>
      <c r="D838" s="1" t="s">
        <v>1125</v>
      </c>
      <c r="E838" s="1">
        <v>83</v>
      </c>
      <c r="F838" s="1">
        <v>667</v>
      </c>
      <c r="G838" s="1">
        <v>10</v>
      </c>
      <c r="H838" s="1">
        <v>304</v>
      </c>
      <c r="I838" s="1">
        <v>1001</v>
      </c>
      <c r="J838" s="1">
        <v>1001</v>
      </c>
      <c r="K838" s="1">
        <v>1001</v>
      </c>
      <c r="L838" s="1">
        <v>1001</v>
      </c>
      <c r="M838" s="1">
        <v>70.8</v>
      </c>
      <c r="N838" s="1">
        <v>30.047992000000001</v>
      </c>
      <c r="O838" s="1">
        <v>-94.335743300000004</v>
      </c>
      <c r="P838" s="14">
        <f t="shared" si="97"/>
        <v>0</v>
      </c>
      <c r="Q838" s="13">
        <v>20</v>
      </c>
      <c r="R838" s="16">
        <f t="shared" si="98"/>
        <v>99.1</v>
      </c>
      <c r="S838" s="14">
        <f t="shared" si="99"/>
        <v>0</v>
      </c>
      <c r="T838" s="13">
        <f t="shared" si="100"/>
        <v>0</v>
      </c>
      <c r="U838" s="14">
        <f t="shared" si="101"/>
        <v>0</v>
      </c>
      <c r="V838" s="14">
        <f t="shared" si="102"/>
        <v>0</v>
      </c>
      <c r="W838" s="1">
        <f t="shared" si="103"/>
        <v>16.400000000000002</v>
      </c>
      <c r="X838" s="1" t="str">
        <f>IF(Table1[[#This Row],[World Rank]]&lt;=250,"Q1-Elite",IF(Table1[[#This Row],[World Rank]]&lt;=500,"Q2-Strong",IF(Table1[[#This Row],[World Rank]]&lt;=750,"Q3-Developing","Q4-Emerging")))</f>
        <v>Q4-Emerging</v>
      </c>
    </row>
    <row r="839" spans="1:24" x14ac:dyDescent="0.2">
      <c r="A839" s="1">
        <v>838</v>
      </c>
      <c r="B839" s="1" t="s">
        <v>912</v>
      </c>
      <c r="C839" s="1" t="s">
        <v>28</v>
      </c>
      <c r="D839" s="1" t="s">
        <v>1125</v>
      </c>
      <c r="E839" s="1">
        <v>37</v>
      </c>
      <c r="F839" s="1">
        <v>667</v>
      </c>
      <c r="G839" s="1">
        <v>1001</v>
      </c>
      <c r="H839" s="1">
        <v>304</v>
      </c>
      <c r="I839" s="1">
        <v>874</v>
      </c>
      <c r="J839" s="1">
        <v>892</v>
      </c>
      <c r="K839" s="1">
        <v>646</v>
      </c>
      <c r="L839" s="1">
        <v>673</v>
      </c>
      <c r="M839" s="1">
        <v>70.8</v>
      </c>
      <c r="N839" s="1">
        <v>36.5748441</v>
      </c>
      <c r="O839" s="1">
        <v>139.23941790000001</v>
      </c>
      <c r="P839" s="14">
        <f t="shared" si="97"/>
        <v>10.9</v>
      </c>
      <c r="Q839" s="13">
        <v>20</v>
      </c>
      <c r="R839" s="16">
        <f t="shared" si="98"/>
        <v>0</v>
      </c>
      <c r="S839" s="14">
        <f t="shared" si="99"/>
        <v>0</v>
      </c>
      <c r="T839" s="13">
        <f t="shared" si="100"/>
        <v>12.7</v>
      </c>
      <c r="U839" s="14">
        <f t="shared" si="101"/>
        <v>35.5</v>
      </c>
      <c r="V839" s="14">
        <f t="shared" si="102"/>
        <v>32.800000000000004</v>
      </c>
      <c r="W839" s="1">
        <f t="shared" si="103"/>
        <v>16.3</v>
      </c>
      <c r="X839" s="1" t="str">
        <f>IF(Table1[[#This Row],[World Rank]]&lt;=250,"Q1-Elite",IF(Table1[[#This Row],[World Rank]]&lt;=500,"Q2-Strong",IF(Table1[[#This Row],[World Rank]]&lt;=750,"Q3-Developing","Q4-Emerging")))</f>
        <v>Q4-Emerging</v>
      </c>
    </row>
    <row r="840" spans="1:24" x14ac:dyDescent="0.2">
      <c r="A840" s="1">
        <v>839</v>
      </c>
      <c r="B840" s="1" t="s">
        <v>913</v>
      </c>
      <c r="C840" s="1" t="s">
        <v>68</v>
      </c>
      <c r="D840" s="1" t="s">
        <v>1124</v>
      </c>
      <c r="E840" s="1">
        <v>51</v>
      </c>
      <c r="F840" s="1">
        <v>667</v>
      </c>
      <c r="G840" s="1">
        <v>1001</v>
      </c>
      <c r="H840" s="1">
        <v>304</v>
      </c>
      <c r="I840" s="1">
        <v>998</v>
      </c>
      <c r="J840" s="1">
        <v>844</v>
      </c>
      <c r="K840" s="1">
        <v>906</v>
      </c>
      <c r="L840" s="1">
        <v>460</v>
      </c>
      <c r="M840" s="1">
        <v>70.8</v>
      </c>
      <c r="N840" s="1">
        <v>40.420347900000003</v>
      </c>
      <c r="O840" s="1">
        <v>-79.116698299999996</v>
      </c>
      <c r="P840" s="14">
        <f t="shared" si="97"/>
        <v>15.7</v>
      </c>
      <c r="Q840" s="13">
        <v>20</v>
      </c>
      <c r="R840" s="16">
        <f t="shared" si="98"/>
        <v>0</v>
      </c>
      <c r="S840" s="14">
        <f t="shared" si="99"/>
        <v>0</v>
      </c>
      <c r="T840" s="13">
        <f t="shared" si="100"/>
        <v>0.3</v>
      </c>
      <c r="U840" s="14">
        <f t="shared" si="101"/>
        <v>9.5</v>
      </c>
      <c r="V840" s="14">
        <f t="shared" si="102"/>
        <v>54.1</v>
      </c>
      <c r="W840" s="1">
        <f t="shared" si="103"/>
        <v>16.2</v>
      </c>
      <c r="X840" s="1" t="str">
        <f>IF(Table1[[#This Row],[World Rank]]&lt;=250,"Q1-Elite",IF(Table1[[#This Row],[World Rank]]&lt;=500,"Q2-Strong",IF(Table1[[#This Row],[World Rank]]&lt;=750,"Q3-Developing","Q4-Emerging")))</f>
        <v>Q4-Emerging</v>
      </c>
    </row>
    <row r="841" spans="1:24" x14ac:dyDescent="0.2">
      <c r="A841" s="1">
        <v>840</v>
      </c>
      <c r="B841" s="1" t="s">
        <v>914</v>
      </c>
      <c r="C841" s="1" t="s">
        <v>107</v>
      </c>
      <c r="D841" s="1" t="s">
        <v>1123</v>
      </c>
      <c r="E841" s="1">
        <v>14</v>
      </c>
      <c r="F841" s="1">
        <v>667</v>
      </c>
      <c r="G841" s="1">
        <v>1001</v>
      </c>
      <c r="H841" s="1">
        <v>304</v>
      </c>
      <c r="I841" s="1">
        <v>549</v>
      </c>
      <c r="J841" s="1">
        <v>774</v>
      </c>
      <c r="K841" s="1">
        <v>1001</v>
      </c>
      <c r="L841" s="1">
        <v>1001</v>
      </c>
      <c r="M841" s="1">
        <v>70.8</v>
      </c>
      <c r="N841" s="1">
        <v>-10.3333333</v>
      </c>
      <c r="O841" s="1">
        <v>-53.2</v>
      </c>
      <c r="P841" s="14">
        <f t="shared" si="97"/>
        <v>22.7</v>
      </c>
      <c r="Q841" s="13">
        <v>20</v>
      </c>
      <c r="R841" s="16">
        <f t="shared" si="98"/>
        <v>0</v>
      </c>
      <c r="S841" s="14">
        <f t="shared" si="99"/>
        <v>0</v>
      </c>
      <c r="T841" s="13">
        <f t="shared" si="100"/>
        <v>45.2</v>
      </c>
      <c r="U841" s="14">
        <f t="shared" si="101"/>
        <v>0</v>
      </c>
      <c r="V841" s="14">
        <f t="shared" si="102"/>
        <v>0</v>
      </c>
      <c r="W841" s="1">
        <f t="shared" si="103"/>
        <v>16.100000000000001</v>
      </c>
      <c r="X841" s="1" t="str">
        <f>IF(Table1[[#This Row],[World Rank]]&lt;=250,"Q1-Elite",IF(Table1[[#This Row],[World Rank]]&lt;=500,"Q2-Strong",IF(Table1[[#This Row],[World Rank]]&lt;=750,"Q3-Developing","Q4-Emerging")))</f>
        <v>Q4-Emerging</v>
      </c>
    </row>
    <row r="842" spans="1:24" x14ac:dyDescent="0.2">
      <c r="A842" s="1">
        <v>841</v>
      </c>
      <c r="B842" s="1" t="s">
        <v>915</v>
      </c>
      <c r="C842" s="1" t="s">
        <v>28</v>
      </c>
      <c r="D842" s="1" t="s">
        <v>1125</v>
      </c>
      <c r="E842" s="1">
        <v>38</v>
      </c>
      <c r="F842" s="1">
        <v>667</v>
      </c>
      <c r="G842" s="1">
        <v>1001</v>
      </c>
      <c r="H842" s="1">
        <v>232</v>
      </c>
      <c r="I842" s="1">
        <v>1001</v>
      </c>
      <c r="J842" s="1">
        <v>1001</v>
      </c>
      <c r="K842" s="1">
        <v>553</v>
      </c>
      <c r="L842" s="1">
        <v>1001</v>
      </c>
      <c r="M842" s="1">
        <v>70.8</v>
      </c>
      <c r="N842" s="1">
        <v>36.5748441</v>
      </c>
      <c r="O842" s="1">
        <v>139.23941790000001</v>
      </c>
      <c r="P842" s="14">
        <f t="shared" si="97"/>
        <v>0</v>
      </c>
      <c r="Q842" s="13">
        <v>20</v>
      </c>
      <c r="R842" s="16">
        <f t="shared" si="98"/>
        <v>0</v>
      </c>
      <c r="S842" s="14">
        <f t="shared" si="99"/>
        <v>23.762376237623762</v>
      </c>
      <c r="T842" s="13">
        <f t="shared" si="100"/>
        <v>0</v>
      </c>
      <c r="U842" s="14">
        <f t="shared" si="101"/>
        <v>44.800000000000004</v>
      </c>
      <c r="V842" s="14">
        <f t="shared" si="102"/>
        <v>0</v>
      </c>
      <c r="W842" s="1">
        <f t="shared" si="103"/>
        <v>16</v>
      </c>
      <c r="X842" s="1" t="str">
        <f>IF(Table1[[#This Row],[World Rank]]&lt;=250,"Q1-Elite",IF(Table1[[#This Row],[World Rank]]&lt;=500,"Q2-Strong",IF(Table1[[#This Row],[World Rank]]&lt;=750,"Q3-Developing","Q4-Emerging")))</f>
        <v>Q4-Emerging</v>
      </c>
    </row>
    <row r="843" spans="1:24" x14ac:dyDescent="0.2">
      <c r="A843" s="1">
        <v>842</v>
      </c>
      <c r="B843" s="1" t="s">
        <v>916</v>
      </c>
      <c r="C843" s="1" t="s">
        <v>34</v>
      </c>
      <c r="D843" s="1" t="s">
        <v>1120</v>
      </c>
      <c r="E843" s="1">
        <v>26</v>
      </c>
      <c r="F843" s="1">
        <v>667</v>
      </c>
      <c r="G843" s="1">
        <v>1001</v>
      </c>
      <c r="H843" s="1">
        <v>304</v>
      </c>
      <c r="I843" s="1">
        <v>1001</v>
      </c>
      <c r="J843" s="1">
        <v>935</v>
      </c>
      <c r="K843" s="1">
        <v>748</v>
      </c>
      <c r="L843" s="1">
        <v>405</v>
      </c>
      <c r="M843" s="1">
        <v>70.8</v>
      </c>
      <c r="N843" s="1">
        <v>61.066692199999999</v>
      </c>
      <c r="O843" s="1">
        <v>-107.99170700000001</v>
      </c>
      <c r="P843" s="14">
        <f t="shared" si="97"/>
        <v>6.6000000000000005</v>
      </c>
      <c r="Q843" s="13">
        <v>20</v>
      </c>
      <c r="R843" s="16">
        <f t="shared" si="98"/>
        <v>0</v>
      </c>
      <c r="S843" s="14">
        <f t="shared" si="99"/>
        <v>0</v>
      </c>
      <c r="T843" s="13">
        <f t="shared" si="100"/>
        <v>0</v>
      </c>
      <c r="U843" s="14">
        <f t="shared" si="101"/>
        <v>25.3</v>
      </c>
      <c r="V843" s="14">
        <f t="shared" si="102"/>
        <v>59.599999999999994</v>
      </c>
      <c r="W843" s="1">
        <f t="shared" si="103"/>
        <v>15.9</v>
      </c>
      <c r="X843" s="1" t="str">
        <f>IF(Table1[[#This Row],[World Rank]]&lt;=250,"Q1-Elite",IF(Table1[[#This Row],[World Rank]]&lt;=500,"Q2-Strong",IF(Table1[[#This Row],[World Rank]]&lt;=750,"Q3-Developing","Q4-Emerging")))</f>
        <v>Q4-Emerging</v>
      </c>
    </row>
    <row r="844" spans="1:24" x14ac:dyDescent="0.2">
      <c r="A844" s="1">
        <v>843</v>
      </c>
      <c r="B844" s="1" t="s">
        <v>917</v>
      </c>
      <c r="C844" s="1" t="s">
        <v>15</v>
      </c>
      <c r="D844" s="1" t="s">
        <v>1120</v>
      </c>
      <c r="E844" s="1">
        <v>191</v>
      </c>
      <c r="F844" s="1">
        <v>667</v>
      </c>
      <c r="G844" s="1">
        <v>388</v>
      </c>
      <c r="H844" s="1">
        <v>304</v>
      </c>
      <c r="I844" s="1">
        <v>964</v>
      </c>
      <c r="J844" s="1">
        <v>748</v>
      </c>
      <c r="K844" s="1">
        <v>658</v>
      </c>
      <c r="L844" s="1">
        <v>898</v>
      </c>
      <c r="M844" s="1">
        <v>70.8</v>
      </c>
      <c r="N844" s="1">
        <v>39.783730400000003</v>
      </c>
      <c r="O844" s="1">
        <v>-100.445882</v>
      </c>
      <c r="P844" s="14">
        <f t="shared" si="97"/>
        <v>25.3</v>
      </c>
      <c r="Q844" s="13">
        <v>20</v>
      </c>
      <c r="R844" s="16">
        <f t="shared" si="98"/>
        <v>61.3</v>
      </c>
      <c r="S844" s="14">
        <f t="shared" si="99"/>
        <v>0</v>
      </c>
      <c r="T844" s="13">
        <f t="shared" si="100"/>
        <v>3.6999999999999997</v>
      </c>
      <c r="U844" s="14">
        <f t="shared" si="101"/>
        <v>34.300000000000004</v>
      </c>
      <c r="V844" s="14">
        <f t="shared" si="102"/>
        <v>10.299999999999999</v>
      </c>
      <c r="W844" s="1">
        <f t="shared" si="103"/>
        <v>15.8</v>
      </c>
      <c r="X844" s="1" t="str">
        <f>IF(Table1[[#This Row],[World Rank]]&lt;=250,"Q1-Elite",IF(Table1[[#This Row],[World Rank]]&lt;=500,"Q2-Strong",IF(Table1[[#This Row],[World Rank]]&lt;=750,"Q3-Developing","Q4-Emerging")))</f>
        <v>Q4-Emerging</v>
      </c>
    </row>
    <row r="845" spans="1:24" x14ac:dyDescent="0.2">
      <c r="A845" s="1">
        <v>844</v>
      </c>
      <c r="B845" s="1" t="s">
        <v>918</v>
      </c>
      <c r="C845" s="1" t="s">
        <v>307</v>
      </c>
      <c r="D845" s="1" t="s">
        <v>1124</v>
      </c>
      <c r="E845" s="1">
        <v>8</v>
      </c>
      <c r="F845" s="1">
        <v>667</v>
      </c>
      <c r="G845" s="1">
        <v>934</v>
      </c>
      <c r="H845" s="1">
        <v>304</v>
      </c>
      <c r="I845" s="1">
        <v>620</v>
      </c>
      <c r="J845" s="1">
        <v>830</v>
      </c>
      <c r="K845" s="1">
        <v>1001</v>
      </c>
      <c r="L845" s="1">
        <v>898</v>
      </c>
      <c r="M845" s="1">
        <v>70.8</v>
      </c>
      <c r="N845" s="1">
        <v>52.215933</v>
      </c>
      <c r="O845" s="1">
        <v>19.134422000000001</v>
      </c>
      <c r="P845" s="14">
        <f t="shared" si="97"/>
        <v>17.100000000000001</v>
      </c>
      <c r="Q845" s="13">
        <v>20</v>
      </c>
      <c r="R845" s="16">
        <f t="shared" si="98"/>
        <v>6.7</v>
      </c>
      <c r="S845" s="14">
        <f t="shared" si="99"/>
        <v>0</v>
      </c>
      <c r="T845" s="13">
        <f t="shared" si="100"/>
        <v>38.1</v>
      </c>
      <c r="U845" s="14">
        <f t="shared" si="101"/>
        <v>0</v>
      </c>
      <c r="V845" s="14">
        <f t="shared" si="102"/>
        <v>10.299999999999999</v>
      </c>
      <c r="W845" s="1">
        <f t="shared" si="103"/>
        <v>15.7</v>
      </c>
      <c r="X845" s="1" t="str">
        <f>IF(Table1[[#This Row],[World Rank]]&lt;=250,"Q1-Elite",IF(Table1[[#This Row],[World Rank]]&lt;=500,"Q2-Strong",IF(Table1[[#This Row],[World Rank]]&lt;=750,"Q3-Developing","Q4-Emerging")))</f>
        <v>Q4-Emerging</v>
      </c>
    </row>
    <row r="846" spans="1:24" x14ac:dyDescent="0.2">
      <c r="A846" s="1">
        <v>845</v>
      </c>
      <c r="B846" s="1" t="s">
        <v>919</v>
      </c>
      <c r="C846" s="1" t="s">
        <v>28</v>
      </c>
      <c r="D846" s="1" t="s">
        <v>1125</v>
      </c>
      <c r="E846" s="1">
        <v>39</v>
      </c>
      <c r="F846" s="1">
        <v>667</v>
      </c>
      <c r="G846" s="1">
        <v>444</v>
      </c>
      <c r="H846" s="1">
        <v>304</v>
      </c>
      <c r="I846" s="1">
        <v>776</v>
      </c>
      <c r="J846" s="1">
        <v>778</v>
      </c>
      <c r="K846" s="1">
        <v>1001</v>
      </c>
      <c r="L846" s="1">
        <v>898</v>
      </c>
      <c r="M846" s="1">
        <v>70.8</v>
      </c>
      <c r="N846" s="1">
        <v>36.5748441</v>
      </c>
      <c r="O846" s="1">
        <v>139.23941790000001</v>
      </c>
      <c r="P846" s="14">
        <f t="shared" si="97"/>
        <v>22.3</v>
      </c>
      <c r="Q846" s="13">
        <v>20</v>
      </c>
      <c r="R846" s="16">
        <f t="shared" si="98"/>
        <v>55.7</v>
      </c>
      <c r="S846" s="14">
        <f t="shared" si="99"/>
        <v>0</v>
      </c>
      <c r="T846" s="13">
        <f t="shared" si="100"/>
        <v>22.5</v>
      </c>
      <c r="U846" s="14">
        <f t="shared" si="101"/>
        <v>0</v>
      </c>
      <c r="V846" s="14">
        <f t="shared" si="102"/>
        <v>10.299999999999999</v>
      </c>
      <c r="W846" s="1">
        <f t="shared" si="103"/>
        <v>15.6</v>
      </c>
      <c r="X846" s="1" t="str">
        <f>IF(Table1[[#This Row],[World Rank]]&lt;=250,"Q1-Elite",IF(Table1[[#This Row],[World Rank]]&lt;=500,"Q2-Strong",IF(Table1[[#This Row],[World Rank]]&lt;=750,"Q3-Developing","Q4-Emerging")))</f>
        <v>Q4-Emerging</v>
      </c>
    </row>
    <row r="847" spans="1:24" x14ac:dyDescent="0.2">
      <c r="A847" s="1">
        <v>846</v>
      </c>
      <c r="B847" s="1" t="s">
        <v>920</v>
      </c>
      <c r="C847" s="1" t="s">
        <v>145</v>
      </c>
      <c r="D847" s="1" t="s">
        <v>1125</v>
      </c>
      <c r="E847" s="1">
        <v>14</v>
      </c>
      <c r="F847" s="1">
        <v>667</v>
      </c>
      <c r="G847" s="1">
        <v>1001</v>
      </c>
      <c r="H847" s="1">
        <v>304</v>
      </c>
      <c r="I847" s="1">
        <v>848</v>
      </c>
      <c r="J847" s="1">
        <v>765</v>
      </c>
      <c r="K847" s="1">
        <v>1001</v>
      </c>
      <c r="L847" s="1">
        <v>673</v>
      </c>
      <c r="M847" s="1">
        <v>70.8</v>
      </c>
      <c r="N847" s="1">
        <v>23.598322700000001</v>
      </c>
      <c r="O847" s="2" t="s">
        <v>146</v>
      </c>
      <c r="P847" s="14">
        <f t="shared" si="97"/>
        <v>23.599999999999998</v>
      </c>
      <c r="Q847" s="13">
        <v>20</v>
      </c>
      <c r="R847" s="16">
        <f t="shared" si="98"/>
        <v>0</v>
      </c>
      <c r="S847" s="14">
        <f t="shared" si="99"/>
        <v>0</v>
      </c>
      <c r="T847" s="13">
        <f t="shared" si="100"/>
        <v>15.299999999999999</v>
      </c>
      <c r="U847" s="14">
        <f t="shared" si="101"/>
        <v>0</v>
      </c>
      <c r="V847" s="14">
        <f t="shared" si="102"/>
        <v>32.800000000000004</v>
      </c>
      <c r="W847" s="1">
        <f t="shared" si="103"/>
        <v>15.5</v>
      </c>
      <c r="X847" s="1" t="str">
        <f>IF(Table1[[#This Row],[World Rank]]&lt;=250,"Q1-Elite",IF(Table1[[#This Row],[World Rank]]&lt;=500,"Q2-Strong",IF(Table1[[#This Row],[World Rank]]&lt;=750,"Q3-Developing","Q4-Emerging")))</f>
        <v>Q4-Emerging</v>
      </c>
    </row>
    <row r="848" spans="1:24" x14ac:dyDescent="0.2">
      <c r="A848" s="1">
        <v>847</v>
      </c>
      <c r="B848" s="1" t="s">
        <v>921</v>
      </c>
      <c r="C848" s="1" t="s">
        <v>107</v>
      </c>
      <c r="D848" s="1" t="s">
        <v>1123</v>
      </c>
      <c r="E848" s="1">
        <v>15</v>
      </c>
      <c r="F848" s="1">
        <v>667</v>
      </c>
      <c r="G848" s="1">
        <v>1001</v>
      </c>
      <c r="H848" s="1">
        <v>304</v>
      </c>
      <c r="I848" s="1">
        <v>583</v>
      </c>
      <c r="J848" s="1">
        <v>760</v>
      </c>
      <c r="K848" s="1">
        <v>1001</v>
      </c>
      <c r="L848" s="1">
        <v>1001</v>
      </c>
      <c r="M848" s="1">
        <v>70.8</v>
      </c>
      <c r="N848" s="1">
        <v>-10.3333333</v>
      </c>
      <c r="O848" s="1">
        <v>-53.2</v>
      </c>
      <c r="P848" s="14">
        <f t="shared" si="97"/>
        <v>24.099999999999998</v>
      </c>
      <c r="Q848" s="13">
        <v>20</v>
      </c>
      <c r="R848" s="16">
        <f t="shared" si="98"/>
        <v>0</v>
      </c>
      <c r="S848" s="14">
        <f t="shared" si="99"/>
        <v>0</v>
      </c>
      <c r="T848" s="13">
        <f t="shared" si="100"/>
        <v>41.8</v>
      </c>
      <c r="U848" s="14">
        <f t="shared" si="101"/>
        <v>0</v>
      </c>
      <c r="V848" s="14">
        <f t="shared" si="102"/>
        <v>0</v>
      </c>
      <c r="W848" s="1">
        <f t="shared" si="103"/>
        <v>15.4</v>
      </c>
      <c r="X848" s="1" t="str">
        <f>IF(Table1[[#This Row],[World Rank]]&lt;=250,"Q1-Elite",IF(Table1[[#This Row],[World Rank]]&lt;=500,"Q2-Strong",IF(Table1[[#This Row],[World Rank]]&lt;=750,"Q3-Developing","Q4-Emerging")))</f>
        <v>Q4-Emerging</v>
      </c>
    </row>
    <row r="849" spans="1:24" x14ac:dyDescent="0.2">
      <c r="A849" s="1">
        <v>848</v>
      </c>
      <c r="B849" s="1" t="s">
        <v>922</v>
      </c>
      <c r="C849" s="1" t="s">
        <v>304</v>
      </c>
      <c r="D849" s="1" t="s">
        <v>1120</v>
      </c>
      <c r="E849" s="1">
        <v>4</v>
      </c>
      <c r="F849" s="1">
        <v>667</v>
      </c>
      <c r="G849" s="1">
        <v>1001</v>
      </c>
      <c r="H849" s="1">
        <v>304</v>
      </c>
      <c r="I849" s="1">
        <v>730</v>
      </c>
      <c r="J849" s="1">
        <v>980</v>
      </c>
      <c r="K849" s="1">
        <v>869</v>
      </c>
      <c r="L849" s="1">
        <v>673</v>
      </c>
      <c r="M849" s="1">
        <v>70.8</v>
      </c>
      <c r="N849" s="1">
        <v>19.432629599999999</v>
      </c>
      <c r="O849" s="1">
        <v>-99.1331785</v>
      </c>
      <c r="P849" s="14">
        <f t="shared" si="97"/>
        <v>2.1</v>
      </c>
      <c r="Q849" s="13">
        <v>20</v>
      </c>
      <c r="R849" s="16">
        <f t="shared" si="98"/>
        <v>0</v>
      </c>
      <c r="S849" s="14">
        <f t="shared" si="99"/>
        <v>0</v>
      </c>
      <c r="T849" s="13">
        <f t="shared" si="100"/>
        <v>27.1</v>
      </c>
      <c r="U849" s="14">
        <f t="shared" si="101"/>
        <v>13.200000000000001</v>
      </c>
      <c r="V849" s="14">
        <f t="shared" si="102"/>
        <v>32.800000000000004</v>
      </c>
      <c r="W849" s="1">
        <f t="shared" si="103"/>
        <v>15.299999999999999</v>
      </c>
      <c r="X849" s="1" t="str">
        <f>IF(Table1[[#This Row],[World Rank]]&lt;=250,"Q1-Elite",IF(Table1[[#This Row],[World Rank]]&lt;=500,"Q2-Strong",IF(Table1[[#This Row],[World Rank]]&lt;=750,"Q3-Developing","Q4-Emerging")))</f>
        <v>Q4-Emerging</v>
      </c>
    </row>
    <row r="850" spans="1:24" x14ac:dyDescent="0.2">
      <c r="A850" s="1">
        <v>849</v>
      </c>
      <c r="B850" s="1" t="s">
        <v>923</v>
      </c>
      <c r="C850" s="1" t="s">
        <v>48</v>
      </c>
      <c r="D850" s="1" t="s">
        <v>1124</v>
      </c>
      <c r="E850" s="1">
        <v>47</v>
      </c>
      <c r="F850" s="1">
        <v>667</v>
      </c>
      <c r="G850" s="1">
        <v>1001</v>
      </c>
      <c r="H850" s="1">
        <v>304</v>
      </c>
      <c r="I850" s="1">
        <v>857</v>
      </c>
      <c r="J850" s="1">
        <v>722</v>
      </c>
      <c r="K850" s="1">
        <v>585</v>
      </c>
      <c r="L850" s="1">
        <v>1001</v>
      </c>
      <c r="M850" s="1">
        <v>70.8</v>
      </c>
      <c r="N850" s="1">
        <v>46.603354000000003</v>
      </c>
      <c r="O850" s="1">
        <v>1.8883335000000001</v>
      </c>
      <c r="P850" s="14">
        <f t="shared" si="97"/>
        <v>27.900000000000002</v>
      </c>
      <c r="Q850" s="13">
        <v>20</v>
      </c>
      <c r="R850" s="16">
        <f t="shared" si="98"/>
        <v>0</v>
      </c>
      <c r="S850" s="14">
        <f t="shared" si="99"/>
        <v>0</v>
      </c>
      <c r="T850" s="13">
        <f t="shared" si="100"/>
        <v>14.399999999999999</v>
      </c>
      <c r="U850" s="14">
        <f t="shared" si="101"/>
        <v>41.6</v>
      </c>
      <c r="V850" s="14">
        <f t="shared" si="102"/>
        <v>0</v>
      </c>
      <c r="W850" s="1">
        <f t="shared" si="103"/>
        <v>15.2</v>
      </c>
      <c r="X850" s="1" t="str">
        <f>IF(Table1[[#This Row],[World Rank]]&lt;=250,"Q1-Elite",IF(Table1[[#This Row],[World Rank]]&lt;=500,"Q2-Strong",IF(Table1[[#This Row],[World Rank]]&lt;=750,"Q3-Developing","Q4-Emerging")))</f>
        <v>Q4-Emerging</v>
      </c>
    </row>
    <row r="851" spans="1:24" x14ac:dyDescent="0.2">
      <c r="A851" s="1">
        <v>850</v>
      </c>
      <c r="B851" s="1" t="s">
        <v>924</v>
      </c>
      <c r="C851" s="1" t="s">
        <v>28</v>
      </c>
      <c r="D851" s="1" t="s">
        <v>1125</v>
      </c>
      <c r="E851" s="1">
        <v>40</v>
      </c>
      <c r="F851" s="1">
        <v>667</v>
      </c>
      <c r="G851" s="1">
        <v>1001</v>
      </c>
      <c r="H851" s="1">
        <v>304</v>
      </c>
      <c r="I851" s="1">
        <v>792</v>
      </c>
      <c r="J851" s="1">
        <v>851</v>
      </c>
      <c r="K851" s="1">
        <v>739</v>
      </c>
      <c r="L851" s="1">
        <v>898</v>
      </c>
      <c r="M851" s="1">
        <v>70.7</v>
      </c>
      <c r="N851" s="1">
        <v>36.5748441</v>
      </c>
      <c r="O851" s="1">
        <v>139.23941790000001</v>
      </c>
      <c r="P851" s="14">
        <f t="shared" si="97"/>
        <v>15</v>
      </c>
      <c r="Q851" s="13">
        <v>20</v>
      </c>
      <c r="R851" s="16">
        <f t="shared" si="98"/>
        <v>0</v>
      </c>
      <c r="S851" s="14">
        <f t="shared" si="99"/>
        <v>0</v>
      </c>
      <c r="T851" s="13">
        <f t="shared" si="100"/>
        <v>20.9</v>
      </c>
      <c r="U851" s="14">
        <f t="shared" si="101"/>
        <v>26.200000000000003</v>
      </c>
      <c r="V851" s="14">
        <f t="shared" si="102"/>
        <v>10.299999999999999</v>
      </c>
      <c r="W851" s="1">
        <f t="shared" si="103"/>
        <v>15.1</v>
      </c>
      <c r="X851" s="1" t="str">
        <f>IF(Table1[[#This Row],[World Rank]]&lt;=250,"Q1-Elite",IF(Table1[[#This Row],[World Rank]]&lt;=500,"Q2-Strong",IF(Table1[[#This Row],[World Rank]]&lt;=750,"Q3-Developing","Q4-Emerging")))</f>
        <v>Q4-Emerging</v>
      </c>
    </row>
    <row r="852" spans="1:24" x14ac:dyDescent="0.2">
      <c r="A852" s="1">
        <v>851</v>
      </c>
      <c r="B852" s="1" t="s">
        <v>925</v>
      </c>
      <c r="C852" s="1" t="s">
        <v>124</v>
      </c>
      <c r="D852" s="1" t="s">
        <v>1125</v>
      </c>
      <c r="E852" s="1">
        <v>84</v>
      </c>
      <c r="F852" s="1">
        <v>667</v>
      </c>
      <c r="G852" s="1">
        <v>1001</v>
      </c>
      <c r="H852" s="1">
        <v>304</v>
      </c>
      <c r="I852" s="1">
        <v>764</v>
      </c>
      <c r="J852" s="1">
        <v>809</v>
      </c>
      <c r="K852" s="1">
        <v>1001</v>
      </c>
      <c r="L852" s="1">
        <v>673</v>
      </c>
      <c r="M852" s="1">
        <v>70.7</v>
      </c>
      <c r="N852" s="1">
        <v>30.047992000000001</v>
      </c>
      <c r="O852" s="1">
        <v>-94.335743300000004</v>
      </c>
      <c r="P852" s="14">
        <f t="shared" si="97"/>
        <v>19.2</v>
      </c>
      <c r="Q852" s="13">
        <v>20</v>
      </c>
      <c r="R852" s="16">
        <f t="shared" si="98"/>
        <v>0</v>
      </c>
      <c r="S852" s="14">
        <f t="shared" si="99"/>
        <v>0</v>
      </c>
      <c r="T852" s="13">
        <f t="shared" si="100"/>
        <v>23.7</v>
      </c>
      <c r="U852" s="14">
        <f t="shared" si="101"/>
        <v>0</v>
      </c>
      <c r="V852" s="14">
        <f t="shared" si="102"/>
        <v>32.800000000000004</v>
      </c>
      <c r="W852" s="1">
        <f t="shared" si="103"/>
        <v>15</v>
      </c>
      <c r="X852" s="1" t="str">
        <f>IF(Table1[[#This Row],[World Rank]]&lt;=250,"Q1-Elite",IF(Table1[[#This Row],[World Rank]]&lt;=500,"Q2-Strong",IF(Table1[[#This Row],[World Rank]]&lt;=750,"Q3-Developing","Q4-Emerging")))</f>
        <v>Q4-Emerging</v>
      </c>
    </row>
    <row r="853" spans="1:24" x14ac:dyDescent="0.2">
      <c r="A853" s="1">
        <v>852</v>
      </c>
      <c r="B853" s="1" t="s">
        <v>926</v>
      </c>
      <c r="C853" s="1" t="s">
        <v>85</v>
      </c>
      <c r="D853" s="1" t="s">
        <v>1125</v>
      </c>
      <c r="E853" s="1">
        <v>30</v>
      </c>
      <c r="F853" s="1">
        <v>667</v>
      </c>
      <c r="G853" s="1">
        <v>1001</v>
      </c>
      <c r="H853" s="1">
        <v>304</v>
      </c>
      <c r="I853" s="1">
        <v>749</v>
      </c>
      <c r="J853" s="1">
        <v>799</v>
      </c>
      <c r="K853" s="1">
        <v>1001</v>
      </c>
      <c r="L853" s="1">
        <v>898</v>
      </c>
      <c r="M853" s="1">
        <v>70.7</v>
      </c>
      <c r="N853" s="1">
        <v>36.638392000000003</v>
      </c>
      <c r="O853" s="1">
        <v>127.69611879999999</v>
      </c>
      <c r="P853" s="14">
        <f t="shared" si="97"/>
        <v>20.200000000000003</v>
      </c>
      <c r="Q853" s="13">
        <v>20</v>
      </c>
      <c r="R853" s="16">
        <f t="shared" si="98"/>
        <v>0</v>
      </c>
      <c r="S853" s="14">
        <f t="shared" si="99"/>
        <v>0</v>
      </c>
      <c r="T853" s="13">
        <f t="shared" si="100"/>
        <v>25.2</v>
      </c>
      <c r="U853" s="14">
        <f t="shared" si="101"/>
        <v>0</v>
      </c>
      <c r="V853" s="14">
        <f t="shared" si="102"/>
        <v>10.299999999999999</v>
      </c>
      <c r="W853" s="1">
        <f t="shared" si="103"/>
        <v>14.899999999999999</v>
      </c>
      <c r="X853" s="1" t="str">
        <f>IF(Table1[[#This Row],[World Rank]]&lt;=250,"Q1-Elite",IF(Table1[[#This Row],[World Rank]]&lt;=500,"Q2-Strong",IF(Table1[[#This Row],[World Rank]]&lt;=750,"Q3-Developing","Q4-Emerging")))</f>
        <v>Q4-Emerging</v>
      </c>
    </row>
    <row r="854" spans="1:24" x14ac:dyDescent="0.2">
      <c r="A854" s="1">
        <v>853</v>
      </c>
      <c r="B854" s="1" t="s">
        <v>927</v>
      </c>
      <c r="C854" s="1" t="s">
        <v>28</v>
      </c>
      <c r="D854" s="1" t="s">
        <v>1125</v>
      </c>
      <c r="E854" s="1">
        <v>41</v>
      </c>
      <c r="F854" s="1">
        <v>667</v>
      </c>
      <c r="G854" s="1">
        <v>1001</v>
      </c>
      <c r="H854" s="1">
        <v>86</v>
      </c>
      <c r="I854" s="1">
        <v>1001</v>
      </c>
      <c r="J854" s="1">
        <v>1001</v>
      </c>
      <c r="K854" s="1">
        <v>1001</v>
      </c>
      <c r="L854" s="1">
        <v>898</v>
      </c>
      <c r="M854" s="1">
        <v>70.7</v>
      </c>
      <c r="N854" s="1">
        <v>36.5748441</v>
      </c>
      <c r="O854" s="1">
        <v>139.23941790000001</v>
      </c>
      <c r="P854" s="14">
        <f t="shared" si="97"/>
        <v>0</v>
      </c>
      <c r="Q854" s="13">
        <v>20</v>
      </c>
      <c r="R854" s="16">
        <f t="shared" si="98"/>
        <v>0</v>
      </c>
      <c r="S854" s="14">
        <f t="shared" si="99"/>
        <v>71.947194719471952</v>
      </c>
      <c r="T854" s="13">
        <f t="shared" si="100"/>
        <v>0</v>
      </c>
      <c r="U854" s="14">
        <f t="shared" si="101"/>
        <v>0</v>
      </c>
      <c r="V854" s="14">
        <f t="shared" si="102"/>
        <v>10.299999999999999</v>
      </c>
      <c r="W854" s="1">
        <f t="shared" si="103"/>
        <v>14.799999999999999</v>
      </c>
      <c r="X854" s="1" t="str">
        <f>IF(Table1[[#This Row],[World Rank]]&lt;=250,"Q1-Elite",IF(Table1[[#This Row],[World Rank]]&lt;=500,"Q2-Strong",IF(Table1[[#This Row],[World Rank]]&lt;=750,"Q3-Developing","Q4-Emerging")))</f>
        <v>Q4-Emerging</v>
      </c>
    </row>
    <row r="855" spans="1:24" x14ac:dyDescent="0.2">
      <c r="A855" s="1">
        <v>854</v>
      </c>
      <c r="B855" s="1" t="s">
        <v>928</v>
      </c>
      <c r="C855" s="1" t="s">
        <v>376</v>
      </c>
      <c r="D855" s="1" t="s">
        <v>1123</v>
      </c>
      <c r="E855" s="1">
        <v>4</v>
      </c>
      <c r="F855" s="1">
        <v>667</v>
      </c>
      <c r="G855" s="1">
        <v>1001</v>
      </c>
      <c r="H855" s="1">
        <v>304</v>
      </c>
      <c r="I855" s="1">
        <v>1001</v>
      </c>
      <c r="J855" s="1">
        <v>1001</v>
      </c>
      <c r="K855" s="1">
        <v>1001</v>
      </c>
      <c r="L855" s="1">
        <v>222</v>
      </c>
      <c r="M855" s="1">
        <v>70.7</v>
      </c>
      <c r="N855" s="1">
        <v>-31.761336499999999</v>
      </c>
      <c r="O855" s="1">
        <v>-71.318769700000004</v>
      </c>
      <c r="P855" s="14">
        <f t="shared" si="97"/>
        <v>0</v>
      </c>
      <c r="Q855" s="13">
        <v>20</v>
      </c>
      <c r="R855" s="16">
        <f t="shared" si="98"/>
        <v>0</v>
      </c>
      <c r="S855" s="14">
        <f t="shared" si="99"/>
        <v>0</v>
      </c>
      <c r="T855" s="13">
        <f t="shared" si="100"/>
        <v>0</v>
      </c>
      <c r="U855" s="14">
        <f t="shared" si="101"/>
        <v>0</v>
      </c>
      <c r="V855" s="14">
        <f t="shared" si="102"/>
        <v>77.900000000000006</v>
      </c>
      <c r="W855" s="1">
        <f t="shared" si="103"/>
        <v>14.7</v>
      </c>
      <c r="X855" s="1" t="str">
        <f>IF(Table1[[#This Row],[World Rank]]&lt;=250,"Q1-Elite",IF(Table1[[#This Row],[World Rank]]&lt;=500,"Q2-Strong",IF(Table1[[#This Row],[World Rank]]&lt;=750,"Q3-Developing","Q4-Emerging")))</f>
        <v>Q4-Emerging</v>
      </c>
    </row>
    <row r="856" spans="1:24" x14ac:dyDescent="0.2">
      <c r="A856" s="1">
        <v>855</v>
      </c>
      <c r="B856" s="1" t="s">
        <v>929</v>
      </c>
      <c r="C856" s="1" t="s">
        <v>15</v>
      </c>
      <c r="D856" s="1" t="s">
        <v>1120</v>
      </c>
      <c r="E856" s="1">
        <v>192</v>
      </c>
      <c r="F856" s="1">
        <v>615</v>
      </c>
      <c r="G856" s="1">
        <v>1001</v>
      </c>
      <c r="H856" s="1">
        <v>304</v>
      </c>
      <c r="I856" s="1">
        <v>938</v>
      </c>
      <c r="J856" s="1">
        <v>839</v>
      </c>
      <c r="K856" s="1">
        <v>742</v>
      </c>
      <c r="L856" s="1">
        <v>673</v>
      </c>
      <c r="M856" s="1">
        <v>70.7</v>
      </c>
      <c r="N856" s="1">
        <v>39.783730400000003</v>
      </c>
      <c r="O856" s="1">
        <v>-100.445882</v>
      </c>
      <c r="P856" s="14">
        <f t="shared" si="97"/>
        <v>16.2</v>
      </c>
      <c r="Q856" s="13">
        <v>20</v>
      </c>
      <c r="R856" s="16">
        <f t="shared" si="98"/>
        <v>0</v>
      </c>
      <c r="S856" s="14">
        <f t="shared" si="99"/>
        <v>0</v>
      </c>
      <c r="T856" s="13">
        <f t="shared" si="100"/>
        <v>6.3</v>
      </c>
      <c r="U856" s="14">
        <f t="shared" si="101"/>
        <v>25.900000000000002</v>
      </c>
      <c r="V856" s="14">
        <f t="shared" si="102"/>
        <v>32.800000000000004</v>
      </c>
      <c r="W856" s="1">
        <f t="shared" si="103"/>
        <v>14.6</v>
      </c>
      <c r="X856" s="1" t="str">
        <f>IF(Table1[[#This Row],[World Rank]]&lt;=250,"Q1-Elite",IF(Table1[[#This Row],[World Rank]]&lt;=500,"Q2-Strong",IF(Table1[[#This Row],[World Rank]]&lt;=750,"Q3-Developing","Q4-Emerging")))</f>
        <v>Q4-Emerging</v>
      </c>
    </row>
    <row r="857" spans="1:24" x14ac:dyDescent="0.2">
      <c r="A857" s="1">
        <v>856</v>
      </c>
      <c r="B857" s="1" t="s">
        <v>930</v>
      </c>
      <c r="C857" s="1" t="s">
        <v>48</v>
      </c>
      <c r="D857" s="1" t="s">
        <v>1124</v>
      </c>
      <c r="E857" s="1">
        <v>48</v>
      </c>
      <c r="F857" s="1">
        <v>182</v>
      </c>
      <c r="G857" s="1">
        <v>1001</v>
      </c>
      <c r="H857" s="1">
        <v>121</v>
      </c>
      <c r="I857" s="1">
        <v>1001</v>
      </c>
      <c r="J857" s="1">
        <v>1001</v>
      </c>
      <c r="K857" s="1">
        <v>896</v>
      </c>
      <c r="L857" s="1">
        <v>1001</v>
      </c>
      <c r="M857" s="1">
        <v>70.7</v>
      </c>
      <c r="N857" s="1">
        <v>46.603354000000003</v>
      </c>
      <c r="O857" s="1">
        <v>1.8883335000000001</v>
      </c>
      <c r="P857" s="14">
        <f t="shared" si="97"/>
        <v>0</v>
      </c>
      <c r="Q857" s="13">
        <f>((667 - F857) / 666) * 100</f>
        <v>72.822822822822815</v>
      </c>
      <c r="R857" s="16">
        <f t="shared" si="98"/>
        <v>0</v>
      </c>
      <c r="S857" s="14">
        <f t="shared" si="99"/>
        <v>60.396039603960396</v>
      </c>
      <c r="T857" s="13">
        <f t="shared" si="100"/>
        <v>0</v>
      </c>
      <c r="U857" s="14">
        <f t="shared" si="101"/>
        <v>10.5</v>
      </c>
      <c r="V857" s="14">
        <f t="shared" si="102"/>
        <v>0</v>
      </c>
      <c r="W857" s="1">
        <f t="shared" si="103"/>
        <v>14.499999999999998</v>
      </c>
      <c r="X857" s="1" t="str">
        <f>IF(Table1[[#This Row],[World Rank]]&lt;=250,"Q1-Elite",IF(Table1[[#This Row],[World Rank]]&lt;=500,"Q2-Strong",IF(Table1[[#This Row],[World Rank]]&lt;=750,"Q3-Developing","Q4-Emerging")))</f>
        <v>Q4-Emerging</v>
      </c>
    </row>
    <row r="858" spans="1:24" x14ac:dyDescent="0.2">
      <c r="A858" s="1">
        <v>857</v>
      </c>
      <c r="B858" s="1" t="s">
        <v>931</v>
      </c>
      <c r="C858" s="1" t="s">
        <v>427</v>
      </c>
      <c r="D858" s="1" t="s">
        <v>1125</v>
      </c>
      <c r="E858" s="1">
        <v>9</v>
      </c>
      <c r="F858" s="1">
        <v>667</v>
      </c>
      <c r="G858" s="1">
        <v>1001</v>
      </c>
      <c r="H858" s="1">
        <v>304</v>
      </c>
      <c r="I858" s="1">
        <v>604</v>
      </c>
      <c r="J858" s="1">
        <v>894</v>
      </c>
      <c r="K858" s="1">
        <v>1001</v>
      </c>
      <c r="L858" s="1">
        <v>898</v>
      </c>
      <c r="M858" s="1">
        <v>70.7</v>
      </c>
      <c r="N858" s="1">
        <v>2.9368696000000001</v>
      </c>
      <c r="O858" s="1">
        <v>115.4443356</v>
      </c>
      <c r="P858" s="14">
        <f t="shared" si="97"/>
        <v>10.7</v>
      </c>
      <c r="Q858" s="13">
        <v>20</v>
      </c>
      <c r="R858" s="16">
        <f t="shared" si="98"/>
        <v>0</v>
      </c>
      <c r="S858" s="14">
        <f t="shared" si="99"/>
        <v>0</v>
      </c>
      <c r="T858" s="13">
        <f t="shared" si="100"/>
        <v>39.700000000000003</v>
      </c>
      <c r="U858" s="14">
        <f t="shared" si="101"/>
        <v>0</v>
      </c>
      <c r="V858" s="14">
        <f t="shared" si="102"/>
        <v>10.299999999999999</v>
      </c>
      <c r="W858" s="1">
        <f t="shared" si="103"/>
        <v>14.399999999999999</v>
      </c>
      <c r="X858" s="1" t="str">
        <f>IF(Table1[[#This Row],[World Rank]]&lt;=250,"Q1-Elite",IF(Table1[[#This Row],[World Rank]]&lt;=500,"Q2-Strong",IF(Table1[[#This Row],[World Rank]]&lt;=750,"Q3-Developing","Q4-Emerging")))</f>
        <v>Q4-Emerging</v>
      </c>
    </row>
    <row r="859" spans="1:24" x14ac:dyDescent="0.2">
      <c r="A859" s="1">
        <v>858</v>
      </c>
      <c r="B859" s="1" t="s">
        <v>932</v>
      </c>
      <c r="C859" s="1" t="s">
        <v>478</v>
      </c>
      <c r="D859" s="1" t="s">
        <v>1125</v>
      </c>
      <c r="E859" s="1">
        <v>14</v>
      </c>
      <c r="F859" s="1">
        <v>667</v>
      </c>
      <c r="G859" s="1">
        <v>362</v>
      </c>
      <c r="H859" s="1">
        <v>304</v>
      </c>
      <c r="I859" s="1">
        <v>683</v>
      </c>
      <c r="J859" s="1">
        <v>861</v>
      </c>
      <c r="K859" s="1">
        <v>1001</v>
      </c>
      <c r="L859" s="1">
        <v>898</v>
      </c>
      <c r="M859" s="1">
        <v>70.7</v>
      </c>
      <c r="N859" s="1">
        <v>22.351114800000001</v>
      </c>
      <c r="O859" s="1">
        <v>78.667742799999999</v>
      </c>
      <c r="P859" s="14">
        <f t="shared" si="97"/>
        <v>14.000000000000002</v>
      </c>
      <c r="Q859" s="13">
        <v>20</v>
      </c>
      <c r="R859" s="16">
        <f t="shared" si="98"/>
        <v>63.9</v>
      </c>
      <c r="S859" s="14">
        <f t="shared" si="99"/>
        <v>0</v>
      </c>
      <c r="T859" s="13">
        <f t="shared" si="100"/>
        <v>31.8</v>
      </c>
      <c r="U859" s="14">
        <f t="shared" si="101"/>
        <v>0</v>
      </c>
      <c r="V859" s="14">
        <f t="shared" si="102"/>
        <v>10.299999999999999</v>
      </c>
      <c r="W859" s="1">
        <f t="shared" si="103"/>
        <v>14.299999999999999</v>
      </c>
      <c r="X859" s="1" t="str">
        <f>IF(Table1[[#This Row],[World Rank]]&lt;=250,"Q1-Elite",IF(Table1[[#This Row],[World Rank]]&lt;=500,"Q2-Strong",IF(Table1[[#This Row],[World Rank]]&lt;=750,"Q3-Developing","Q4-Emerging")))</f>
        <v>Q4-Emerging</v>
      </c>
    </row>
    <row r="860" spans="1:24" x14ac:dyDescent="0.2">
      <c r="A860" s="1">
        <v>859</v>
      </c>
      <c r="B860" s="1" t="s">
        <v>933</v>
      </c>
      <c r="C860" s="1" t="s">
        <v>28</v>
      </c>
      <c r="D860" s="1" t="s">
        <v>1125</v>
      </c>
      <c r="E860" s="1">
        <v>42</v>
      </c>
      <c r="F860" s="1">
        <v>667</v>
      </c>
      <c r="G860" s="1">
        <v>1001</v>
      </c>
      <c r="H860" s="1">
        <v>304</v>
      </c>
      <c r="I860" s="1">
        <v>1001</v>
      </c>
      <c r="J860" s="1">
        <v>895</v>
      </c>
      <c r="K860" s="1">
        <v>400</v>
      </c>
      <c r="L860" s="1">
        <v>898</v>
      </c>
      <c r="M860" s="1">
        <v>70.7</v>
      </c>
      <c r="N860" s="1">
        <v>36.5748441</v>
      </c>
      <c r="O860" s="1">
        <v>139.23941790000001</v>
      </c>
      <c r="P860" s="14">
        <f t="shared" si="97"/>
        <v>10.6</v>
      </c>
      <c r="Q860" s="13">
        <v>20</v>
      </c>
      <c r="R860" s="16">
        <f t="shared" si="98"/>
        <v>0</v>
      </c>
      <c r="S860" s="14">
        <f t="shared" si="99"/>
        <v>0</v>
      </c>
      <c r="T860" s="13">
        <f t="shared" si="100"/>
        <v>0</v>
      </c>
      <c r="U860" s="14">
        <f t="shared" si="101"/>
        <v>60.099999999999994</v>
      </c>
      <c r="V860" s="14">
        <f t="shared" si="102"/>
        <v>10.299999999999999</v>
      </c>
      <c r="W860" s="1">
        <f t="shared" si="103"/>
        <v>14.2</v>
      </c>
      <c r="X860" s="1" t="str">
        <f>IF(Table1[[#This Row],[World Rank]]&lt;=250,"Q1-Elite",IF(Table1[[#This Row],[World Rank]]&lt;=500,"Q2-Strong",IF(Table1[[#This Row],[World Rank]]&lt;=750,"Q3-Developing","Q4-Emerging")))</f>
        <v>Q4-Emerging</v>
      </c>
    </row>
    <row r="861" spans="1:24" x14ac:dyDescent="0.2">
      <c r="A861" s="1">
        <v>860</v>
      </c>
      <c r="B861" s="1" t="s">
        <v>934</v>
      </c>
      <c r="C861" s="1" t="s">
        <v>15</v>
      </c>
      <c r="D861" s="1" t="s">
        <v>1120</v>
      </c>
      <c r="E861" s="1">
        <v>193</v>
      </c>
      <c r="F861" s="1">
        <v>465</v>
      </c>
      <c r="G861" s="1">
        <v>736</v>
      </c>
      <c r="H861" s="1">
        <v>304</v>
      </c>
      <c r="I861" s="1">
        <v>1001</v>
      </c>
      <c r="J861" s="1">
        <v>882</v>
      </c>
      <c r="K861" s="1">
        <v>720</v>
      </c>
      <c r="L861" s="1">
        <v>541</v>
      </c>
      <c r="M861" s="1">
        <v>70.7</v>
      </c>
      <c r="N861" s="1">
        <v>39.783730400000003</v>
      </c>
      <c r="O861" s="1">
        <v>-100.445882</v>
      </c>
      <c r="P861" s="14">
        <f t="shared" si="97"/>
        <v>11.899999999999999</v>
      </c>
      <c r="Q861" s="13">
        <f>((667 - F861) / 666) * 100</f>
        <v>30.33033033033033</v>
      </c>
      <c r="R861" s="16">
        <f t="shared" si="98"/>
        <v>26.5</v>
      </c>
      <c r="S861" s="14">
        <f t="shared" si="99"/>
        <v>0</v>
      </c>
      <c r="T861" s="13">
        <f t="shared" si="100"/>
        <v>0</v>
      </c>
      <c r="U861" s="14">
        <f t="shared" si="101"/>
        <v>28.1</v>
      </c>
      <c r="V861" s="14">
        <f t="shared" si="102"/>
        <v>46</v>
      </c>
      <c r="W861" s="1">
        <f t="shared" si="103"/>
        <v>14.099999999999998</v>
      </c>
      <c r="X861" s="1" t="str">
        <f>IF(Table1[[#This Row],[World Rank]]&lt;=250,"Q1-Elite",IF(Table1[[#This Row],[World Rank]]&lt;=500,"Q2-Strong",IF(Table1[[#This Row],[World Rank]]&lt;=750,"Q3-Developing","Q4-Emerging")))</f>
        <v>Q4-Emerging</v>
      </c>
    </row>
    <row r="862" spans="1:24" x14ac:dyDescent="0.2">
      <c r="A862" s="1">
        <v>861</v>
      </c>
      <c r="B862" s="1" t="s">
        <v>935</v>
      </c>
      <c r="C862" s="1" t="s">
        <v>48</v>
      </c>
      <c r="D862" s="1" t="s">
        <v>1124</v>
      </c>
      <c r="E862" s="1">
        <v>49</v>
      </c>
      <c r="F862" s="1">
        <v>667</v>
      </c>
      <c r="G862" s="1">
        <v>1001</v>
      </c>
      <c r="H862" s="1">
        <v>304</v>
      </c>
      <c r="I862" s="1">
        <v>1001</v>
      </c>
      <c r="J862" s="1">
        <v>902</v>
      </c>
      <c r="K862" s="1">
        <v>760</v>
      </c>
      <c r="L862" s="1">
        <v>460</v>
      </c>
      <c r="M862" s="1">
        <v>70.7</v>
      </c>
      <c r="N862" s="1">
        <v>46.603354000000003</v>
      </c>
      <c r="O862" s="1">
        <v>1.8883335000000001</v>
      </c>
      <c r="P862" s="14">
        <f t="shared" si="97"/>
        <v>9.9</v>
      </c>
      <c r="Q862" s="13">
        <v>20</v>
      </c>
      <c r="R862" s="16">
        <f t="shared" si="98"/>
        <v>0</v>
      </c>
      <c r="S862" s="14">
        <f t="shared" si="99"/>
        <v>0</v>
      </c>
      <c r="T862" s="13">
        <f t="shared" si="100"/>
        <v>0</v>
      </c>
      <c r="U862" s="14">
        <f t="shared" si="101"/>
        <v>24.099999999999998</v>
      </c>
      <c r="V862" s="14">
        <f t="shared" si="102"/>
        <v>54.1</v>
      </c>
      <c r="W862" s="1">
        <f t="shared" si="103"/>
        <v>14.000000000000002</v>
      </c>
      <c r="X862" s="1" t="str">
        <f>IF(Table1[[#This Row],[World Rank]]&lt;=250,"Q1-Elite",IF(Table1[[#This Row],[World Rank]]&lt;=500,"Q2-Strong",IF(Table1[[#This Row],[World Rank]]&lt;=750,"Q3-Developing","Q4-Emerging")))</f>
        <v>Q4-Emerging</v>
      </c>
    </row>
    <row r="863" spans="1:24" x14ac:dyDescent="0.2">
      <c r="A863" s="1">
        <v>862</v>
      </c>
      <c r="B863" s="1" t="s">
        <v>936</v>
      </c>
      <c r="C863" s="1" t="s">
        <v>15</v>
      </c>
      <c r="D863" s="1" t="s">
        <v>1120</v>
      </c>
      <c r="E863" s="1">
        <v>194</v>
      </c>
      <c r="F863" s="1">
        <v>667</v>
      </c>
      <c r="G863" s="1">
        <v>1001</v>
      </c>
      <c r="H863" s="1">
        <v>304</v>
      </c>
      <c r="I863" s="1">
        <v>1001</v>
      </c>
      <c r="J863" s="1">
        <v>922</v>
      </c>
      <c r="K863" s="1">
        <v>616</v>
      </c>
      <c r="L863" s="1">
        <v>460</v>
      </c>
      <c r="M863" s="1">
        <v>70.7</v>
      </c>
      <c r="N863" s="1">
        <v>39.783730400000003</v>
      </c>
      <c r="O863" s="1">
        <v>-100.445882</v>
      </c>
      <c r="P863" s="14">
        <f t="shared" si="97"/>
        <v>7.9</v>
      </c>
      <c r="Q863" s="13">
        <v>20</v>
      </c>
      <c r="R863" s="16">
        <f t="shared" si="98"/>
        <v>0</v>
      </c>
      <c r="S863" s="14">
        <f t="shared" si="99"/>
        <v>0</v>
      </c>
      <c r="T863" s="13">
        <f t="shared" si="100"/>
        <v>0</v>
      </c>
      <c r="U863" s="14">
        <f t="shared" si="101"/>
        <v>38.5</v>
      </c>
      <c r="V863" s="14">
        <f t="shared" si="102"/>
        <v>54.1</v>
      </c>
      <c r="W863" s="1">
        <f t="shared" si="103"/>
        <v>13.900000000000002</v>
      </c>
      <c r="X863" s="1" t="str">
        <f>IF(Table1[[#This Row],[World Rank]]&lt;=250,"Q1-Elite",IF(Table1[[#This Row],[World Rank]]&lt;=500,"Q2-Strong",IF(Table1[[#This Row],[World Rank]]&lt;=750,"Q3-Developing","Q4-Emerging")))</f>
        <v>Q4-Emerging</v>
      </c>
    </row>
    <row r="864" spans="1:24" x14ac:dyDescent="0.2">
      <c r="A864" s="1">
        <v>863</v>
      </c>
      <c r="B864" s="1" t="s">
        <v>937</v>
      </c>
      <c r="C864" s="1" t="s">
        <v>126</v>
      </c>
      <c r="D864" s="1" t="s">
        <v>1124</v>
      </c>
      <c r="E864" s="1">
        <v>9</v>
      </c>
      <c r="F864" s="1">
        <v>667</v>
      </c>
      <c r="G864" s="1">
        <v>1001</v>
      </c>
      <c r="H864" s="1">
        <v>304</v>
      </c>
      <c r="I864" s="1">
        <v>970</v>
      </c>
      <c r="J864" s="1">
        <v>833</v>
      </c>
      <c r="K864" s="1">
        <v>762</v>
      </c>
      <c r="L864" s="1">
        <v>673</v>
      </c>
      <c r="M864" s="1">
        <v>70.7</v>
      </c>
      <c r="N864" s="1">
        <v>63.246777700000003</v>
      </c>
      <c r="O864" s="1">
        <v>25.920916399999999</v>
      </c>
      <c r="P864" s="14">
        <f t="shared" si="97"/>
        <v>16.8</v>
      </c>
      <c r="Q864" s="13">
        <v>20</v>
      </c>
      <c r="R864" s="16">
        <f t="shared" si="98"/>
        <v>0</v>
      </c>
      <c r="S864" s="14">
        <f t="shared" si="99"/>
        <v>0</v>
      </c>
      <c r="T864" s="13">
        <f t="shared" si="100"/>
        <v>3.1</v>
      </c>
      <c r="U864" s="14">
        <f t="shared" si="101"/>
        <v>23.9</v>
      </c>
      <c r="V864" s="14">
        <f t="shared" si="102"/>
        <v>32.800000000000004</v>
      </c>
      <c r="W864" s="1">
        <f t="shared" si="103"/>
        <v>13.8</v>
      </c>
      <c r="X864" s="1" t="str">
        <f>IF(Table1[[#This Row],[World Rank]]&lt;=250,"Q1-Elite",IF(Table1[[#This Row],[World Rank]]&lt;=500,"Q2-Strong",IF(Table1[[#This Row],[World Rank]]&lt;=750,"Q3-Developing","Q4-Emerging")))</f>
        <v>Q4-Emerging</v>
      </c>
    </row>
    <row r="865" spans="1:24" x14ac:dyDescent="0.2">
      <c r="A865" s="1">
        <v>864</v>
      </c>
      <c r="B865" s="1" t="s">
        <v>938</v>
      </c>
      <c r="C865" s="1" t="s">
        <v>118</v>
      </c>
      <c r="D865" s="1" t="s">
        <v>1124</v>
      </c>
      <c r="E865" s="1">
        <v>31</v>
      </c>
      <c r="F865" s="1">
        <v>667</v>
      </c>
      <c r="G865" s="1">
        <v>1001</v>
      </c>
      <c r="H865" s="1">
        <v>304</v>
      </c>
      <c r="I865" s="1">
        <v>900</v>
      </c>
      <c r="J865" s="1">
        <v>794</v>
      </c>
      <c r="K865" s="1">
        <v>740</v>
      </c>
      <c r="L865" s="1">
        <v>898</v>
      </c>
      <c r="M865" s="1">
        <v>70.7</v>
      </c>
      <c r="N865" s="1">
        <v>39.326068499999998</v>
      </c>
      <c r="O865" s="1">
        <v>-4.8379791000000001</v>
      </c>
      <c r="P865" s="14">
        <f t="shared" si="97"/>
        <v>20.7</v>
      </c>
      <c r="Q865" s="13">
        <v>20</v>
      </c>
      <c r="R865" s="16">
        <f t="shared" si="98"/>
        <v>0</v>
      </c>
      <c r="S865" s="14">
        <f t="shared" si="99"/>
        <v>0</v>
      </c>
      <c r="T865" s="13">
        <f t="shared" si="100"/>
        <v>10.100000000000001</v>
      </c>
      <c r="U865" s="14">
        <f t="shared" si="101"/>
        <v>26.1</v>
      </c>
      <c r="V865" s="14">
        <f t="shared" si="102"/>
        <v>10.299999999999999</v>
      </c>
      <c r="W865" s="1">
        <f t="shared" si="103"/>
        <v>13.700000000000001</v>
      </c>
      <c r="X865" s="1" t="str">
        <f>IF(Table1[[#This Row],[World Rank]]&lt;=250,"Q1-Elite",IF(Table1[[#This Row],[World Rank]]&lt;=500,"Q2-Strong",IF(Table1[[#This Row],[World Rank]]&lt;=750,"Q3-Developing","Q4-Emerging")))</f>
        <v>Q4-Emerging</v>
      </c>
    </row>
    <row r="866" spans="1:24" x14ac:dyDescent="0.2">
      <c r="A866" s="1">
        <v>865</v>
      </c>
      <c r="B866" s="1" t="s">
        <v>939</v>
      </c>
      <c r="C866" s="1" t="s">
        <v>28</v>
      </c>
      <c r="D866" s="1" t="s">
        <v>1125</v>
      </c>
      <c r="E866" s="1">
        <v>43</v>
      </c>
      <c r="F866" s="1">
        <v>667</v>
      </c>
      <c r="G866" s="1">
        <v>1001</v>
      </c>
      <c r="H866" s="1">
        <v>304</v>
      </c>
      <c r="I866" s="1">
        <v>988</v>
      </c>
      <c r="J866" s="1">
        <v>1001</v>
      </c>
      <c r="K866" s="1">
        <v>631</v>
      </c>
      <c r="L866" s="1">
        <v>541</v>
      </c>
      <c r="M866" s="1">
        <v>70.599999999999994</v>
      </c>
      <c r="N866" s="1">
        <v>36.5748441</v>
      </c>
      <c r="O866" s="1">
        <v>139.23941790000001</v>
      </c>
      <c r="P866" s="14">
        <f t="shared" si="97"/>
        <v>0</v>
      </c>
      <c r="Q866" s="13">
        <v>20</v>
      </c>
      <c r="R866" s="16">
        <f t="shared" si="98"/>
        <v>0</v>
      </c>
      <c r="S866" s="14">
        <f t="shared" si="99"/>
        <v>0</v>
      </c>
      <c r="T866" s="13">
        <f t="shared" si="100"/>
        <v>1.3</v>
      </c>
      <c r="U866" s="14">
        <f t="shared" si="101"/>
        <v>37</v>
      </c>
      <c r="V866" s="14">
        <f t="shared" si="102"/>
        <v>46</v>
      </c>
      <c r="W866" s="1">
        <f t="shared" si="103"/>
        <v>13.600000000000001</v>
      </c>
      <c r="X866" s="1" t="str">
        <f>IF(Table1[[#This Row],[World Rank]]&lt;=250,"Q1-Elite",IF(Table1[[#This Row],[World Rank]]&lt;=500,"Q2-Strong",IF(Table1[[#This Row],[World Rank]]&lt;=750,"Q3-Developing","Q4-Emerging")))</f>
        <v>Q4-Emerging</v>
      </c>
    </row>
    <row r="867" spans="1:24" x14ac:dyDescent="0.2">
      <c r="A867" s="1">
        <v>866</v>
      </c>
      <c r="B867" s="1" t="s">
        <v>940</v>
      </c>
      <c r="C867" s="1" t="s">
        <v>68</v>
      </c>
      <c r="D867" s="1" t="s">
        <v>1124</v>
      </c>
      <c r="E867" s="1">
        <v>52</v>
      </c>
      <c r="F867" s="1">
        <v>667</v>
      </c>
      <c r="G867" s="1">
        <v>1001</v>
      </c>
      <c r="H867" s="1">
        <v>304</v>
      </c>
      <c r="I867" s="1">
        <v>1001</v>
      </c>
      <c r="J867" s="1">
        <v>927</v>
      </c>
      <c r="K867" s="1">
        <v>934</v>
      </c>
      <c r="L867" s="1">
        <v>405</v>
      </c>
      <c r="M867" s="1">
        <v>70.599999999999994</v>
      </c>
      <c r="N867" s="1">
        <v>40.420347900000003</v>
      </c>
      <c r="O867" s="1">
        <v>-79.116698299999996</v>
      </c>
      <c r="P867" s="14">
        <f t="shared" si="97"/>
        <v>7.3999999999999995</v>
      </c>
      <c r="Q867" s="13">
        <v>20</v>
      </c>
      <c r="R867" s="16">
        <f t="shared" si="98"/>
        <v>0</v>
      </c>
      <c r="S867" s="14">
        <f t="shared" si="99"/>
        <v>0</v>
      </c>
      <c r="T867" s="13">
        <f t="shared" si="100"/>
        <v>0</v>
      </c>
      <c r="U867" s="14">
        <f t="shared" si="101"/>
        <v>6.7</v>
      </c>
      <c r="V867" s="14">
        <f t="shared" si="102"/>
        <v>59.599999999999994</v>
      </c>
      <c r="W867" s="1">
        <f t="shared" si="103"/>
        <v>13.5</v>
      </c>
      <c r="X867" s="1" t="str">
        <f>IF(Table1[[#This Row],[World Rank]]&lt;=250,"Q1-Elite",IF(Table1[[#This Row],[World Rank]]&lt;=500,"Q2-Strong",IF(Table1[[#This Row],[World Rank]]&lt;=750,"Q3-Developing","Q4-Emerging")))</f>
        <v>Q4-Emerging</v>
      </c>
    </row>
    <row r="868" spans="1:24" x14ac:dyDescent="0.2">
      <c r="A868" s="1">
        <v>867</v>
      </c>
      <c r="B868" s="1" t="s">
        <v>941</v>
      </c>
      <c r="C868" s="1" t="s">
        <v>118</v>
      </c>
      <c r="D868" s="1" t="s">
        <v>1124</v>
      </c>
      <c r="E868" s="1">
        <v>32</v>
      </c>
      <c r="F868" s="1">
        <v>667</v>
      </c>
      <c r="G868" s="1">
        <v>1001</v>
      </c>
      <c r="H868" s="1">
        <v>304</v>
      </c>
      <c r="I868" s="1">
        <v>826</v>
      </c>
      <c r="J868" s="1">
        <v>856</v>
      </c>
      <c r="K868" s="1">
        <v>1001</v>
      </c>
      <c r="L868" s="1">
        <v>673</v>
      </c>
      <c r="M868" s="1">
        <v>70.599999999999994</v>
      </c>
      <c r="N868" s="1">
        <v>39.326068499999998</v>
      </c>
      <c r="O868" s="1">
        <v>-4.8379791000000001</v>
      </c>
      <c r="P868" s="14">
        <f t="shared" si="97"/>
        <v>14.499999999999998</v>
      </c>
      <c r="Q868" s="13">
        <v>20</v>
      </c>
      <c r="R868" s="16">
        <f t="shared" si="98"/>
        <v>0</v>
      </c>
      <c r="S868" s="14">
        <f t="shared" si="99"/>
        <v>0</v>
      </c>
      <c r="T868" s="13">
        <f t="shared" si="100"/>
        <v>17.5</v>
      </c>
      <c r="U868" s="14">
        <f t="shared" si="101"/>
        <v>0</v>
      </c>
      <c r="V868" s="14">
        <f t="shared" si="102"/>
        <v>32.800000000000004</v>
      </c>
      <c r="W868" s="1">
        <f t="shared" si="103"/>
        <v>13.4</v>
      </c>
      <c r="X868" s="1" t="str">
        <f>IF(Table1[[#This Row],[World Rank]]&lt;=250,"Q1-Elite",IF(Table1[[#This Row],[World Rank]]&lt;=500,"Q2-Strong",IF(Table1[[#This Row],[World Rank]]&lt;=750,"Q3-Developing","Q4-Emerging")))</f>
        <v>Q4-Emerging</v>
      </c>
    </row>
    <row r="869" spans="1:24" x14ac:dyDescent="0.2">
      <c r="A869" s="1">
        <v>868</v>
      </c>
      <c r="B869" s="1" t="s">
        <v>942</v>
      </c>
      <c r="C869" s="1" t="s">
        <v>28</v>
      </c>
      <c r="D869" s="1" t="s">
        <v>1125</v>
      </c>
      <c r="E869" s="1">
        <v>44</v>
      </c>
      <c r="F869" s="1">
        <v>667</v>
      </c>
      <c r="G869" s="1">
        <v>592</v>
      </c>
      <c r="H869" s="1">
        <v>304</v>
      </c>
      <c r="I869" s="1">
        <v>989</v>
      </c>
      <c r="J869" s="1">
        <v>906</v>
      </c>
      <c r="K869" s="1">
        <v>675</v>
      </c>
      <c r="L869" s="1">
        <v>673</v>
      </c>
      <c r="M869" s="1">
        <v>70.599999999999994</v>
      </c>
      <c r="N869" s="1">
        <v>36.5748441</v>
      </c>
      <c r="O869" s="1">
        <v>139.23941790000001</v>
      </c>
      <c r="P869" s="14">
        <f t="shared" si="97"/>
        <v>9.5</v>
      </c>
      <c r="Q869" s="13">
        <v>20</v>
      </c>
      <c r="R869" s="16">
        <f t="shared" si="98"/>
        <v>40.9</v>
      </c>
      <c r="S869" s="14">
        <f t="shared" si="99"/>
        <v>0</v>
      </c>
      <c r="T869" s="13">
        <f t="shared" si="100"/>
        <v>1.2</v>
      </c>
      <c r="U869" s="14">
        <f t="shared" si="101"/>
        <v>32.6</v>
      </c>
      <c r="V869" s="14">
        <f t="shared" si="102"/>
        <v>32.800000000000004</v>
      </c>
      <c r="W869" s="1">
        <f t="shared" si="103"/>
        <v>13.3</v>
      </c>
      <c r="X869" s="1" t="str">
        <f>IF(Table1[[#This Row],[World Rank]]&lt;=250,"Q1-Elite",IF(Table1[[#This Row],[World Rank]]&lt;=500,"Q2-Strong",IF(Table1[[#This Row],[World Rank]]&lt;=750,"Q3-Developing","Q4-Emerging")))</f>
        <v>Q4-Emerging</v>
      </c>
    </row>
    <row r="870" spans="1:24" x14ac:dyDescent="0.2">
      <c r="A870" s="1">
        <v>869</v>
      </c>
      <c r="B870" s="1" t="s">
        <v>943</v>
      </c>
      <c r="C870" s="1" t="s">
        <v>118</v>
      </c>
      <c r="D870" s="1" t="s">
        <v>1124</v>
      </c>
      <c r="E870" s="1">
        <v>33</v>
      </c>
      <c r="F870" s="1">
        <v>667</v>
      </c>
      <c r="G870" s="1">
        <v>1001</v>
      </c>
      <c r="H870" s="1">
        <v>304</v>
      </c>
      <c r="I870" s="1">
        <v>725</v>
      </c>
      <c r="J870" s="1">
        <v>728</v>
      </c>
      <c r="K870" s="1">
        <v>1001</v>
      </c>
      <c r="L870" s="1">
        <v>1001</v>
      </c>
      <c r="M870" s="1">
        <v>70.599999999999994</v>
      </c>
      <c r="N870" s="1">
        <v>39.326068499999998</v>
      </c>
      <c r="O870" s="1">
        <v>-4.8379791000000001</v>
      </c>
      <c r="P870" s="14">
        <f t="shared" si="97"/>
        <v>27.3</v>
      </c>
      <c r="Q870" s="13">
        <v>20</v>
      </c>
      <c r="R870" s="16">
        <f t="shared" si="98"/>
        <v>0</v>
      </c>
      <c r="S870" s="14">
        <f t="shared" si="99"/>
        <v>0</v>
      </c>
      <c r="T870" s="13">
        <f t="shared" si="100"/>
        <v>27.6</v>
      </c>
      <c r="U870" s="14">
        <f t="shared" si="101"/>
        <v>0</v>
      </c>
      <c r="V870" s="14">
        <f t="shared" si="102"/>
        <v>0</v>
      </c>
      <c r="W870" s="1">
        <f t="shared" si="103"/>
        <v>13.200000000000001</v>
      </c>
      <c r="X870" s="1" t="str">
        <f>IF(Table1[[#This Row],[World Rank]]&lt;=250,"Q1-Elite",IF(Table1[[#This Row],[World Rank]]&lt;=500,"Q2-Strong",IF(Table1[[#This Row],[World Rank]]&lt;=750,"Q3-Developing","Q4-Emerging")))</f>
        <v>Q4-Emerging</v>
      </c>
    </row>
    <row r="871" spans="1:24" x14ac:dyDescent="0.2">
      <c r="A871" s="1">
        <v>870</v>
      </c>
      <c r="B871" s="1" t="s">
        <v>944</v>
      </c>
      <c r="C871" s="1" t="s">
        <v>81</v>
      </c>
      <c r="D871" s="1" t="s">
        <v>1121</v>
      </c>
      <c r="E871" s="1">
        <v>25</v>
      </c>
      <c r="F871" s="1">
        <v>667</v>
      </c>
      <c r="G871" s="1">
        <v>879</v>
      </c>
      <c r="H871" s="1">
        <v>304</v>
      </c>
      <c r="I871" s="1">
        <v>856</v>
      </c>
      <c r="J871" s="1">
        <v>814</v>
      </c>
      <c r="K871" s="1">
        <v>565</v>
      </c>
      <c r="L871" s="1">
        <v>1001</v>
      </c>
      <c r="M871" s="1">
        <v>70.599999999999994</v>
      </c>
      <c r="N871" s="1">
        <v>-24.776108600000001</v>
      </c>
      <c r="O871" s="1">
        <v>134.755</v>
      </c>
      <c r="P871" s="14">
        <f t="shared" si="97"/>
        <v>18.7</v>
      </c>
      <c r="Q871" s="13">
        <v>20</v>
      </c>
      <c r="R871" s="16">
        <f t="shared" si="98"/>
        <v>12.2</v>
      </c>
      <c r="S871" s="14">
        <f t="shared" si="99"/>
        <v>0</v>
      </c>
      <c r="T871" s="13">
        <f t="shared" si="100"/>
        <v>14.499999999999998</v>
      </c>
      <c r="U871" s="14">
        <f t="shared" si="101"/>
        <v>43.6</v>
      </c>
      <c r="V871" s="14">
        <f t="shared" si="102"/>
        <v>0</v>
      </c>
      <c r="W871" s="1">
        <f t="shared" si="103"/>
        <v>13.100000000000001</v>
      </c>
      <c r="X871" s="1" t="str">
        <f>IF(Table1[[#This Row],[World Rank]]&lt;=250,"Q1-Elite",IF(Table1[[#This Row],[World Rank]]&lt;=500,"Q2-Strong",IF(Table1[[#This Row],[World Rank]]&lt;=750,"Q3-Developing","Q4-Emerging")))</f>
        <v>Q4-Emerging</v>
      </c>
    </row>
    <row r="872" spans="1:24" x14ac:dyDescent="0.2">
      <c r="A872" s="1">
        <v>871</v>
      </c>
      <c r="B872" s="1" t="s">
        <v>945</v>
      </c>
      <c r="C872" s="1" t="s">
        <v>15</v>
      </c>
      <c r="D872" s="1" t="s">
        <v>1120</v>
      </c>
      <c r="E872" s="1">
        <v>195</v>
      </c>
      <c r="F872" s="1">
        <v>87</v>
      </c>
      <c r="G872" s="1">
        <v>49</v>
      </c>
      <c r="H872" s="1">
        <v>304</v>
      </c>
      <c r="I872" s="1">
        <v>1001</v>
      </c>
      <c r="J872" s="1">
        <v>1001</v>
      </c>
      <c r="K872" s="1">
        <v>671</v>
      </c>
      <c r="L872" s="1">
        <v>898</v>
      </c>
      <c r="M872" s="1">
        <v>70.599999999999994</v>
      </c>
      <c r="N872" s="1">
        <v>39.783730400000003</v>
      </c>
      <c r="O872" s="1">
        <v>-100.445882</v>
      </c>
      <c r="P872" s="14">
        <f t="shared" si="97"/>
        <v>0</v>
      </c>
      <c r="Q872" s="13">
        <f>((667 - F872) / 666) * 100</f>
        <v>87.087087087087085</v>
      </c>
      <c r="R872" s="16">
        <f t="shared" si="98"/>
        <v>95.199999999999989</v>
      </c>
      <c r="S872" s="14">
        <f t="shared" si="99"/>
        <v>0</v>
      </c>
      <c r="T872" s="13">
        <f t="shared" si="100"/>
        <v>0</v>
      </c>
      <c r="U872" s="14">
        <f t="shared" si="101"/>
        <v>33</v>
      </c>
      <c r="V872" s="14">
        <f t="shared" si="102"/>
        <v>10.299999999999999</v>
      </c>
      <c r="W872" s="1">
        <f t="shared" si="103"/>
        <v>13</v>
      </c>
      <c r="X872" s="1" t="str">
        <f>IF(Table1[[#This Row],[World Rank]]&lt;=250,"Q1-Elite",IF(Table1[[#This Row],[World Rank]]&lt;=500,"Q2-Strong",IF(Table1[[#This Row],[World Rank]]&lt;=750,"Q3-Developing","Q4-Emerging")))</f>
        <v>Q4-Emerging</v>
      </c>
    </row>
    <row r="873" spans="1:24" x14ac:dyDescent="0.2">
      <c r="A873" s="1">
        <v>872</v>
      </c>
      <c r="B873" s="1" t="s">
        <v>946</v>
      </c>
      <c r="C873" s="1" t="s">
        <v>427</v>
      </c>
      <c r="D873" s="1" t="s">
        <v>1125</v>
      </c>
      <c r="E873" s="1">
        <v>10</v>
      </c>
      <c r="F873" s="1">
        <v>667</v>
      </c>
      <c r="G873" s="1">
        <v>1001</v>
      </c>
      <c r="H873" s="1">
        <v>304</v>
      </c>
      <c r="I873" s="1">
        <v>627</v>
      </c>
      <c r="J873" s="1">
        <v>965</v>
      </c>
      <c r="K873" s="1">
        <v>1001</v>
      </c>
      <c r="L873" s="1">
        <v>898</v>
      </c>
      <c r="M873" s="1">
        <v>70.599999999999994</v>
      </c>
      <c r="N873" s="1">
        <v>2.9368696000000001</v>
      </c>
      <c r="O873" s="1">
        <v>115.4443356</v>
      </c>
      <c r="P873" s="14">
        <f t="shared" si="97"/>
        <v>3.5999999999999996</v>
      </c>
      <c r="Q873" s="13">
        <v>20</v>
      </c>
      <c r="R873" s="16">
        <f t="shared" si="98"/>
        <v>0</v>
      </c>
      <c r="S873" s="14">
        <f t="shared" si="99"/>
        <v>0</v>
      </c>
      <c r="T873" s="13">
        <f t="shared" si="100"/>
        <v>37.4</v>
      </c>
      <c r="U873" s="14">
        <f t="shared" si="101"/>
        <v>0</v>
      </c>
      <c r="V873" s="14">
        <f t="shared" si="102"/>
        <v>10.299999999999999</v>
      </c>
      <c r="W873" s="1">
        <f t="shared" si="103"/>
        <v>12.9</v>
      </c>
      <c r="X873" s="1" t="str">
        <f>IF(Table1[[#This Row],[World Rank]]&lt;=250,"Q1-Elite",IF(Table1[[#This Row],[World Rank]]&lt;=500,"Q2-Strong",IF(Table1[[#This Row],[World Rank]]&lt;=750,"Q3-Developing","Q4-Emerging")))</f>
        <v>Q4-Emerging</v>
      </c>
    </row>
    <row r="874" spans="1:24" x14ac:dyDescent="0.2">
      <c r="A874" s="1">
        <v>873</v>
      </c>
      <c r="B874" s="1" t="s">
        <v>947</v>
      </c>
      <c r="C874" s="1" t="s">
        <v>124</v>
      </c>
      <c r="D874" s="1" t="s">
        <v>1125</v>
      </c>
      <c r="E874" s="1">
        <v>85</v>
      </c>
      <c r="F874" s="1">
        <v>667</v>
      </c>
      <c r="G874" s="1">
        <v>488</v>
      </c>
      <c r="H874" s="1">
        <v>304</v>
      </c>
      <c r="I874" s="1">
        <v>756</v>
      </c>
      <c r="J874" s="1">
        <v>808</v>
      </c>
      <c r="K874" s="1">
        <v>1001</v>
      </c>
      <c r="L874" s="1">
        <v>898</v>
      </c>
      <c r="M874" s="1">
        <v>70.599999999999994</v>
      </c>
      <c r="N874" s="1">
        <v>30.047992000000001</v>
      </c>
      <c r="O874" s="1">
        <v>-94.335743300000004</v>
      </c>
      <c r="P874" s="14">
        <f t="shared" si="97"/>
        <v>19.3</v>
      </c>
      <c r="Q874" s="13">
        <v>20</v>
      </c>
      <c r="R874" s="16">
        <f t="shared" si="98"/>
        <v>51.300000000000004</v>
      </c>
      <c r="S874" s="14">
        <f t="shared" si="99"/>
        <v>0</v>
      </c>
      <c r="T874" s="13">
        <f t="shared" si="100"/>
        <v>24.5</v>
      </c>
      <c r="U874" s="14">
        <f t="shared" si="101"/>
        <v>0</v>
      </c>
      <c r="V874" s="14">
        <f t="shared" si="102"/>
        <v>10.299999999999999</v>
      </c>
      <c r="W874" s="1">
        <f t="shared" si="103"/>
        <v>12.8</v>
      </c>
      <c r="X874" s="1" t="str">
        <f>IF(Table1[[#This Row],[World Rank]]&lt;=250,"Q1-Elite",IF(Table1[[#This Row],[World Rank]]&lt;=500,"Q2-Strong",IF(Table1[[#This Row],[World Rank]]&lt;=750,"Q3-Developing","Q4-Emerging")))</f>
        <v>Q4-Emerging</v>
      </c>
    </row>
    <row r="875" spans="1:24" x14ac:dyDescent="0.2">
      <c r="A875" s="1">
        <v>874</v>
      </c>
      <c r="B875" s="1" t="s">
        <v>948</v>
      </c>
      <c r="C875" s="1" t="s">
        <v>591</v>
      </c>
      <c r="D875" s="1" t="s">
        <v>1125</v>
      </c>
      <c r="E875" s="1">
        <v>10</v>
      </c>
      <c r="F875" s="1">
        <v>667</v>
      </c>
      <c r="G875" s="1">
        <v>1001</v>
      </c>
      <c r="H875" s="1">
        <v>304</v>
      </c>
      <c r="I875" s="1">
        <v>703</v>
      </c>
      <c r="J875" s="1">
        <v>1001</v>
      </c>
      <c r="K875" s="1">
        <v>1001</v>
      </c>
      <c r="L875" s="1">
        <v>541</v>
      </c>
      <c r="M875" s="1">
        <v>70.599999999999994</v>
      </c>
      <c r="N875" s="1">
        <v>38.959759400000003</v>
      </c>
      <c r="O875" s="1">
        <v>34.924965299999997</v>
      </c>
      <c r="P875" s="14">
        <f t="shared" si="97"/>
        <v>0</v>
      </c>
      <c r="Q875" s="13">
        <v>20</v>
      </c>
      <c r="R875" s="16">
        <f t="shared" si="98"/>
        <v>0</v>
      </c>
      <c r="S875" s="14">
        <f t="shared" si="99"/>
        <v>0</v>
      </c>
      <c r="T875" s="13">
        <f t="shared" si="100"/>
        <v>29.799999999999997</v>
      </c>
      <c r="U875" s="14">
        <f t="shared" si="101"/>
        <v>0</v>
      </c>
      <c r="V875" s="14">
        <f t="shared" si="102"/>
        <v>46</v>
      </c>
      <c r="W875" s="1">
        <f t="shared" si="103"/>
        <v>12.7</v>
      </c>
      <c r="X875" s="1" t="str">
        <f>IF(Table1[[#This Row],[World Rank]]&lt;=250,"Q1-Elite",IF(Table1[[#This Row],[World Rank]]&lt;=500,"Q2-Strong",IF(Table1[[#This Row],[World Rank]]&lt;=750,"Q3-Developing","Q4-Emerging")))</f>
        <v>Q4-Emerging</v>
      </c>
    </row>
    <row r="876" spans="1:24" x14ac:dyDescent="0.2">
      <c r="A876" s="1">
        <v>875</v>
      </c>
      <c r="B876" s="1" t="s">
        <v>949</v>
      </c>
      <c r="C876" s="1" t="s">
        <v>145</v>
      </c>
      <c r="D876" s="1" t="s">
        <v>1125</v>
      </c>
      <c r="E876" s="1">
        <v>15</v>
      </c>
      <c r="F876" s="1">
        <v>667</v>
      </c>
      <c r="G876" s="1">
        <v>1001</v>
      </c>
      <c r="H876" s="1">
        <v>304</v>
      </c>
      <c r="I876" s="1">
        <v>827</v>
      </c>
      <c r="J876" s="1">
        <v>781</v>
      </c>
      <c r="K876" s="1">
        <v>1001</v>
      </c>
      <c r="L876" s="1">
        <v>898</v>
      </c>
      <c r="M876" s="1">
        <v>70.599999999999994</v>
      </c>
      <c r="N876" s="1">
        <v>23.598322700000001</v>
      </c>
      <c r="O876" s="2" t="s">
        <v>146</v>
      </c>
      <c r="P876" s="14">
        <f t="shared" si="97"/>
        <v>22</v>
      </c>
      <c r="Q876" s="13">
        <v>20</v>
      </c>
      <c r="R876" s="16">
        <f t="shared" si="98"/>
        <v>0</v>
      </c>
      <c r="S876" s="14">
        <f t="shared" si="99"/>
        <v>0</v>
      </c>
      <c r="T876" s="13">
        <f t="shared" si="100"/>
        <v>17.399999999999999</v>
      </c>
      <c r="U876" s="14">
        <f t="shared" si="101"/>
        <v>0</v>
      </c>
      <c r="V876" s="14">
        <f t="shared" si="102"/>
        <v>10.299999999999999</v>
      </c>
      <c r="W876" s="1">
        <f t="shared" si="103"/>
        <v>12.6</v>
      </c>
      <c r="X876" s="1" t="str">
        <f>IF(Table1[[#This Row],[World Rank]]&lt;=250,"Q1-Elite",IF(Table1[[#This Row],[World Rank]]&lt;=500,"Q2-Strong",IF(Table1[[#This Row],[World Rank]]&lt;=750,"Q3-Developing","Q4-Emerging")))</f>
        <v>Q4-Emerging</v>
      </c>
    </row>
    <row r="877" spans="1:24" x14ac:dyDescent="0.2">
      <c r="A877" s="1">
        <v>876</v>
      </c>
      <c r="B877" s="1" t="s">
        <v>950</v>
      </c>
      <c r="C877" s="1" t="s">
        <v>124</v>
      </c>
      <c r="D877" s="1" t="s">
        <v>1125</v>
      </c>
      <c r="E877" s="1">
        <v>86</v>
      </c>
      <c r="F877" s="1">
        <v>667</v>
      </c>
      <c r="G877" s="1">
        <v>692</v>
      </c>
      <c r="H877" s="1">
        <v>304</v>
      </c>
      <c r="I877" s="1">
        <v>704</v>
      </c>
      <c r="J877" s="1">
        <v>702</v>
      </c>
      <c r="K877" s="1">
        <v>1001</v>
      </c>
      <c r="L877" s="1">
        <v>1001</v>
      </c>
      <c r="M877" s="1">
        <v>70.599999999999994</v>
      </c>
      <c r="N877" s="1">
        <v>30.047992000000001</v>
      </c>
      <c r="O877" s="1">
        <v>-94.335743300000004</v>
      </c>
      <c r="P877" s="14">
        <f t="shared" si="97"/>
        <v>29.9</v>
      </c>
      <c r="Q877" s="13">
        <v>20</v>
      </c>
      <c r="R877" s="16">
        <f t="shared" si="98"/>
        <v>30.9</v>
      </c>
      <c r="S877" s="14">
        <f t="shared" si="99"/>
        <v>0</v>
      </c>
      <c r="T877" s="13">
        <f t="shared" si="100"/>
        <v>29.7</v>
      </c>
      <c r="U877" s="14">
        <f t="shared" si="101"/>
        <v>0</v>
      </c>
      <c r="V877" s="14">
        <f t="shared" si="102"/>
        <v>0</v>
      </c>
      <c r="W877" s="1">
        <f t="shared" si="103"/>
        <v>12.5</v>
      </c>
      <c r="X877" s="1" t="str">
        <f>IF(Table1[[#This Row],[World Rank]]&lt;=250,"Q1-Elite",IF(Table1[[#This Row],[World Rank]]&lt;=500,"Q2-Strong",IF(Table1[[#This Row],[World Rank]]&lt;=750,"Q3-Developing","Q4-Emerging")))</f>
        <v>Q4-Emerging</v>
      </c>
    </row>
    <row r="878" spans="1:24" x14ac:dyDescent="0.2">
      <c r="A878" s="1">
        <v>877</v>
      </c>
      <c r="B878" s="1" t="s">
        <v>951</v>
      </c>
      <c r="C878" s="1" t="s">
        <v>124</v>
      </c>
      <c r="D878" s="1" t="s">
        <v>1125</v>
      </c>
      <c r="E878" s="1">
        <v>87</v>
      </c>
      <c r="F878" s="1">
        <v>667</v>
      </c>
      <c r="G878" s="1">
        <v>1001</v>
      </c>
      <c r="H878" s="1">
        <v>304</v>
      </c>
      <c r="I878" s="1">
        <v>688</v>
      </c>
      <c r="J878" s="1">
        <v>737</v>
      </c>
      <c r="K878" s="1">
        <v>1001</v>
      </c>
      <c r="L878" s="1">
        <v>1001</v>
      </c>
      <c r="M878" s="1">
        <v>70.599999999999994</v>
      </c>
      <c r="N878" s="1">
        <v>30.047992000000001</v>
      </c>
      <c r="O878" s="1">
        <v>-94.335743300000004</v>
      </c>
      <c r="P878" s="14">
        <f t="shared" si="97"/>
        <v>26.400000000000002</v>
      </c>
      <c r="Q878" s="13">
        <v>20</v>
      </c>
      <c r="R878" s="16">
        <f t="shared" si="98"/>
        <v>0</v>
      </c>
      <c r="S878" s="14">
        <f t="shared" si="99"/>
        <v>0</v>
      </c>
      <c r="T878" s="13">
        <f t="shared" si="100"/>
        <v>31.3</v>
      </c>
      <c r="U878" s="14">
        <f t="shared" si="101"/>
        <v>0</v>
      </c>
      <c r="V878" s="14">
        <f t="shared" si="102"/>
        <v>0</v>
      </c>
      <c r="W878" s="1">
        <f t="shared" si="103"/>
        <v>12.4</v>
      </c>
      <c r="X878" s="1" t="str">
        <f>IF(Table1[[#This Row],[World Rank]]&lt;=250,"Q1-Elite",IF(Table1[[#This Row],[World Rank]]&lt;=500,"Q2-Strong",IF(Table1[[#This Row],[World Rank]]&lt;=750,"Q3-Developing","Q4-Emerging")))</f>
        <v>Q4-Emerging</v>
      </c>
    </row>
    <row r="879" spans="1:24" x14ac:dyDescent="0.2">
      <c r="A879" s="1">
        <v>878</v>
      </c>
      <c r="B879" s="1" t="s">
        <v>952</v>
      </c>
      <c r="C879" s="1" t="s">
        <v>85</v>
      </c>
      <c r="D879" s="1" t="s">
        <v>1125</v>
      </c>
      <c r="E879" s="1">
        <v>31</v>
      </c>
      <c r="F879" s="1">
        <v>667</v>
      </c>
      <c r="G879" s="1">
        <v>556</v>
      </c>
      <c r="H879" s="1">
        <v>304</v>
      </c>
      <c r="I879" s="1">
        <v>685</v>
      </c>
      <c r="J879" s="1">
        <v>775</v>
      </c>
      <c r="K879" s="1">
        <v>1001</v>
      </c>
      <c r="L879" s="1">
        <v>1001</v>
      </c>
      <c r="M879" s="1">
        <v>70.599999999999994</v>
      </c>
      <c r="N879" s="1">
        <v>36.638392000000003</v>
      </c>
      <c r="O879" s="1">
        <v>127.69611879999999</v>
      </c>
      <c r="P879" s="14">
        <f t="shared" si="97"/>
        <v>22.6</v>
      </c>
      <c r="Q879" s="13">
        <v>20</v>
      </c>
      <c r="R879" s="16">
        <f t="shared" si="98"/>
        <v>44.5</v>
      </c>
      <c r="S879" s="14">
        <f t="shared" si="99"/>
        <v>0</v>
      </c>
      <c r="T879" s="13">
        <f t="shared" si="100"/>
        <v>31.6</v>
      </c>
      <c r="U879" s="14">
        <f t="shared" si="101"/>
        <v>0</v>
      </c>
      <c r="V879" s="14">
        <f t="shared" si="102"/>
        <v>0</v>
      </c>
      <c r="W879" s="1">
        <f t="shared" si="103"/>
        <v>12.3</v>
      </c>
      <c r="X879" s="1" t="str">
        <f>IF(Table1[[#This Row],[World Rank]]&lt;=250,"Q1-Elite",IF(Table1[[#This Row],[World Rank]]&lt;=500,"Q2-Strong",IF(Table1[[#This Row],[World Rank]]&lt;=750,"Q3-Developing","Q4-Emerging")))</f>
        <v>Q4-Emerging</v>
      </c>
    </row>
    <row r="880" spans="1:24" x14ac:dyDescent="0.2">
      <c r="A880" s="1">
        <v>879</v>
      </c>
      <c r="B880" s="1" t="s">
        <v>953</v>
      </c>
      <c r="C880" s="1" t="s">
        <v>15</v>
      </c>
      <c r="D880" s="1" t="s">
        <v>1120</v>
      </c>
      <c r="E880" s="1">
        <v>196</v>
      </c>
      <c r="F880" s="1">
        <v>667</v>
      </c>
      <c r="G880" s="1">
        <v>1001</v>
      </c>
      <c r="H880" s="1">
        <v>304</v>
      </c>
      <c r="I880" s="1">
        <v>1001</v>
      </c>
      <c r="J880" s="1">
        <v>868</v>
      </c>
      <c r="K880" s="1">
        <v>505</v>
      </c>
      <c r="L880" s="1">
        <v>673</v>
      </c>
      <c r="M880" s="1">
        <v>70.5</v>
      </c>
      <c r="N880" s="1">
        <v>39.783730400000003</v>
      </c>
      <c r="O880" s="1">
        <v>-100.445882</v>
      </c>
      <c r="P880" s="14">
        <f t="shared" si="97"/>
        <v>13.3</v>
      </c>
      <c r="Q880" s="13">
        <v>20</v>
      </c>
      <c r="R880" s="16">
        <f t="shared" si="98"/>
        <v>0</v>
      </c>
      <c r="S880" s="14">
        <f t="shared" si="99"/>
        <v>0</v>
      </c>
      <c r="T880" s="13">
        <f t="shared" si="100"/>
        <v>0</v>
      </c>
      <c r="U880" s="14">
        <f t="shared" si="101"/>
        <v>49.6</v>
      </c>
      <c r="V880" s="14">
        <f t="shared" si="102"/>
        <v>32.800000000000004</v>
      </c>
      <c r="W880" s="1">
        <f t="shared" si="103"/>
        <v>12.2</v>
      </c>
      <c r="X880" s="1" t="str">
        <f>IF(Table1[[#This Row],[World Rank]]&lt;=250,"Q1-Elite",IF(Table1[[#This Row],[World Rank]]&lt;=500,"Q2-Strong",IF(Table1[[#This Row],[World Rank]]&lt;=750,"Q3-Developing","Q4-Emerging")))</f>
        <v>Q4-Emerging</v>
      </c>
    </row>
    <row r="881" spans="1:24" x14ac:dyDescent="0.2">
      <c r="A881" s="1">
        <v>880</v>
      </c>
      <c r="B881" s="1" t="s">
        <v>954</v>
      </c>
      <c r="C881" s="1" t="s">
        <v>124</v>
      </c>
      <c r="D881" s="1" t="s">
        <v>1125</v>
      </c>
      <c r="E881" s="1">
        <v>88</v>
      </c>
      <c r="F881" s="1">
        <v>667</v>
      </c>
      <c r="G881" s="1">
        <v>1001</v>
      </c>
      <c r="H881" s="1">
        <v>304</v>
      </c>
      <c r="I881" s="1">
        <v>833</v>
      </c>
      <c r="J881" s="1">
        <v>770</v>
      </c>
      <c r="K881" s="1">
        <v>1001</v>
      </c>
      <c r="L881" s="1">
        <v>898</v>
      </c>
      <c r="M881" s="1">
        <v>70.5</v>
      </c>
      <c r="N881" s="1">
        <v>30.047992000000001</v>
      </c>
      <c r="O881" s="1">
        <v>-94.335743300000004</v>
      </c>
      <c r="P881" s="14">
        <f t="shared" si="97"/>
        <v>23.1</v>
      </c>
      <c r="Q881" s="13">
        <v>20</v>
      </c>
      <c r="R881" s="16">
        <f t="shared" si="98"/>
        <v>0</v>
      </c>
      <c r="S881" s="14">
        <f t="shared" si="99"/>
        <v>0</v>
      </c>
      <c r="T881" s="13">
        <f t="shared" si="100"/>
        <v>16.8</v>
      </c>
      <c r="U881" s="14">
        <f t="shared" si="101"/>
        <v>0</v>
      </c>
      <c r="V881" s="14">
        <f t="shared" si="102"/>
        <v>10.299999999999999</v>
      </c>
      <c r="W881" s="1">
        <f t="shared" si="103"/>
        <v>12.1</v>
      </c>
      <c r="X881" s="1" t="str">
        <f>IF(Table1[[#This Row],[World Rank]]&lt;=250,"Q1-Elite",IF(Table1[[#This Row],[World Rank]]&lt;=500,"Q2-Strong",IF(Table1[[#This Row],[World Rank]]&lt;=750,"Q3-Developing","Q4-Emerging")))</f>
        <v>Q4-Emerging</v>
      </c>
    </row>
    <row r="882" spans="1:24" x14ac:dyDescent="0.2">
      <c r="A882" s="1">
        <v>881</v>
      </c>
      <c r="B882" s="1" t="s">
        <v>955</v>
      </c>
      <c r="C882" s="1" t="s">
        <v>956</v>
      </c>
      <c r="D882" s="1" t="s">
        <v>1124</v>
      </c>
      <c r="E882" s="1">
        <v>1</v>
      </c>
      <c r="F882" s="1">
        <v>493</v>
      </c>
      <c r="G882" s="1">
        <v>1001</v>
      </c>
      <c r="H882" s="1">
        <v>304</v>
      </c>
      <c r="I882" s="1">
        <v>824</v>
      </c>
      <c r="J882" s="1">
        <v>964</v>
      </c>
      <c r="K882" s="1">
        <v>962</v>
      </c>
      <c r="L882" s="1">
        <v>673</v>
      </c>
      <c r="M882" s="1">
        <v>70.5</v>
      </c>
      <c r="N882" s="1">
        <v>46.788916899999997</v>
      </c>
      <c r="O882" s="1">
        <v>23.618490900000001</v>
      </c>
      <c r="P882" s="14">
        <f t="shared" si="97"/>
        <v>3.6999999999999997</v>
      </c>
      <c r="Q882" s="13">
        <f>((667 - F882) / 666) * 100</f>
        <v>26.126126126126124</v>
      </c>
      <c r="R882" s="16">
        <f t="shared" si="98"/>
        <v>0</v>
      </c>
      <c r="S882" s="14">
        <f t="shared" si="99"/>
        <v>0</v>
      </c>
      <c r="T882" s="13">
        <f t="shared" si="100"/>
        <v>17.7</v>
      </c>
      <c r="U882" s="14">
        <f t="shared" si="101"/>
        <v>3.9</v>
      </c>
      <c r="V882" s="14">
        <f t="shared" si="102"/>
        <v>32.800000000000004</v>
      </c>
      <c r="W882" s="1">
        <f t="shared" si="103"/>
        <v>12</v>
      </c>
      <c r="X882" s="1" t="str">
        <f>IF(Table1[[#This Row],[World Rank]]&lt;=250,"Q1-Elite",IF(Table1[[#This Row],[World Rank]]&lt;=500,"Q2-Strong",IF(Table1[[#This Row],[World Rank]]&lt;=750,"Q3-Developing","Q4-Emerging")))</f>
        <v>Q4-Emerging</v>
      </c>
    </row>
    <row r="883" spans="1:24" x14ac:dyDescent="0.2">
      <c r="A883" s="1">
        <v>882</v>
      </c>
      <c r="B883" s="1" t="s">
        <v>957</v>
      </c>
      <c r="C883" s="1" t="s">
        <v>28</v>
      </c>
      <c r="D883" s="1" t="s">
        <v>1125</v>
      </c>
      <c r="E883" s="1">
        <v>45</v>
      </c>
      <c r="F883" s="1">
        <v>667</v>
      </c>
      <c r="G883" s="1">
        <v>648</v>
      </c>
      <c r="H883" s="1">
        <v>304</v>
      </c>
      <c r="I883" s="1">
        <v>757</v>
      </c>
      <c r="J883" s="1">
        <v>824</v>
      </c>
      <c r="K883" s="1">
        <v>791</v>
      </c>
      <c r="L883" s="1">
        <v>1001</v>
      </c>
      <c r="M883" s="1">
        <v>70.5</v>
      </c>
      <c r="N883" s="1">
        <v>36.5748441</v>
      </c>
      <c r="O883" s="1">
        <v>139.23941790000001</v>
      </c>
      <c r="P883" s="14">
        <f t="shared" si="97"/>
        <v>17.7</v>
      </c>
      <c r="Q883" s="13">
        <v>20</v>
      </c>
      <c r="R883" s="16">
        <f t="shared" si="98"/>
        <v>35.299999999999997</v>
      </c>
      <c r="S883" s="14">
        <f t="shared" si="99"/>
        <v>0</v>
      </c>
      <c r="T883" s="13">
        <f t="shared" si="100"/>
        <v>24.4</v>
      </c>
      <c r="U883" s="14">
        <f t="shared" si="101"/>
        <v>21</v>
      </c>
      <c r="V883" s="14">
        <f t="shared" si="102"/>
        <v>0</v>
      </c>
      <c r="W883" s="1">
        <f t="shared" si="103"/>
        <v>11.899999999999999</v>
      </c>
      <c r="X883" s="1" t="str">
        <f>IF(Table1[[#This Row],[World Rank]]&lt;=250,"Q1-Elite",IF(Table1[[#This Row],[World Rank]]&lt;=500,"Q2-Strong",IF(Table1[[#This Row],[World Rank]]&lt;=750,"Q3-Developing","Q4-Emerging")))</f>
        <v>Q4-Emerging</v>
      </c>
    </row>
    <row r="884" spans="1:24" x14ac:dyDescent="0.2">
      <c r="A884" s="1">
        <v>883</v>
      </c>
      <c r="B884" s="1" t="s">
        <v>958</v>
      </c>
      <c r="C884" s="1" t="s">
        <v>478</v>
      </c>
      <c r="D884" s="1" t="s">
        <v>1125</v>
      </c>
      <c r="E884" s="1">
        <v>15</v>
      </c>
      <c r="F884" s="1">
        <v>667</v>
      </c>
      <c r="G884" s="1">
        <v>1001</v>
      </c>
      <c r="H884" s="1">
        <v>181</v>
      </c>
      <c r="I884" s="1">
        <v>1001</v>
      </c>
      <c r="J884" s="1">
        <v>1001</v>
      </c>
      <c r="K884" s="1">
        <v>1001</v>
      </c>
      <c r="L884" s="1">
        <v>1001</v>
      </c>
      <c r="M884" s="1">
        <v>70.5</v>
      </c>
      <c r="N884" s="1">
        <v>22.351114800000001</v>
      </c>
      <c r="O884" s="1">
        <v>78.667742799999999</v>
      </c>
      <c r="P884" s="14">
        <f t="shared" si="97"/>
        <v>0</v>
      </c>
      <c r="Q884" s="13">
        <v>20</v>
      </c>
      <c r="R884" s="16">
        <f t="shared" si="98"/>
        <v>0</v>
      </c>
      <c r="S884" s="14">
        <f t="shared" si="99"/>
        <v>40.594059405940598</v>
      </c>
      <c r="T884" s="13">
        <f t="shared" si="100"/>
        <v>0</v>
      </c>
      <c r="U884" s="14">
        <f t="shared" si="101"/>
        <v>0</v>
      </c>
      <c r="V884" s="14">
        <f t="shared" si="102"/>
        <v>0</v>
      </c>
      <c r="W884" s="1">
        <f t="shared" si="103"/>
        <v>11.799999999999999</v>
      </c>
      <c r="X884" s="1" t="str">
        <f>IF(Table1[[#This Row],[World Rank]]&lt;=250,"Q1-Elite",IF(Table1[[#This Row],[World Rank]]&lt;=500,"Q2-Strong",IF(Table1[[#This Row],[World Rank]]&lt;=750,"Q3-Developing","Q4-Emerging")))</f>
        <v>Q4-Emerging</v>
      </c>
    </row>
    <row r="885" spans="1:24" x14ac:dyDescent="0.2">
      <c r="A885" s="1">
        <v>884</v>
      </c>
      <c r="B885" s="1" t="s">
        <v>959</v>
      </c>
      <c r="C885" s="1" t="s">
        <v>512</v>
      </c>
      <c r="D885" s="1" t="s">
        <v>1122</v>
      </c>
      <c r="E885" s="1">
        <v>3</v>
      </c>
      <c r="F885" s="1">
        <v>667</v>
      </c>
      <c r="G885" s="1">
        <v>1001</v>
      </c>
      <c r="H885" s="1">
        <v>304</v>
      </c>
      <c r="I885" s="1">
        <v>731</v>
      </c>
      <c r="J885" s="1">
        <v>942</v>
      </c>
      <c r="K885" s="1">
        <v>971</v>
      </c>
      <c r="L885" s="1">
        <v>898</v>
      </c>
      <c r="M885" s="1">
        <v>70.5</v>
      </c>
      <c r="N885" s="1">
        <v>35.868129799999998</v>
      </c>
      <c r="O885" s="1">
        <v>-90.945675100000003</v>
      </c>
      <c r="P885" s="14">
        <f t="shared" si="97"/>
        <v>5.8999999999999995</v>
      </c>
      <c r="Q885" s="13">
        <v>20</v>
      </c>
      <c r="R885" s="16">
        <f t="shared" si="98"/>
        <v>0</v>
      </c>
      <c r="S885" s="14">
        <f t="shared" si="99"/>
        <v>0</v>
      </c>
      <c r="T885" s="13">
        <f t="shared" si="100"/>
        <v>27</v>
      </c>
      <c r="U885" s="14">
        <f t="shared" si="101"/>
        <v>3</v>
      </c>
      <c r="V885" s="14">
        <f t="shared" si="102"/>
        <v>10.299999999999999</v>
      </c>
      <c r="W885" s="1">
        <f t="shared" si="103"/>
        <v>11.700000000000001</v>
      </c>
      <c r="X885" s="1" t="str">
        <f>IF(Table1[[#This Row],[World Rank]]&lt;=250,"Q1-Elite",IF(Table1[[#This Row],[World Rank]]&lt;=500,"Q2-Strong",IF(Table1[[#This Row],[World Rank]]&lt;=750,"Q3-Developing","Q4-Emerging")))</f>
        <v>Q4-Emerging</v>
      </c>
    </row>
    <row r="886" spans="1:24" x14ac:dyDescent="0.2">
      <c r="A886" s="1">
        <v>885</v>
      </c>
      <c r="B886" s="1" t="s">
        <v>960</v>
      </c>
      <c r="C886" s="1" t="s">
        <v>15</v>
      </c>
      <c r="D886" s="1" t="s">
        <v>1120</v>
      </c>
      <c r="E886" s="1">
        <v>197</v>
      </c>
      <c r="F886" s="1">
        <v>667</v>
      </c>
      <c r="G886" s="1">
        <v>1001</v>
      </c>
      <c r="H886" s="1">
        <v>304</v>
      </c>
      <c r="I886" s="1">
        <v>1001</v>
      </c>
      <c r="J886" s="1">
        <v>978</v>
      </c>
      <c r="K886" s="1">
        <v>517</v>
      </c>
      <c r="L886" s="1">
        <v>541</v>
      </c>
      <c r="M886" s="1">
        <v>70.5</v>
      </c>
      <c r="N886" s="1">
        <v>39.783730400000003</v>
      </c>
      <c r="O886" s="1">
        <v>-100.445882</v>
      </c>
      <c r="P886" s="14">
        <f t="shared" si="97"/>
        <v>2.2999999999999998</v>
      </c>
      <c r="Q886" s="13">
        <v>20</v>
      </c>
      <c r="R886" s="16">
        <f t="shared" si="98"/>
        <v>0</v>
      </c>
      <c r="S886" s="14">
        <f t="shared" si="99"/>
        <v>0</v>
      </c>
      <c r="T886" s="13">
        <f t="shared" si="100"/>
        <v>0</v>
      </c>
      <c r="U886" s="14">
        <f t="shared" si="101"/>
        <v>48.4</v>
      </c>
      <c r="V886" s="14">
        <f t="shared" si="102"/>
        <v>46</v>
      </c>
      <c r="W886" s="1">
        <f t="shared" si="103"/>
        <v>11.600000000000001</v>
      </c>
      <c r="X886" s="1" t="str">
        <f>IF(Table1[[#This Row],[World Rank]]&lt;=250,"Q1-Elite",IF(Table1[[#This Row],[World Rank]]&lt;=500,"Q2-Strong",IF(Table1[[#This Row],[World Rank]]&lt;=750,"Q3-Developing","Q4-Emerging")))</f>
        <v>Q4-Emerging</v>
      </c>
    </row>
    <row r="887" spans="1:24" x14ac:dyDescent="0.2">
      <c r="A887" s="1">
        <v>886</v>
      </c>
      <c r="B887" s="1" t="s">
        <v>961</v>
      </c>
      <c r="C887" s="1" t="s">
        <v>107</v>
      </c>
      <c r="D887" s="1" t="s">
        <v>1123</v>
      </c>
      <c r="E887" s="1">
        <v>16</v>
      </c>
      <c r="F887" s="1">
        <v>667</v>
      </c>
      <c r="G887" s="1">
        <v>1001</v>
      </c>
      <c r="H887" s="1">
        <v>304</v>
      </c>
      <c r="I887" s="1">
        <v>843</v>
      </c>
      <c r="J887" s="1">
        <v>1001</v>
      </c>
      <c r="K887" s="1">
        <v>820</v>
      </c>
      <c r="L887" s="1">
        <v>673</v>
      </c>
      <c r="M887" s="1">
        <v>70.5</v>
      </c>
      <c r="N887" s="1">
        <v>-10.3333333</v>
      </c>
      <c r="O887" s="1">
        <v>-53.2</v>
      </c>
      <c r="P887" s="14">
        <f t="shared" si="97"/>
        <v>0</v>
      </c>
      <c r="Q887" s="13">
        <v>20</v>
      </c>
      <c r="R887" s="16">
        <f t="shared" si="98"/>
        <v>0</v>
      </c>
      <c r="S887" s="14">
        <f t="shared" si="99"/>
        <v>0</v>
      </c>
      <c r="T887" s="13">
        <f t="shared" si="100"/>
        <v>15.8</v>
      </c>
      <c r="U887" s="14">
        <f t="shared" si="101"/>
        <v>18.099999999999998</v>
      </c>
      <c r="V887" s="14">
        <f t="shared" si="102"/>
        <v>32.800000000000004</v>
      </c>
      <c r="W887" s="1">
        <f t="shared" si="103"/>
        <v>11.5</v>
      </c>
      <c r="X887" s="1" t="str">
        <f>IF(Table1[[#This Row],[World Rank]]&lt;=250,"Q1-Elite",IF(Table1[[#This Row],[World Rank]]&lt;=500,"Q2-Strong",IF(Table1[[#This Row],[World Rank]]&lt;=750,"Q3-Developing","Q4-Emerging")))</f>
        <v>Q4-Emerging</v>
      </c>
    </row>
    <row r="888" spans="1:24" x14ac:dyDescent="0.2">
      <c r="A888" s="1">
        <v>887</v>
      </c>
      <c r="B888" s="1" t="s">
        <v>962</v>
      </c>
      <c r="C888" s="1" t="s">
        <v>28</v>
      </c>
      <c r="D888" s="1" t="s">
        <v>1125</v>
      </c>
      <c r="E888" s="1">
        <v>46</v>
      </c>
      <c r="F888" s="1">
        <v>667</v>
      </c>
      <c r="G888" s="1">
        <v>1001</v>
      </c>
      <c r="H888" s="1">
        <v>232</v>
      </c>
      <c r="I888" s="1">
        <v>998</v>
      </c>
      <c r="J888" s="1">
        <v>1001</v>
      </c>
      <c r="K888" s="1">
        <v>956</v>
      </c>
      <c r="L888" s="1">
        <v>1001</v>
      </c>
      <c r="M888" s="1">
        <v>70.5</v>
      </c>
      <c r="N888" s="1">
        <v>36.5748441</v>
      </c>
      <c r="O888" s="1">
        <v>139.23941790000001</v>
      </c>
      <c r="P888" s="14">
        <f t="shared" si="97"/>
        <v>0</v>
      </c>
      <c r="Q888" s="13">
        <v>20</v>
      </c>
      <c r="R888" s="16">
        <f t="shared" si="98"/>
        <v>0</v>
      </c>
      <c r="S888" s="14">
        <f t="shared" si="99"/>
        <v>23.762376237623762</v>
      </c>
      <c r="T888" s="13">
        <f t="shared" si="100"/>
        <v>0.3</v>
      </c>
      <c r="U888" s="14">
        <f t="shared" si="101"/>
        <v>4.5</v>
      </c>
      <c r="V888" s="14">
        <f t="shared" si="102"/>
        <v>0</v>
      </c>
      <c r="W888" s="1">
        <f t="shared" si="103"/>
        <v>11.4</v>
      </c>
      <c r="X888" s="1" t="str">
        <f>IF(Table1[[#This Row],[World Rank]]&lt;=250,"Q1-Elite",IF(Table1[[#This Row],[World Rank]]&lt;=500,"Q2-Strong",IF(Table1[[#This Row],[World Rank]]&lt;=750,"Q3-Developing","Q4-Emerging")))</f>
        <v>Q4-Emerging</v>
      </c>
    </row>
    <row r="889" spans="1:24" x14ac:dyDescent="0.2">
      <c r="A889" s="1">
        <v>888</v>
      </c>
      <c r="B889" s="1" t="s">
        <v>963</v>
      </c>
      <c r="C889" s="1" t="s">
        <v>85</v>
      </c>
      <c r="D889" s="1" t="s">
        <v>1125</v>
      </c>
      <c r="E889" s="1">
        <v>32</v>
      </c>
      <c r="F889" s="1">
        <v>667</v>
      </c>
      <c r="G889" s="1">
        <v>1001</v>
      </c>
      <c r="H889" s="1">
        <v>304</v>
      </c>
      <c r="I889" s="1">
        <v>658</v>
      </c>
      <c r="J889" s="1">
        <v>851</v>
      </c>
      <c r="K889" s="1">
        <v>1001</v>
      </c>
      <c r="L889" s="1">
        <v>1001</v>
      </c>
      <c r="M889" s="1">
        <v>70.5</v>
      </c>
      <c r="N889" s="1">
        <v>36.638392000000003</v>
      </c>
      <c r="O889" s="1">
        <v>127.69611879999999</v>
      </c>
      <c r="P889" s="14">
        <f t="shared" si="97"/>
        <v>15</v>
      </c>
      <c r="Q889" s="13">
        <v>20</v>
      </c>
      <c r="R889" s="16">
        <f t="shared" si="98"/>
        <v>0</v>
      </c>
      <c r="S889" s="14">
        <f t="shared" si="99"/>
        <v>0</v>
      </c>
      <c r="T889" s="13">
        <f t="shared" si="100"/>
        <v>34.300000000000004</v>
      </c>
      <c r="U889" s="14">
        <f t="shared" si="101"/>
        <v>0</v>
      </c>
      <c r="V889" s="14">
        <f t="shared" si="102"/>
        <v>0</v>
      </c>
      <c r="W889" s="1">
        <f t="shared" si="103"/>
        <v>11.3</v>
      </c>
      <c r="X889" s="1" t="str">
        <f>IF(Table1[[#This Row],[World Rank]]&lt;=250,"Q1-Elite",IF(Table1[[#This Row],[World Rank]]&lt;=500,"Q2-Strong",IF(Table1[[#This Row],[World Rank]]&lt;=750,"Q3-Developing","Q4-Emerging")))</f>
        <v>Q4-Emerging</v>
      </c>
    </row>
    <row r="890" spans="1:24" x14ac:dyDescent="0.2">
      <c r="A890" s="1">
        <v>889</v>
      </c>
      <c r="B890" s="1" t="s">
        <v>964</v>
      </c>
      <c r="C890" s="1" t="s">
        <v>107</v>
      </c>
      <c r="D890" s="1" t="s">
        <v>1123</v>
      </c>
      <c r="E890" s="1">
        <v>17</v>
      </c>
      <c r="F890" s="1">
        <v>667</v>
      </c>
      <c r="G890" s="1">
        <v>857</v>
      </c>
      <c r="H890" s="1">
        <v>304</v>
      </c>
      <c r="I890" s="1">
        <v>653</v>
      </c>
      <c r="J890" s="1">
        <v>818</v>
      </c>
      <c r="K890" s="1">
        <v>1001</v>
      </c>
      <c r="L890" s="1">
        <v>1001</v>
      </c>
      <c r="M890" s="1">
        <v>70.5</v>
      </c>
      <c r="N890" s="1">
        <v>-10.3333333</v>
      </c>
      <c r="O890" s="1">
        <v>-53.2</v>
      </c>
      <c r="P890" s="14">
        <f t="shared" si="97"/>
        <v>18.3</v>
      </c>
      <c r="Q890" s="13">
        <v>20</v>
      </c>
      <c r="R890" s="16">
        <f t="shared" si="98"/>
        <v>14.399999999999999</v>
      </c>
      <c r="S890" s="14">
        <f t="shared" si="99"/>
        <v>0</v>
      </c>
      <c r="T890" s="13">
        <f t="shared" si="100"/>
        <v>34.799999999999997</v>
      </c>
      <c r="U890" s="14">
        <f t="shared" si="101"/>
        <v>0</v>
      </c>
      <c r="V890" s="14">
        <f t="shared" si="102"/>
        <v>0</v>
      </c>
      <c r="W890" s="1">
        <f t="shared" si="103"/>
        <v>11.200000000000001</v>
      </c>
      <c r="X890" s="1" t="str">
        <f>IF(Table1[[#This Row],[World Rank]]&lt;=250,"Q1-Elite",IF(Table1[[#This Row],[World Rank]]&lt;=500,"Q2-Strong",IF(Table1[[#This Row],[World Rank]]&lt;=750,"Q3-Developing","Q4-Emerging")))</f>
        <v>Q4-Emerging</v>
      </c>
    </row>
    <row r="891" spans="1:24" x14ac:dyDescent="0.2">
      <c r="A891" s="1">
        <v>890</v>
      </c>
      <c r="B891" s="1" t="s">
        <v>965</v>
      </c>
      <c r="C891" s="1" t="s">
        <v>124</v>
      </c>
      <c r="D891" s="1" t="s">
        <v>1125</v>
      </c>
      <c r="E891" s="1">
        <v>89</v>
      </c>
      <c r="F891" s="1">
        <v>667</v>
      </c>
      <c r="G891" s="1">
        <v>1001</v>
      </c>
      <c r="H891" s="1">
        <v>304</v>
      </c>
      <c r="I891" s="1">
        <v>672</v>
      </c>
      <c r="J891" s="1">
        <v>826</v>
      </c>
      <c r="K891" s="1">
        <v>1001</v>
      </c>
      <c r="L891" s="1">
        <v>1001</v>
      </c>
      <c r="M891" s="1">
        <v>70.5</v>
      </c>
      <c r="N891" s="1">
        <v>30.047992000000001</v>
      </c>
      <c r="O891" s="1">
        <v>-94.335743300000004</v>
      </c>
      <c r="P891" s="14">
        <f t="shared" si="97"/>
        <v>17.5</v>
      </c>
      <c r="Q891" s="13">
        <v>20</v>
      </c>
      <c r="R891" s="16">
        <f t="shared" si="98"/>
        <v>0</v>
      </c>
      <c r="S891" s="14">
        <f t="shared" si="99"/>
        <v>0</v>
      </c>
      <c r="T891" s="13">
        <f t="shared" si="100"/>
        <v>32.9</v>
      </c>
      <c r="U891" s="14">
        <f t="shared" si="101"/>
        <v>0</v>
      </c>
      <c r="V891" s="14">
        <f t="shared" si="102"/>
        <v>0</v>
      </c>
      <c r="W891" s="1">
        <f t="shared" si="103"/>
        <v>11.1</v>
      </c>
      <c r="X891" s="1" t="str">
        <f>IF(Table1[[#This Row],[World Rank]]&lt;=250,"Q1-Elite",IF(Table1[[#This Row],[World Rank]]&lt;=500,"Q2-Strong",IF(Table1[[#This Row],[World Rank]]&lt;=750,"Q3-Developing","Q4-Emerging")))</f>
        <v>Q4-Emerging</v>
      </c>
    </row>
    <row r="892" spans="1:24" x14ac:dyDescent="0.2">
      <c r="A892" s="1">
        <v>891</v>
      </c>
      <c r="B892" s="1" t="s">
        <v>966</v>
      </c>
      <c r="C892" s="1" t="s">
        <v>19</v>
      </c>
      <c r="D892" s="1" t="s">
        <v>1124</v>
      </c>
      <c r="E892" s="1">
        <v>56</v>
      </c>
      <c r="F892" s="1">
        <v>667</v>
      </c>
      <c r="G892" s="1">
        <v>309</v>
      </c>
      <c r="H892" s="1">
        <v>304</v>
      </c>
      <c r="I892" s="1">
        <v>912</v>
      </c>
      <c r="J892" s="1">
        <v>784</v>
      </c>
      <c r="K892" s="1">
        <v>1001</v>
      </c>
      <c r="L892" s="1">
        <v>898</v>
      </c>
      <c r="M892" s="1">
        <v>70.5</v>
      </c>
      <c r="N892" s="1">
        <v>54.702354499999998</v>
      </c>
      <c r="O892" s="1">
        <v>-3.2765753000000002</v>
      </c>
      <c r="P892" s="14">
        <f t="shared" si="97"/>
        <v>21.7</v>
      </c>
      <c r="Q892" s="13">
        <v>20</v>
      </c>
      <c r="R892" s="16">
        <f t="shared" si="98"/>
        <v>69.199999999999989</v>
      </c>
      <c r="S892" s="14">
        <f t="shared" si="99"/>
        <v>0</v>
      </c>
      <c r="T892" s="13">
        <f t="shared" si="100"/>
        <v>8.9</v>
      </c>
      <c r="U892" s="14">
        <f t="shared" si="101"/>
        <v>0</v>
      </c>
      <c r="V892" s="14">
        <f t="shared" si="102"/>
        <v>10.299999999999999</v>
      </c>
      <c r="W892" s="1">
        <f t="shared" si="103"/>
        <v>11</v>
      </c>
      <c r="X892" s="1" t="str">
        <f>IF(Table1[[#This Row],[World Rank]]&lt;=250,"Q1-Elite",IF(Table1[[#This Row],[World Rank]]&lt;=500,"Q2-Strong",IF(Table1[[#This Row],[World Rank]]&lt;=750,"Q3-Developing","Q4-Emerging")))</f>
        <v>Q4-Emerging</v>
      </c>
    </row>
    <row r="893" spans="1:24" x14ac:dyDescent="0.2">
      <c r="A893" s="1">
        <v>892</v>
      </c>
      <c r="B893" s="1" t="s">
        <v>967</v>
      </c>
      <c r="C893" s="1" t="s">
        <v>107</v>
      </c>
      <c r="D893" s="1" t="s">
        <v>1123</v>
      </c>
      <c r="E893" s="1">
        <v>18</v>
      </c>
      <c r="F893" s="1">
        <v>667</v>
      </c>
      <c r="G893" s="1">
        <v>1001</v>
      </c>
      <c r="H893" s="1">
        <v>304</v>
      </c>
      <c r="I893" s="1">
        <v>782</v>
      </c>
      <c r="J893" s="1">
        <v>997</v>
      </c>
      <c r="K893" s="1">
        <v>1001</v>
      </c>
      <c r="L893" s="1">
        <v>673</v>
      </c>
      <c r="M893" s="1">
        <v>70.5</v>
      </c>
      <c r="N893" s="1">
        <v>-10.3333333</v>
      </c>
      <c r="O893" s="1">
        <v>-53.2</v>
      </c>
      <c r="P893" s="14">
        <f t="shared" si="97"/>
        <v>0.4</v>
      </c>
      <c r="Q893" s="13">
        <v>20</v>
      </c>
      <c r="R893" s="16">
        <f t="shared" si="98"/>
        <v>0</v>
      </c>
      <c r="S893" s="14">
        <f t="shared" si="99"/>
        <v>0</v>
      </c>
      <c r="T893" s="13">
        <f t="shared" si="100"/>
        <v>21.9</v>
      </c>
      <c r="U893" s="14">
        <f t="shared" si="101"/>
        <v>0</v>
      </c>
      <c r="V893" s="14">
        <f t="shared" si="102"/>
        <v>32.800000000000004</v>
      </c>
      <c r="W893" s="1">
        <f t="shared" si="103"/>
        <v>10.9</v>
      </c>
      <c r="X893" s="1" t="str">
        <f>IF(Table1[[#This Row],[World Rank]]&lt;=250,"Q1-Elite",IF(Table1[[#This Row],[World Rank]]&lt;=500,"Q2-Strong",IF(Table1[[#This Row],[World Rank]]&lt;=750,"Q3-Developing","Q4-Emerging")))</f>
        <v>Q4-Emerging</v>
      </c>
    </row>
    <row r="894" spans="1:24" x14ac:dyDescent="0.2">
      <c r="A894" s="1">
        <v>893</v>
      </c>
      <c r="B894" s="1" t="s">
        <v>968</v>
      </c>
      <c r="C894" s="1" t="s">
        <v>19</v>
      </c>
      <c r="D894" s="1" t="s">
        <v>1124</v>
      </c>
      <c r="E894" s="1">
        <v>57</v>
      </c>
      <c r="F894" s="1">
        <v>314</v>
      </c>
      <c r="G894" s="1">
        <v>1001</v>
      </c>
      <c r="H894" s="1">
        <v>304</v>
      </c>
      <c r="I894" s="1">
        <v>1001</v>
      </c>
      <c r="J894" s="1">
        <v>910</v>
      </c>
      <c r="K894" s="1">
        <v>587</v>
      </c>
      <c r="L894" s="1">
        <v>673</v>
      </c>
      <c r="M894" s="1">
        <v>70.5</v>
      </c>
      <c r="N894" s="1">
        <v>54.702354499999998</v>
      </c>
      <c r="O894" s="1">
        <v>-3.2765753000000002</v>
      </c>
      <c r="P894" s="14">
        <f t="shared" si="97"/>
        <v>9.1</v>
      </c>
      <c r="Q894" s="13">
        <f>((667 - F894) / 666) * 100</f>
        <v>53.003003003003002</v>
      </c>
      <c r="R894" s="16">
        <f t="shared" si="98"/>
        <v>0</v>
      </c>
      <c r="S894" s="14">
        <f t="shared" si="99"/>
        <v>0</v>
      </c>
      <c r="T894" s="13">
        <f t="shared" si="100"/>
        <v>0</v>
      </c>
      <c r="U894" s="14">
        <f t="shared" si="101"/>
        <v>41.4</v>
      </c>
      <c r="V894" s="14">
        <f t="shared" si="102"/>
        <v>32.800000000000004</v>
      </c>
      <c r="W894" s="1">
        <f t="shared" si="103"/>
        <v>10.8</v>
      </c>
      <c r="X894" s="1" t="str">
        <f>IF(Table1[[#This Row],[World Rank]]&lt;=250,"Q1-Elite",IF(Table1[[#This Row],[World Rank]]&lt;=500,"Q2-Strong",IF(Table1[[#This Row],[World Rank]]&lt;=750,"Q3-Developing","Q4-Emerging")))</f>
        <v>Q4-Emerging</v>
      </c>
    </row>
    <row r="895" spans="1:24" x14ac:dyDescent="0.2">
      <c r="A895" s="1">
        <v>894</v>
      </c>
      <c r="B895" s="1" t="s">
        <v>969</v>
      </c>
      <c r="C895" s="1" t="s">
        <v>124</v>
      </c>
      <c r="D895" s="1" t="s">
        <v>1125</v>
      </c>
      <c r="E895" s="1">
        <v>90</v>
      </c>
      <c r="F895" s="1">
        <v>667</v>
      </c>
      <c r="G895" s="1">
        <v>502</v>
      </c>
      <c r="H895" s="1">
        <v>304</v>
      </c>
      <c r="I895" s="1">
        <v>623</v>
      </c>
      <c r="J895" s="1">
        <v>842</v>
      </c>
      <c r="K895" s="1">
        <v>1001</v>
      </c>
      <c r="L895" s="1">
        <v>1001</v>
      </c>
      <c r="M895" s="1">
        <v>70.400000000000006</v>
      </c>
      <c r="N895" s="1">
        <v>30.047992000000001</v>
      </c>
      <c r="O895" s="1">
        <v>-94.335743300000004</v>
      </c>
      <c r="P895" s="14">
        <f t="shared" si="97"/>
        <v>15.9</v>
      </c>
      <c r="Q895" s="13">
        <v>20</v>
      </c>
      <c r="R895" s="16">
        <f t="shared" si="98"/>
        <v>49.9</v>
      </c>
      <c r="S895" s="14">
        <f t="shared" si="99"/>
        <v>0</v>
      </c>
      <c r="T895" s="13">
        <f t="shared" si="100"/>
        <v>37.799999999999997</v>
      </c>
      <c r="U895" s="14">
        <f t="shared" si="101"/>
        <v>0</v>
      </c>
      <c r="V895" s="14">
        <f t="shared" si="102"/>
        <v>0</v>
      </c>
      <c r="W895" s="1">
        <f t="shared" si="103"/>
        <v>10.7</v>
      </c>
      <c r="X895" s="1" t="str">
        <f>IF(Table1[[#This Row],[World Rank]]&lt;=250,"Q1-Elite",IF(Table1[[#This Row],[World Rank]]&lt;=500,"Q2-Strong",IF(Table1[[#This Row],[World Rank]]&lt;=750,"Q3-Developing","Q4-Emerging")))</f>
        <v>Q4-Emerging</v>
      </c>
    </row>
    <row r="896" spans="1:24" x14ac:dyDescent="0.2">
      <c r="A896" s="1">
        <v>895</v>
      </c>
      <c r="B896" s="1" t="s">
        <v>970</v>
      </c>
      <c r="C896" s="1" t="s">
        <v>124</v>
      </c>
      <c r="D896" s="1" t="s">
        <v>1125</v>
      </c>
      <c r="E896" s="1">
        <v>91</v>
      </c>
      <c r="F896" s="1">
        <v>667</v>
      </c>
      <c r="G896" s="1">
        <v>1001</v>
      </c>
      <c r="H896" s="1">
        <v>304</v>
      </c>
      <c r="I896" s="1">
        <v>697</v>
      </c>
      <c r="J896" s="1">
        <v>789</v>
      </c>
      <c r="K896" s="1">
        <v>1001</v>
      </c>
      <c r="L896" s="1">
        <v>1001</v>
      </c>
      <c r="M896" s="1">
        <v>70.400000000000006</v>
      </c>
      <c r="N896" s="1">
        <v>30.047992000000001</v>
      </c>
      <c r="O896" s="1">
        <v>-94.335743300000004</v>
      </c>
      <c r="P896" s="14">
        <f t="shared" si="97"/>
        <v>21.2</v>
      </c>
      <c r="Q896" s="13">
        <v>20</v>
      </c>
      <c r="R896" s="16">
        <f t="shared" si="98"/>
        <v>0</v>
      </c>
      <c r="S896" s="14">
        <f t="shared" si="99"/>
        <v>0</v>
      </c>
      <c r="T896" s="13">
        <f t="shared" si="100"/>
        <v>30.4</v>
      </c>
      <c r="U896" s="14">
        <f t="shared" si="101"/>
        <v>0</v>
      </c>
      <c r="V896" s="14">
        <f t="shared" si="102"/>
        <v>0</v>
      </c>
      <c r="W896" s="1">
        <f t="shared" si="103"/>
        <v>10.6</v>
      </c>
      <c r="X896" s="1" t="str">
        <f>IF(Table1[[#This Row],[World Rank]]&lt;=250,"Q1-Elite",IF(Table1[[#This Row],[World Rank]]&lt;=500,"Q2-Strong",IF(Table1[[#This Row],[World Rank]]&lt;=750,"Q3-Developing","Q4-Emerging")))</f>
        <v>Q4-Emerging</v>
      </c>
    </row>
    <row r="897" spans="1:24" x14ac:dyDescent="0.2">
      <c r="A897" s="1">
        <v>896</v>
      </c>
      <c r="B897" s="1" t="s">
        <v>971</v>
      </c>
      <c r="C897" s="1" t="s">
        <v>28</v>
      </c>
      <c r="D897" s="1" t="s">
        <v>1125</v>
      </c>
      <c r="E897" s="1">
        <v>47</v>
      </c>
      <c r="F897" s="1">
        <v>667</v>
      </c>
      <c r="G897" s="1">
        <v>862</v>
      </c>
      <c r="H897" s="1">
        <v>304</v>
      </c>
      <c r="I897" s="1">
        <v>717</v>
      </c>
      <c r="J897" s="1">
        <v>812</v>
      </c>
      <c r="K897" s="1">
        <v>1001</v>
      </c>
      <c r="L897" s="1">
        <v>1001</v>
      </c>
      <c r="M897" s="1">
        <v>70.400000000000006</v>
      </c>
      <c r="N897" s="1">
        <v>36.5748441</v>
      </c>
      <c r="O897" s="1">
        <v>139.23941790000001</v>
      </c>
      <c r="P897" s="14">
        <f t="shared" si="97"/>
        <v>18.899999999999999</v>
      </c>
      <c r="Q897" s="13">
        <v>20</v>
      </c>
      <c r="R897" s="16">
        <f t="shared" si="98"/>
        <v>13.900000000000002</v>
      </c>
      <c r="S897" s="14">
        <f t="shared" si="99"/>
        <v>0</v>
      </c>
      <c r="T897" s="13">
        <f t="shared" si="100"/>
        <v>28.4</v>
      </c>
      <c r="U897" s="14">
        <f t="shared" si="101"/>
        <v>0</v>
      </c>
      <c r="V897" s="14">
        <f t="shared" si="102"/>
        <v>0</v>
      </c>
      <c r="W897" s="1">
        <f t="shared" si="103"/>
        <v>10.5</v>
      </c>
      <c r="X897" s="1" t="str">
        <f>IF(Table1[[#This Row],[World Rank]]&lt;=250,"Q1-Elite",IF(Table1[[#This Row],[World Rank]]&lt;=500,"Q2-Strong",IF(Table1[[#This Row],[World Rank]]&lt;=750,"Q3-Developing","Q4-Emerging")))</f>
        <v>Q4-Emerging</v>
      </c>
    </row>
    <row r="898" spans="1:24" x14ac:dyDescent="0.2">
      <c r="A898" s="1">
        <v>897</v>
      </c>
      <c r="B898" s="1" t="s">
        <v>972</v>
      </c>
      <c r="C898" s="1" t="s">
        <v>212</v>
      </c>
      <c r="D898" s="1" t="s">
        <v>1124</v>
      </c>
      <c r="E898" s="1">
        <v>10</v>
      </c>
      <c r="F898" s="1">
        <v>667</v>
      </c>
      <c r="G898" s="1">
        <v>1001</v>
      </c>
      <c r="H898" s="1">
        <v>304</v>
      </c>
      <c r="I898" s="1">
        <v>986</v>
      </c>
      <c r="J898" s="1">
        <v>863</v>
      </c>
      <c r="K898" s="1">
        <v>643</v>
      </c>
      <c r="L898" s="1">
        <v>898</v>
      </c>
      <c r="M898" s="1">
        <v>70.400000000000006</v>
      </c>
      <c r="N898" s="1">
        <v>47.593969999999999</v>
      </c>
      <c r="O898" s="1">
        <v>14.124560000000001</v>
      </c>
      <c r="P898" s="14">
        <f t="shared" ref="P898:P961" si="104">((1001 - J898) / 1000) * 100</f>
        <v>13.8</v>
      </c>
      <c r="Q898" s="13">
        <v>20</v>
      </c>
      <c r="R898" s="16">
        <f t="shared" ref="R898:R961" si="105">(1001 - G898) / 1000 * 100</f>
        <v>0</v>
      </c>
      <c r="S898" s="14">
        <f t="shared" ref="S898:S961" si="106">(304 - H898) / 303 * 100</f>
        <v>0</v>
      </c>
      <c r="T898" s="13">
        <f t="shared" ref="T898:T961" si="107">(1001 - I898) / 1000 * 100</f>
        <v>1.5</v>
      </c>
      <c r="U898" s="14">
        <f t="shared" ref="U898:U961" si="108">(1001 - K898) / 1000 * 100</f>
        <v>35.799999999999997</v>
      </c>
      <c r="V898" s="14">
        <f t="shared" ref="V898:V961" si="109">(1001 - L898) / 1000 * 100</f>
        <v>10.299999999999999</v>
      </c>
      <c r="W898" s="1">
        <f t="shared" ref="W898:W961" si="110">(1001 - A898) / 1000 * 100</f>
        <v>10.4</v>
      </c>
      <c r="X898" s="1" t="str">
        <f>IF(Table1[[#This Row],[World Rank]]&lt;=250,"Q1-Elite",IF(Table1[[#This Row],[World Rank]]&lt;=500,"Q2-Strong",IF(Table1[[#This Row],[World Rank]]&lt;=750,"Q3-Developing","Q4-Emerging")))</f>
        <v>Q4-Emerging</v>
      </c>
    </row>
    <row r="899" spans="1:24" x14ac:dyDescent="0.2">
      <c r="A899" s="1">
        <v>898</v>
      </c>
      <c r="B899" s="1" t="s">
        <v>973</v>
      </c>
      <c r="C899" s="1" t="s">
        <v>28</v>
      </c>
      <c r="D899" s="1" t="s">
        <v>1125</v>
      </c>
      <c r="E899" s="1">
        <v>48</v>
      </c>
      <c r="F899" s="1">
        <v>667</v>
      </c>
      <c r="G899" s="1">
        <v>1001</v>
      </c>
      <c r="H899" s="1">
        <v>304</v>
      </c>
      <c r="I899" s="1">
        <v>850</v>
      </c>
      <c r="J899" s="1">
        <v>887</v>
      </c>
      <c r="K899" s="1">
        <v>863</v>
      </c>
      <c r="L899" s="1">
        <v>898</v>
      </c>
      <c r="M899" s="1">
        <v>70.400000000000006</v>
      </c>
      <c r="N899" s="1">
        <v>36.5748441</v>
      </c>
      <c r="O899" s="1">
        <v>139.23941790000001</v>
      </c>
      <c r="P899" s="14">
        <f t="shared" si="104"/>
        <v>11.4</v>
      </c>
      <c r="Q899" s="13">
        <v>20</v>
      </c>
      <c r="R899" s="16">
        <f t="shared" si="105"/>
        <v>0</v>
      </c>
      <c r="S899" s="14">
        <f t="shared" si="106"/>
        <v>0</v>
      </c>
      <c r="T899" s="13">
        <f t="shared" si="107"/>
        <v>15.1</v>
      </c>
      <c r="U899" s="14">
        <f t="shared" si="108"/>
        <v>13.8</v>
      </c>
      <c r="V899" s="14">
        <f t="shared" si="109"/>
        <v>10.299999999999999</v>
      </c>
      <c r="W899" s="1">
        <f t="shared" si="110"/>
        <v>10.299999999999999</v>
      </c>
      <c r="X899" s="1" t="str">
        <f>IF(Table1[[#This Row],[World Rank]]&lt;=250,"Q1-Elite",IF(Table1[[#This Row],[World Rank]]&lt;=500,"Q2-Strong",IF(Table1[[#This Row],[World Rank]]&lt;=750,"Q3-Developing","Q4-Emerging")))</f>
        <v>Q4-Emerging</v>
      </c>
    </row>
    <row r="900" spans="1:24" x14ac:dyDescent="0.2">
      <c r="A900" s="1">
        <v>899</v>
      </c>
      <c r="B900" s="1" t="s">
        <v>974</v>
      </c>
      <c r="C900" s="1" t="s">
        <v>307</v>
      </c>
      <c r="D900" s="1" t="s">
        <v>1124</v>
      </c>
      <c r="E900" s="1">
        <v>9</v>
      </c>
      <c r="F900" s="1">
        <v>667</v>
      </c>
      <c r="G900" s="1">
        <v>1001</v>
      </c>
      <c r="H900" s="1">
        <v>304</v>
      </c>
      <c r="I900" s="1">
        <v>806</v>
      </c>
      <c r="J900" s="1">
        <v>955</v>
      </c>
      <c r="K900" s="1">
        <v>1001</v>
      </c>
      <c r="L900" s="1">
        <v>673</v>
      </c>
      <c r="M900" s="1">
        <v>70.400000000000006</v>
      </c>
      <c r="N900" s="1">
        <v>52.215933</v>
      </c>
      <c r="O900" s="1">
        <v>19.134422000000001</v>
      </c>
      <c r="P900" s="14">
        <f t="shared" si="104"/>
        <v>4.5999999999999996</v>
      </c>
      <c r="Q900" s="13">
        <v>20</v>
      </c>
      <c r="R900" s="16">
        <f t="shared" si="105"/>
        <v>0</v>
      </c>
      <c r="S900" s="14">
        <f t="shared" si="106"/>
        <v>0</v>
      </c>
      <c r="T900" s="13">
        <f t="shared" si="107"/>
        <v>19.5</v>
      </c>
      <c r="U900" s="14">
        <f t="shared" si="108"/>
        <v>0</v>
      </c>
      <c r="V900" s="14">
        <f t="shared" si="109"/>
        <v>32.800000000000004</v>
      </c>
      <c r="W900" s="1">
        <f t="shared" si="110"/>
        <v>10.199999999999999</v>
      </c>
      <c r="X900" s="1" t="str">
        <f>IF(Table1[[#This Row],[World Rank]]&lt;=250,"Q1-Elite",IF(Table1[[#This Row],[World Rank]]&lt;=500,"Q2-Strong",IF(Table1[[#This Row],[World Rank]]&lt;=750,"Q3-Developing","Q4-Emerging")))</f>
        <v>Q4-Emerging</v>
      </c>
    </row>
    <row r="901" spans="1:24" x14ac:dyDescent="0.2">
      <c r="A901" s="1">
        <v>900</v>
      </c>
      <c r="B901" s="1" t="s">
        <v>975</v>
      </c>
      <c r="C901" s="1" t="s">
        <v>118</v>
      </c>
      <c r="D901" s="1" t="s">
        <v>1124</v>
      </c>
      <c r="E901" s="1">
        <v>34</v>
      </c>
      <c r="F901" s="1">
        <v>667</v>
      </c>
      <c r="G901" s="1">
        <v>1001</v>
      </c>
      <c r="H901" s="1">
        <v>304</v>
      </c>
      <c r="I901" s="1">
        <v>1000</v>
      </c>
      <c r="J901" s="1">
        <v>969</v>
      </c>
      <c r="K901" s="1">
        <v>1001</v>
      </c>
      <c r="L901" s="1">
        <v>460</v>
      </c>
      <c r="M901" s="1">
        <v>70.400000000000006</v>
      </c>
      <c r="N901" s="1">
        <v>39.326068499999998</v>
      </c>
      <c r="O901" s="1">
        <v>-4.8379791000000001</v>
      </c>
      <c r="P901" s="14">
        <f t="shared" si="104"/>
        <v>3.2</v>
      </c>
      <c r="Q901" s="13">
        <v>20</v>
      </c>
      <c r="R901" s="16">
        <f t="shared" si="105"/>
        <v>0</v>
      </c>
      <c r="S901" s="14">
        <f t="shared" si="106"/>
        <v>0</v>
      </c>
      <c r="T901" s="13">
        <f t="shared" si="107"/>
        <v>0.1</v>
      </c>
      <c r="U901" s="14">
        <f t="shared" si="108"/>
        <v>0</v>
      </c>
      <c r="V901" s="14">
        <f t="shared" si="109"/>
        <v>54.1</v>
      </c>
      <c r="W901" s="1">
        <f t="shared" si="110"/>
        <v>10.100000000000001</v>
      </c>
      <c r="X901" s="1" t="str">
        <f>IF(Table1[[#This Row],[World Rank]]&lt;=250,"Q1-Elite",IF(Table1[[#This Row],[World Rank]]&lt;=500,"Q2-Strong",IF(Table1[[#This Row],[World Rank]]&lt;=750,"Q3-Developing","Q4-Emerging")))</f>
        <v>Q4-Emerging</v>
      </c>
    </row>
    <row r="902" spans="1:24" x14ac:dyDescent="0.2">
      <c r="A902" s="1">
        <v>901</v>
      </c>
      <c r="B902" s="1" t="s">
        <v>976</v>
      </c>
      <c r="C902" s="1" t="s">
        <v>28</v>
      </c>
      <c r="D902" s="1" t="s">
        <v>1125</v>
      </c>
      <c r="E902" s="1">
        <v>49</v>
      </c>
      <c r="F902" s="1">
        <v>667</v>
      </c>
      <c r="G902" s="1">
        <v>1001</v>
      </c>
      <c r="H902" s="1">
        <v>304</v>
      </c>
      <c r="I902" s="1">
        <v>834</v>
      </c>
      <c r="J902" s="1">
        <v>877</v>
      </c>
      <c r="K902" s="1">
        <v>993</v>
      </c>
      <c r="L902" s="1">
        <v>898</v>
      </c>
      <c r="M902" s="1">
        <v>70.400000000000006</v>
      </c>
      <c r="N902" s="1">
        <v>36.5748441</v>
      </c>
      <c r="O902" s="1">
        <v>139.23941790000001</v>
      </c>
      <c r="P902" s="14">
        <f t="shared" si="104"/>
        <v>12.4</v>
      </c>
      <c r="Q902" s="13">
        <v>20</v>
      </c>
      <c r="R902" s="16">
        <f t="shared" si="105"/>
        <v>0</v>
      </c>
      <c r="S902" s="14">
        <f t="shared" si="106"/>
        <v>0</v>
      </c>
      <c r="T902" s="13">
        <f t="shared" si="107"/>
        <v>16.7</v>
      </c>
      <c r="U902" s="14">
        <f t="shared" si="108"/>
        <v>0.8</v>
      </c>
      <c r="V902" s="14">
        <f t="shared" si="109"/>
        <v>10.299999999999999</v>
      </c>
      <c r="W902" s="1">
        <f t="shared" si="110"/>
        <v>10</v>
      </c>
      <c r="X902" s="1" t="str">
        <f>IF(Table1[[#This Row],[World Rank]]&lt;=250,"Q1-Elite",IF(Table1[[#This Row],[World Rank]]&lt;=500,"Q2-Strong",IF(Table1[[#This Row],[World Rank]]&lt;=750,"Q3-Developing","Q4-Emerging")))</f>
        <v>Q4-Emerging</v>
      </c>
    </row>
    <row r="903" spans="1:24" x14ac:dyDescent="0.2">
      <c r="A903" s="1">
        <v>902</v>
      </c>
      <c r="B903" s="1" t="s">
        <v>977</v>
      </c>
      <c r="C903" s="1" t="s">
        <v>124</v>
      </c>
      <c r="D903" s="1" t="s">
        <v>1125</v>
      </c>
      <c r="E903" s="1">
        <v>92</v>
      </c>
      <c r="F903" s="1">
        <v>667</v>
      </c>
      <c r="G903" s="1">
        <v>1001</v>
      </c>
      <c r="H903" s="1">
        <v>304</v>
      </c>
      <c r="I903" s="1">
        <v>712</v>
      </c>
      <c r="J903" s="1">
        <v>751</v>
      </c>
      <c r="K903" s="1">
        <v>1001</v>
      </c>
      <c r="L903" s="1">
        <v>1001</v>
      </c>
      <c r="M903" s="1">
        <v>70.400000000000006</v>
      </c>
      <c r="N903" s="1">
        <v>30.047992000000001</v>
      </c>
      <c r="O903" s="1">
        <v>-94.335743300000004</v>
      </c>
      <c r="P903" s="14">
        <f t="shared" si="104"/>
        <v>25</v>
      </c>
      <c r="Q903" s="13">
        <v>20</v>
      </c>
      <c r="R903" s="16">
        <f t="shared" si="105"/>
        <v>0</v>
      </c>
      <c r="S903" s="14">
        <f t="shared" si="106"/>
        <v>0</v>
      </c>
      <c r="T903" s="13">
        <f t="shared" si="107"/>
        <v>28.9</v>
      </c>
      <c r="U903" s="14">
        <f t="shared" si="108"/>
        <v>0</v>
      </c>
      <c r="V903" s="14">
        <f t="shared" si="109"/>
        <v>0</v>
      </c>
      <c r="W903" s="1">
        <f t="shared" si="110"/>
        <v>9.9</v>
      </c>
      <c r="X903" s="1" t="str">
        <f>IF(Table1[[#This Row],[World Rank]]&lt;=250,"Q1-Elite",IF(Table1[[#This Row],[World Rank]]&lt;=500,"Q2-Strong",IF(Table1[[#This Row],[World Rank]]&lt;=750,"Q3-Developing","Q4-Emerging")))</f>
        <v>Q4-Emerging</v>
      </c>
    </row>
    <row r="904" spans="1:24" x14ac:dyDescent="0.2">
      <c r="A904" s="1">
        <v>903</v>
      </c>
      <c r="B904" s="1" t="s">
        <v>978</v>
      </c>
      <c r="C904" s="1" t="s">
        <v>512</v>
      </c>
      <c r="D904" s="1" t="s">
        <v>1122</v>
      </c>
      <c r="E904" s="1">
        <v>4</v>
      </c>
      <c r="F904" s="1">
        <v>500</v>
      </c>
      <c r="G904" s="1">
        <v>1001</v>
      </c>
      <c r="H904" s="1">
        <v>304</v>
      </c>
      <c r="I904" s="1">
        <v>768</v>
      </c>
      <c r="J904" s="1">
        <v>923</v>
      </c>
      <c r="K904" s="1">
        <v>1001</v>
      </c>
      <c r="L904" s="1">
        <v>898</v>
      </c>
      <c r="M904" s="1">
        <v>70.400000000000006</v>
      </c>
      <c r="N904" s="1">
        <v>35.868129799999998</v>
      </c>
      <c r="O904" s="1">
        <v>-90.945675100000003</v>
      </c>
      <c r="P904" s="14">
        <f t="shared" si="104"/>
        <v>7.8</v>
      </c>
      <c r="Q904" s="13">
        <f>((667 - F904) / 666) * 100</f>
        <v>25.075075075075077</v>
      </c>
      <c r="R904" s="16">
        <f t="shared" si="105"/>
        <v>0</v>
      </c>
      <c r="S904" s="14">
        <f t="shared" si="106"/>
        <v>0</v>
      </c>
      <c r="T904" s="13">
        <f t="shared" si="107"/>
        <v>23.3</v>
      </c>
      <c r="U904" s="14">
        <f t="shared" si="108"/>
        <v>0</v>
      </c>
      <c r="V904" s="14">
        <f t="shared" si="109"/>
        <v>10.299999999999999</v>
      </c>
      <c r="W904" s="1">
        <f t="shared" si="110"/>
        <v>9.8000000000000007</v>
      </c>
      <c r="X904" s="1" t="str">
        <f>IF(Table1[[#This Row],[World Rank]]&lt;=250,"Q1-Elite",IF(Table1[[#This Row],[World Rank]]&lt;=500,"Q2-Strong",IF(Table1[[#This Row],[World Rank]]&lt;=750,"Q3-Developing","Q4-Emerging")))</f>
        <v>Q4-Emerging</v>
      </c>
    </row>
    <row r="905" spans="1:24" x14ac:dyDescent="0.2">
      <c r="A905" s="1">
        <v>904</v>
      </c>
      <c r="B905" s="1" t="s">
        <v>979</v>
      </c>
      <c r="C905" s="1" t="s">
        <v>139</v>
      </c>
      <c r="D905" s="1" t="s">
        <v>1124</v>
      </c>
      <c r="E905" s="1">
        <v>8</v>
      </c>
      <c r="F905" s="1">
        <v>667</v>
      </c>
      <c r="G905" s="1">
        <v>1001</v>
      </c>
      <c r="H905" s="1">
        <v>304</v>
      </c>
      <c r="I905" s="1">
        <v>1001</v>
      </c>
      <c r="J905" s="1">
        <v>876</v>
      </c>
      <c r="K905" s="1">
        <v>773</v>
      </c>
      <c r="L905" s="1">
        <v>673</v>
      </c>
      <c r="M905" s="1">
        <v>70.400000000000006</v>
      </c>
      <c r="N905" s="1">
        <v>50.6402809</v>
      </c>
      <c r="O905" s="1">
        <v>4.6667145000000003</v>
      </c>
      <c r="P905" s="14">
        <f t="shared" si="104"/>
        <v>12.5</v>
      </c>
      <c r="Q905" s="13">
        <v>20</v>
      </c>
      <c r="R905" s="16">
        <f t="shared" si="105"/>
        <v>0</v>
      </c>
      <c r="S905" s="14">
        <f t="shared" si="106"/>
        <v>0</v>
      </c>
      <c r="T905" s="13">
        <f t="shared" si="107"/>
        <v>0</v>
      </c>
      <c r="U905" s="14">
        <f t="shared" si="108"/>
        <v>22.8</v>
      </c>
      <c r="V905" s="14">
        <f t="shared" si="109"/>
        <v>32.800000000000004</v>
      </c>
      <c r="W905" s="1">
        <f t="shared" si="110"/>
        <v>9.7000000000000011</v>
      </c>
      <c r="X905" s="1" t="str">
        <f>IF(Table1[[#This Row],[World Rank]]&lt;=250,"Q1-Elite",IF(Table1[[#This Row],[World Rank]]&lt;=500,"Q2-Strong",IF(Table1[[#This Row],[World Rank]]&lt;=750,"Q3-Developing","Q4-Emerging")))</f>
        <v>Q4-Emerging</v>
      </c>
    </row>
    <row r="906" spans="1:24" x14ac:dyDescent="0.2">
      <c r="A906" s="1">
        <v>905</v>
      </c>
      <c r="B906" s="1" t="s">
        <v>980</v>
      </c>
      <c r="C906" s="1" t="s">
        <v>981</v>
      </c>
      <c r="D906" s="1" t="s">
        <v>1124</v>
      </c>
      <c r="E906" s="1">
        <v>1</v>
      </c>
      <c r="F906" s="1">
        <v>667</v>
      </c>
      <c r="G906" s="1">
        <v>1001</v>
      </c>
      <c r="H906" s="1">
        <v>304</v>
      </c>
      <c r="I906" s="1">
        <v>979</v>
      </c>
      <c r="J906" s="1">
        <v>845</v>
      </c>
      <c r="K906" s="1">
        <v>1001</v>
      </c>
      <c r="L906" s="1">
        <v>673</v>
      </c>
      <c r="M906" s="1">
        <v>70.400000000000006</v>
      </c>
      <c r="N906" s="1">
        <v>34.917415900000002</v>
      </c>
      <c r="O906" s="2" t="s">
        <v>982</v>
      </c>
      <c r="P906" s="14">
        <f t="shared" si="104"/>
        <v>15.6</v>
      </c>
      <c r="Q906" s="13">
        <v>20</v>
      </c>
      <c r="R906" s="16">
        <f t="shared" si="105"/>
        <v>0</v>
      </c>
      <c r="S906" s="14">
        <f t="shared" si="106"/>
        <v>0</v>
      </c>
      <c r="T906" s="13">
        <f t="shared" si="107"/>
        <v>2.1999999999999997</v>
      </c>
      <c r="U906" s="14">
        <f t="shared" si="108"/>
        <v>0</v>
      </c>
      <c r="V906" s="14">
        <f t="shared" si="109"/>
        <v>32.800000000000004</v>
      </c>
      <c r="W906" s="1">
        <f t="shared" si="110"/>
        <v>9.6</v>
      </c>
      <c r="X906" s="1" t="str">
        <f>IF(Table1[[#This Row],[World Rank]]&lt;=250,"Q1-Elite",IF(Table1[[#This Row],[World Rank]]&lt;=500,"Q2-Strong",IF(Table1[[#This Row],[World Rank]]&lt;=750,"Q3-Developing","Q4-Emerging")))</f>
        <v>Q4-Emerging</v>
      </c>
    </row>
    <row r="907" spans="1:24" x14ac:dyDescent="0.2">
      <c r="A907" s="1">
        <v>906</v>
      </c>
      <c r="B907" s="1" t="s">
        <v>983</v>
      </c>
      <c r="C907" s="1" t="s">
        <v>93</v>
      </c>
      <c r="D907" s="1" t="s">
        <v>1124</v>
      </c>
      <c r="E907" s="1">
        <v>45</v>
      </c>
      <c r="F907" s="1">
        <v>667</v>
      </c>
      <c r="G907" s="1">
        <v>1001</v>
      </c>
      <c r="H907" s="1">
        <v>304</v>
      </c>
      <c r="I907" s="1">
        <v>802</v>
      </c>
      <c r="J907" s="1">
        <v>770</v>
      </c>
      <c r="K907" s="1">
        <v>942</v>
      </c>
      <c r="L907" s="1">
        <v>1001</v>
      </c>
      <c r="M907" s="1">
        <v>70.400000000000006</v>
      </c>
      <c r="N907" s="1">
        <v>42.638426099999997</v>
      </c>
      <c r="O907" s="1">
        <v>12.674296999999999</v>
      </c>
      <c r="P907" s="14">
        <f t="shared" si="104"/>
        <v>23.1</v>
      </c>
      <c r="Q907" s="13">
        <v>20</v>
      </c>
      <c r="R907" s="16">
        <f t="shared" si="105"/>
        <v>0</v>
      </c>
      <c r="S907" s="14">
        <f t="shared" si="106"/>
        <v>0</v>
      </c>
      <c r="T907" s="13">
        <f t="shared" si="107"/>
        <v>19.900000000000002</v>
      </c>
      <c r="U907" s="14">
        <f t="shared" si="108"/>
        <v>5.8999999999999995</v>
      </c>
      <c r="V907" s="14">
        <f t="shared" si="109"/>
        <v>0</v>
      </c>
      <c r="W907" s="1">
        <f t="shared" si="110"/>
        <v>9.5</v>
      </c>
      <c r="X907" s="1" t="str">
        <f>IF(Table1[[#This Row],[World Rank]]&lt;=250,"Q1-Elite",IF(Table1[[#This Row],[World Rank]]&lt;=500,"Q2-Strong",IF(Table1[[#This Row],[World Rank]]&lt;=750,"Q3-Developing","Q4-Emerging")))</f>
        <v>Q4-Emerging</v>
      </c>
    </row>
    <row r="908" spans="1:24" x14ac:dyDescent="0.2">
      <c r="A908" s="1">
        <v>907</v>
      </c>
      <c r="B908" s="1" t="s">
        <v>984</v>
      </c>
      <c r="C908" s="1" t="s">
        <v>28</v>
      </c>
      <c r="D908" s="1" t="s">
        <v>1125</v>
      </c>
      <c r="E908" s="1">
        <v>50</v>
      </c>
      <c r="F908" s="1">
        <v>667</v>
      </c>
      <c r="G908" s="1">
        <v>16</v>
      </c>
      <c r="H908" s="1">
        <v>304</v>
      </c>
      <c r="I908" s="1">
        <v>1001</v>
      </c>
      <c r="J908" s="1">
        <v>1001</v>
      </c>
      <c r="K908" s="1">
        <v>1001</v>
      </c>
      <c r="L908" s="1">
        <v>1001</v>
      </c>
      <c r="M908" s="1">
        <v>70.400000000000006</v>
      </c>
      <c r="N908" s="1">
        <v>36.5748441</v>
      </c>
      <c r="O908" s="1">
        <v>139.23941790000001</v>
      </c>
      <c r="P908" s="14">
        <f t="shared" si="104"/>
        <v>0</v>
      </c>
      <c r="Q908" s="13">
        <v>20</v>
      </c>
      <c r="R908" s="16">
        <f t="shared" si="105"/>
        <v>98.5</v>
      </c>
      <c r="S908" s="14">
        <f t="shared" si="106"/>
        <v>0</v>
      </c>
      <c r="T908" s="13">
        <f t="shared" si="107"/>
        <v>0</v>
      </c>
      <c r="U908" s="14">
        <f t="shared" si="108"/>
        <v>0</v>
      </c>
      <c r="V908" s="14">
        <f t="shared" si="109"/>
        <v>0</v>
      </c>
      <c r="W908" s="1">
        <f t="shared" si="110"/>
        <v>9.4</v>
      </c>
      <c r="X908" s="1" t="str">
        <f>IF(Table1[[#This Row],[World Rank]]&lt;=250,"Q1-Elite",IF(Table1[[#This Row],[World Rank]]&lt;=500,"Q2-Strong",IF(Table1[[#This Row],[World Rank]]&lt;=750,"Q3-Developing","Q4-Emerging")))</f>
        <v>Q4-Emerging</v>
      </c>
    </row>
    <row r="909" spans="1:24" x14ac:dyDescent="0.2">
      <c r="A909" s="1">
        <v>908</v>
      </c>
      <c r="B909" s="1" t="s">
        <v>985</v>
      </c>
      <c r="C909" s="1" t="s">
        <v>986</v>
      </c>
      <c r="D909" s="1" t="s">
        <v>1125</v>
      </c>
      <c r="E909" s="1">
        <v>1</v>
      </c>
      <c r="F909" s="1">
        <v>667</v>
      </c>
      <c r="G909" s="1">
        <v>1001</v>
      </c>
      <c r="H909" s="1">
        <v>304</v>
      </c>
      <c r="I909" s="1">
        <v>641</v>
      </c>
      <c r="J909" s="1">
        <v>946</v>
      </c>
      <c r="K909" s="1">
        <v>1001</v>
      </c>
      <c r="L909" s="1">
        <v>1001</v>
      </c>
      <c r="M909" s="1">
        <v>70.400000000000006</v>
      </c>
      <c r="N909" s="1">
        <v>36.800206799999998</v>
      </c>
      <c r="O909" s="1">
        <v>10.185775700000001</v>
      </c>
      <c r="P909" s="14">
        <f t="shared" si="104"/>
        <v>5.5</v>
      </c>
      <c r="Q909" s="13">
        <v>20</v>
      </c>
      <c r="R909" s="16">
        <f t="shared" si="105"/>
        <v>0</v>
      </c>
      <c r="S909" s="14">
        <f t="shared" si="106"/>
        <v>0</v>
      </c>
      <c r="T909" s="13">
        <f t="shared" si="107"/>
        <v>36</v>
      </c>
      <c r="U909" s="14">
        <f t="shared" si="108"/>
        <v>0</v>
      </c>
      <c r="V909" s="14">
        <f t="shared" si="109"/>
        <v>0</v>
      </c>
      <c r="W909" s="1">
        <f t="shared" si="110"/>
        <v>9.3000000000000007</v>
      </c>
      <c r="X909" s="1" t="str">
        <f>IF(Table1[[#This Row],[World Rank]]&lt;=250,"Q1-Elite",IF(Table1[[#This Row],[World Rank]]&lt;=500,"Q2-Strong",IF(Table1[[#This Row],[World Rank]]&lt;=750,"Q3-Developing","Q4-Emerging")))</f>
        <v>Q4-Emerging</v>
      </c>
    </row>
    <row r="910" spans="1:24" x14ac:dyDescent="0.2">
      <c r="A910" s="1">
        <v>909</v>
      </c>
      <c r="B910" s="1" t="s">
        <v>987</v>
      </c>
      <c r="C910" s="1" t="s">
        <v>124</v>
      </c>
      <c r="D910" s="1" t="s">
        <v>1125</v>
      </c>
      <c r="E910" s="1">
        <v>93</v>
      </c>
      <c r="F910" s="1">
        <v>667</v>
      </c>
      <c r="G910" s="1">
        <v>801</v>
      </c>
      <c r="H910" s="1">
        <v>304</v>
      </c>
      <c r="I910" s="1">
        <v>680</v>
      </c>
      <c r="J910" s="1">
        <v>805</v>
      </c>
      <c r="K910" s="1">
        <v>1001</v>
      </c>
      <c r="L910" s="1">
        <v>1001</v>
      </c>
      <c r="M910" s="1">
        <v>70.3</v>
      </c>
      <c r="N910" s="1">
        <v>30.047992000000001</v>
      </c>
      <c r="O910" s="1">
        <v>-94.335743300000004</v>
      </c>
      <c r="P910" s="14">
        <f t="shared" si="104"/>
        <v>19.600000000000001</v>
      </c>
      <c r="Q910" s="13">
        <v>20</v>
      </c>
      <c r="R910" s="16">
        <f t="shared" si="105"/>
        <v>20</v>
      </c>
      <c r="S910" s="14">
        <f t="shared" si="106"/>
        <v>0</v>
      </c>
      <c r="T910" s="13">
        <f t="shared" si="107"/>
        <v>32.1</v>
      </c>
      <c r="U910" s="14">
        <f t="shared" si="108"/>
        <v>0</v>
      </c>
      <c r="V910" s="14">
        <f t="shared" si="109"/>
        <v>0</v>
      </c>
      <c r="W910" s="1">
        <f t="shared" si="110"/>
        <v>9.1999999999999993</v>
      </c>
      <c r="X910" s="1" t="str">
        <f>IF(Table1[[#This Row],[World Rank]]&lt;=250,"Q1-Elite",IF(Table1[[#This Row],[World Rank]]&lt;=500,"Q2-Strong",IF(Table1[[#This Row],[World Rank]]&lt;=750,"Q3-Developing","Q4-Emerging")))</f>
        <v>Q4-Emerging</v>
      </c>
    </row>
    <row r="911" spans="1:24" x14ac:dyDescent="0.2">
      <c r="A911" s="1">
        <v>910</v>
      </c>
      <c r="B911" s="1" t="s">
        <v>988</v>
      </c>
      <c r="C911" s="1" t="s">
        <v>19</v>
      </c>
      <c r="D911" s="1" t="s">
        <v>1124</v>
      </c>
      <c r="E911" s="1">
        <v>58</v>
      </c>
      <c r="F911" s="1">
        <v>667</v>
      </c>
      <c r="G911" s="1">
        <v>1001</v>
      </c>
      <c r="H911" s="1">
        <v>304</v>
      </c>
      <c r="I911" s="1">
        <v>893</v>
      </c>
      <c r="J911" s="1">
        <v>807</v>
      </c>
      <c r="K911" s="1">
        <v>1001</v>
      </c>
      <c r="L911" s="1">
        <v>898</v>
      </c>
      <c r="M911" s="1">
        <v>70.3</v>
      </c>
      <c r="N911" s="1">
        <v>54.702354499999998</v>
      </c>
      <c r="O911" s="1">
        <v>-3.2765753000000002</v>
      </c>
      <c r="P911" s="14">
        <f t="shared" si="104"/>
        <v>19.400000000000002</v>
      </c>
      <c r="Q911" s="13">
        <v>20</v>
      </c>
      <c r="R911" s="16">
        <f t="shared" si="105"/>
        <v>0</v>
      </c>
      <c r="S911" s="14">
        <f t="shared" si="106"/>
        <v>0</v>
      </c>
      <c r="T911" s="13">
        <f t="shared" si="107"/>
        <v>10.8</v>
      </c>
      <c r="U911" s="14">
        <f t="shared" si="108"/>
        <v>0</v>
      </c>
      <c r="V911" s="14">
        <f t="shared" si="109"/>
        <v>10.299999999999999</v>
      </c>
      <c r="W911" s="1">
        <f t="shared" si="110"/>
        <v>9.1</v>
      </c>
      <c r="X911" s="1" t="str">
        <f>IF(Table1[[#This Row],[World Rank]]&lt;=250,"Q1-Elite",IF(Table1[[#This Row],[World Rank]]&lt;=500,"Q2-Strong",IF(Table1[[#This Row],[World Rank]]&lt;=750,"Q3-Developing","Q4-Emerging")))</f>
        <v>Q4-Emerging</v>
      </c>
    </row>
    <row r="912" spans="1:24" x14ac:dyDescent="0.2">
      <c r="A912" s="1">
        <v>911</v>
      </c>
      <c r="B912" s="1" t="s">
        <v>989</v>
      </c>
      <c r="C912" s="1" t="s">
        <v>124</v>
      </c>
      <c r="D912" s="1" t="s">
        <v>1125</v>
      </c>
      <c r="E912" s="1">
        <v>94</v>
      </c>
      <c r="F912" s="1">
        <v>667</v>
      </c>
      <c r="G912" s="1">
        <v>133</v>
      </c>
      <c r="H912" s="1">
        <v>304</v>
      </c>
      <c r="I912" s="1">
        <v>915</v>
      </c>
      <c r="J912" s="1">
        <v>869</v>
      </c>
      <c r="K912" s="1">
        <v>1001</v>
      </c>
      <c r="L912" s="1">
        <v>1001</v>
      </c>
      <c r="M912" s="1">
        <v>70.3</v>
      </c>
      <c r="N912" s="1">
        <v>30.047992000000001</v>
      </c>
      <c r="O912" s="1">
        <v>-94.335743300000004</v>
      </c>
      <c r="P912" s="14">
        <f t="shared" si="104"/>
        <v>13.200000000000001</v>
      </c>
      <c r="Q912" s="13">
        <v>20</v>
      </c>
      <c r="R912" s="16">
        <f t="shared" si="105"/>
        <v>86.8</v>
      </c>
      <c r="S912" s="14">
        <f t="shared" si="106"/>
        <v>0</v>
      </c>
      <c r="T912" s="13">
        <f t="shared" si="107"/>
        <v>8.6</v>
      </c>
      <c r="U912" s="14">
        <f t="shared" si="108"/>
        <v>0</v>
      </c>
      <c r="V912" s="14">
        <f t="shared" si="109"/>
        <v>0</v>
      </c>
      <c r="W912" s="1">
        <f t="shared" si="110"/>
        <v>9</v>
      </c>
      <c r="X912" s="1" t="str">
        <f>IF(Table1[[#This Row],[World Rank]]&lt;=250,"Q1-Elite",IF(Table1[[#This Row],[World Rank]]&lt;=500,"Q2-Strong",IF(Table1[[#This Row],[World Rank]]&lt;=750,"Q3-Developing","Q4-Emerging")))</f>
        <v>Q4-Emerging</v>
      </c>
    </row>
    <row r="913" spans="1:24" x14ac:dyDescent="0.2">
      <c r="A913" s="1">
        <v>912</v>
      </c>
      <c r="B913" s="1" t="s">
        <v>990</v>
      </c>
      <c r="C913" s="1" t="s">
        <v>15</v>
      </c>
      <c r="D913" s="1" t="s">
        <v>1120</v>
      </c>
      <c r="E913" s="1">
        <v>198</v>
      </c>
      <c r="F913" s="1">
        <v>667</v>
      </c>
      <c r="G913" s="1">
        <v>545</v>
      </c>
      <c r="H913" s="1">
        <v>304</v>
      </c>
      <c r="I913" s="1">
        <v>1001</v>
      </c>
      <c r="J913" s="1">
        <v>1001</v>
      </c>
      <c r="K913" s="1">
        <v>925</v>
      </c>
      <c r="L913" s="1">
        <v>327</v>
      </c>
      <c r="M913" s="1">
        <v>70.3</v>
      </c>
      <c r="N913" s="1">
        <v>39.783730400000003</v>
      </c>
      <c r="O913" s="1">
        <v>-100.445882</v>
      </c>
      <c r="P913" s="14">
        <f t="shared" si="104"/>
        <v>0</v>
      </c>
      <c r="Q913" s="13">
        <v>20</v>
      </c>
      <c r="R913" s="16">
        <f t="shared" si="105"/>
        <v>45.6</v>
      </c>
      <c r="S913" s="14">
        <f t="shared" si="106"/>
        <v>0</v>
      </c>
      <c r="T913" s="13">
        <f t="shared" si="107"/>
        <v>0</v>
      </c>
      <c r="U913" s="14">
        <f t="shared" si="108"/>
        <v>7.6</v>
      </c>
      <c r="V913" s="14">
        <f t="shared" si="109"/>
        <v>67.400000000000006</v>
      </c>
      <c r="W913" s="1">
        <f t="shared" si="110"/>
        <v>8.9</v>
      </c>
      <c r="X913" s="1" t="str">
        <f>IF(Table1[[#This Row],[World Rank]]&lt;=250,"Q1-Elite",IF(Table1[[#This Row],[World Rank]]&lt;=500,"Q2-Strong",IF(Table1[[#This Row],[World Rank]]&lt;=750,"Q3-Developing","Q4-Emerging")))</f>
        <v>Q4-Emerging</v>
      </c>
    </row>
    <row r="914" spans="1:24" x14ac:dyDescent="0.2">
      <c r="A914" s="1">
        <v>913</v>
      </c>
      <c r="B914" s="1" t="s">
        <v>991</v>
      </c>
      <c r="C914" s="1" t="s">
        <v>28</v>
      </c>
      <c r="D914" s="1" t="s">
        <v>1125</v>
      </c>
      <c r="E914" s="1">
        <v>51</v>
      </c>
      <c r="F914" s="1">
        <v>667</v>
      </c>
      <c r="G914" s="1">
        <v>1001</v>
      </c>
      <c r="H914" s="1">
        <v>304</v>
      </c>
      <c r="I914" s="1">
        <v>1001</v>
      </c>
      <c r="J914" s="1">
        <v>961</v>
      </c>
      <c r="K914" s="1">
        <v>887</v>
      </c>
      <c r="L914" s="1">
        <v>541</v>
      </c>
      <c r="M914" s="1">
        <v>70.3</v>
      </c>
      <c r="N914" s="1">
        <v>36.5748441</v>
      </c>
      <c r="O914" s="1">
        <v>139.23941790000001</v>
      </c>
      <c r="P914" s="14">
        <f t="shared" si="104"/>
        <v>4</v>
      </c>
      <c r="Q914" s="13">
        <v>20</v>
      </c>
      <c r="R914" s="16">
        <f t="shared" si="105"/>
        <v>0</v>
      </c>
      <c r="S914" s="14">
        <f t="shared" si="106"/>
        <v>0</v>
      </c>
      <c r="T914" s="13">
        <f t="shared" si="107"/>
        <v>0</v>
      </c>
      <c r="U914" s="14">
        <f t="shared" si="108"/>
        <v>11.4</v>
      </c>
      <c r="V914" s="14">
        <f t="shared" si="109"/>
        <v>46</v>
      </c>
      <c r="W914" s="1">
        <f t="shared" si="110"/>
        <v>8.7999999999999989</v>
      </c>
      <c r="X914" s="1" t="str">
        <f>IF(Table1[[#This Row],[World Rank]]&lt;=250,"Q1-Elite",IF(Table1[[#This Row],[World Rank]]&lt;=500,"Q2-Strong",IF(Table1[[#This Row],[World Rank]]&lt;=750,"Q3-Developing","Q4-Emerging")))</f>
        <v>Q4-Emerging</v>
      </c>
    </row>
    <row r="915" spans="1:24" x14ac:dyDescent="0.2">
      <c r="A915" s="1">
        <v>914</v>
      </c>
      <c r="B915" s="1" t="s">
        <v>992</v>
      </c>
      <c r="C915" s="1" t="s">
        <v>124</v>
      </c>
      <c r="D915" s="1" t="s">
        <v>1125</v>
      </c>
      <c r="E915" s="1">
        <v>95</v>
      </c>
      <c r="F915" s="1">
        <v>667</v>
      </c>
      <c r="G915" s="1">
        <v>1001</v>
      </c>
      <c r="H915" s="1">
        <v>304</v>
      </c>
      <c r="I915" s="1">
        <v>814</v>
      </c>
      <c r="J915" s="1">
        <v>905</v>
      </c>
      <c r="K915" s="1">
        <v>1001</v>
      </c>
      <c r="L915" s="1">
        <v>898</v>
      </c>
      <c r="M915" s="1">
        <v>70.3</v>
      </c>
      <c r="N915" s="1">
        <v>30.047992000000001</v>
      </c>
      <c r="O915" s="1">
        <v>-94.335743300000004</v>
      </c>
      <c r="P915" s="14">
        <f t="shared" si="104"/>
        <v>9.6</v>
      </c>
      <c r="Q915" s="13">
        <v>20</v>
      </c>
      <c r="R915" s="16">
        <f t="shared" si="105"/>
        <v>0</v>
      </c>
      <c r="S915" s="14">
        <f t="shared" si="106"/>
        <v>0</v>
      </c>
      <c r="T915" s="13">
        <f t="shared" si="107"/>
        <v>18.7</v>
      </c>
      <c r="U915" s="14">
        <f t="shared" si="108"/>
        <v>0</v>
      </c>
      <c r="V915" s="14">
        <f t="shared" si="109"/>
        <v>10.299999999999999</v>
      </c>
      <c r="W915" s="1">
        <f t="shared" si="110"/>
        <v>8.6999999999999993</v>
      </c>
      <c r="X915" s="1" t="str">
        <f>IF(Table1[[#This Row],[World Rank]]&lt;=250,"Q1-Elite",IF(Table1[[#This Row],[World Rank]]&lt;=500,"Q2-Strong",IF(Table1[[#This Row],[World Rank]]&lt;=750,"Q3-Developing","Q4-Emerging")))</f>
        <v>Q4-Emerging</v>
      </c>
    </row>
    <row r="916" spans="1:24" x14ac:dyDescent="0.2">
      <c r="A916" s="1">
        <v>915</v>
      </c>
      <c r="B916" s="1" t="s">
        <v>993</v>
      </c>
      <c r="C916" s="1" t="s">
        <v>510</v>
      </c>
      <c r="D916" s="1" t="s">
        <v>1125</v>
      </c>
      <c r="E916" s="1">
        <v>5</v>
      </c>
      <c r="F916" s="1">
        <v>667</v>
      </c>
      <c r="G916" s="1">
        <v>1001</v>
      </c>
      <c r="H916" s="1">
        <v>304</v>
      </c>
      <c r="I916" s="1">
        <v>608</v>
      </c>
      <c r="J916" s="1">
        <v>879</v>
      </c>
      <c r="K916" s="1">
        <v>1001</v>
      </c>
      <c r="L916" s="1">
        <v>1001</v>
      </c>
      <c r="M916" s="1">
        <v>70.3</v>
      </c>
      <c r="N916" s="1">
        <v>4.5693754000000002</v>
      </c>
      <c r="O916" s="1">
        <v>102.26568229999999</v>
      </c>
      <c r="P916" s="14">
        <f t="shared" si="104"/>
        <v>12.2</v>
      </c>
      <c r="Q916" s="13">
        <v>20</v>
      </c>
      <c r="R916" s="16">
        <f t="shared" si="105"/>
        <v>0</v>
      </c>
      <c r="S916" s="14">
        <f t="shared" si="106"/>
        <v>0</v>
      </c>
      <c r="T916" s="13">
        <f t="shared" si="107"/>
        <v>39.300000000000004</v>
      </c>
      <c r="U916" s="14">
        <f t="shared" si="108"/>
        <v>0</v>
      </c>
      <c r="V916" s="14">
        <f t="shared" si="109"/>
        <v>0</v>
      </c>
      <c r="W916" s="1">
        <f t="shared" si="110"/>
        <v>8.6</v>
      </c>
      <c r="X916" s="1" t="str">
        <f>IF(Table1[[#This Row],[World Rank]]&lt;=250,"Q1-Elite",IF(Table1[[#This Row],[World Rank]]&lt;=500,"Q2-Strong",IF(Table1[[#This Row],[World Rank]]&lt;=750,"Q3-Developing","Q4-Emerging")))</f>
        <v>Q4-Emerging</v>
      </c>
    </row>
    <row r="917" spans="1:24" x14ac:dyDescent="0.2">
      <c r="A917" s="1">
        <v>916</v>
      </c>
      <c r="B917" s="1" t="s">
        <v>994</v>
      </c>
      <c r="C917" s="1" t="s">
        <v>85</v>
      </c>
      <c r="D917" s="1" t="s">
        <v>1125</v>
      </c>
      <c r="E917" s="1">
        <v>33</v>
      </c>
      <c r="F917" s="1">
        <v>667</v>
      </c>
      <c r="G917" s="1">
        <v>1001</v>
      </c>
      <c r="H917" s="1">
        <v>304</v>
      </c>
      <c r="I917" s="1">
        <v>709</v>
      </c>
      <c r="J917" s="1">
        <v>834</v>
      </c>
      <c r="K917" s="1">
        <v>1001</v>
      </c>
      <c r="L917" s="1">
        <v>1001</v>
      </c>
      <c r="M917" s="1">
        <v>70.3</v>
      </c>
      <c r="N917" s="1">
        <v>36.638392000000003</v>
      </c>
      <c r="O917" s="1">
        <v>127.69611879999999</v>
      </c>
      <c r="P917" s="14">
        <f t="shared" si="104"/>
        <v>16.7</v>
      </c>
      <c r="Q917" s="13">
        <v>20</v>
      </c>
      <c r="R917" s="16">
        <f t="shared" si="105"/>
        <v>0</v>
      </c>
      <c r="S917" s="14">
        <f t="shared" si="106"/>
        <v>0</v>
      </c>
      <c r="T917" s="13">
        <f t="shared" si="107"/>
        <v>29.2</v>
      </c>
      <c r="U917" s="14">
        <f t="shared" si="108"/>
        <v>0</v>
      </c>
      <c r="V917" s="14">
        <f t="shared" si="109"/>
        <v>0</v>
      </c>
      <c r="W917" s="1">
        <f t="shared" si="110"/>
        <v>8.5</v>
      </c>
      <c r="X917" s="1" t="str">
        <f>IF(Table1[[#This Row],[World Rank]]&lt;=250,"Q1-Elite",IF(Table1[[#This Row],[World Rank]]&lt;=500,"Q2-Strong",IF(Table1[[#This Row],[World Rank]]&lt;=750,"Q3-Developing","Q4-Emerging")))</f>
        <v>Q4-Emerging</v>
      </c>
    </row>
    <row r="918" spans="1:24" x14ac:dyDescent="0.2">
      <c r="A918" s="1">
        <v>917</v>
      </c>
      <c r="B918" s="1" t="s">
        <v>995</v>
      </c>
      <c r="C918" s="1" t="s">
        <v>872</v>
      </c>
      <c r="D918" s="1" t="s">
        <v>1125</v>
      </c>
      <c r="E918" s="1">
        <v>2</v>
      </c>
      <c r="F918" s="1">
        <v>667</v>
      </c>
      <c r="G918" s="1">
        <v>1001</v>
      </c>
      <c r="H918" s="1">
        <v>304</v>
      </c>
      <c r="I918" s="1">
        <v>714</v>
      </c>
      <c r="J918" s="1">
        <v>945</v>
      </c>
      <c r="K918" s="1">
        <v>1001</v>
      </c>
      <c r="L918" s="1">
        <v>898</v>
      </c>
      <c r="M918" s="1">
        <v>70.3</v>
      </c>
      <c r="N918" s="1">
        <v>30.3308401</v>
      </c>
      <c r="O918" s="1">
        <v>71.247499000000005</v>
      </c>
      <c r="P918" s="14">
        <f t="shared" si="104"/>
        <v>5.6000000000000005</v>
      </c>
      <c r="Q918" s="13">
        <v>20</v>
      </c>
      <c r="R918" s="16">
        <f t="shared" si="105"/>
        <v>0</v>
      </c>
      <c r="S918" s="14">
        <f t="shared" si="106"/>
        <v>0</v>
      </c>
      <c r="T918" s="13">
        <f t="shared" si="107"/>
        <v>28.7</v>
      </c>
      <c r="U918" s="14">
        <f t="shared" si="108"/>
        <v>0</v>
      </c>
      <c r="V918" s="14">
        <f t="shared" si="109"/>
        <v>10.299999999999999</v>
      </c>
      <c r="W918" s="1">
        <f t="shared" si="110"/>
        <v>8.4</v>
      </c>
      <c r="X918" s="1" t="str">
        <f>IF(Table1[[#This Row],[World Rank]]&lt;=250,"Q1-Elite",IF(Table1[[#This Row],[World Rank]]&lt;=500,"Q2-Strong",IF(Table1[[#This Row],[World Rank]]&lt;=750,"Q3-Developing","Q4-Emerging")))</f>
        <v>Q4-Emerging</v>
      </c>
    </row>
    <row r="919" spans="1:24" x14ac:dyDescent="0.2">
      <c r="A919" s="1">
        <v>918</v>
      </c>
      <c r="B919" s="1" t="s">
        <v>996</v>
      </c>
      <c r="C919" s="1" t="s">
        <v>48</v>
      </c>
      <c r="D919" s="1" t="s">
        <v>1124</v>
      </c>
      <c r="E919" s="1">
        <v>50</v>
      </c>
      <c r="F919" s="1">
        <v>667</v>
      </c>
      <c r="G919" s="1">
        <v>1001</v>
      </c>
      <c r="H919" s="1">
        <v>164</v>
      </c>
      <c r="I919" s="1">
        <v>1001</v>
      </c>
      <c r="J919" s="1">
        <v>1001</v>
      </c>
      <c r="K919" s="1">
        <v>1001</v>
      </c>
      <c r="L919" s="1">
        <v>898</v>
      </c>
      <c r="M919" s="1">
        <v>70.3</v>
      </c>
      <c r="N919" s="1">
        <v>46.603354000000003</v>
      </c>
      <c r="O919" s="1">
        <v>1.8883335000000001</v>
      </c>
      <c r="P919" s="14">
        <f t="shared" si="104"/>
        <v>0</v>
      </c>
      <c r="Q919" s="13">
        <v>20</v>
      </c>
      <c r="R919" s="16">
        <f t="shared" si="105"/>
        <v>0</v>
      </c>
      <c r="S919" s="14">
        <f t="shared" si="106"/>
        <v>46.204620462046201</v>
      </c>
      <c r="T919" s="13">
        <f t="shared" si="107"/>
        <v>0</v>
      </c>
      <c r="U919" s="14">
        <f t="shared" si="108"/>
        <v>0</v>
      </c>
      <c r="V919" s="14">
        <f t="shared" si="109"/>
        <v>10.299999999999999</v>
      </c>
      <c r="W919" s="1">
        <f t="shared" si="110"/>
        <v>8.3000000000000007</v>
      </c>
      <c r="X919" s="1" t="str">
        <f>IF(Table1[[#This Row],[World Rank]]&lt;=250,"Q1-Elite",IF(Table1[[#This Row],[World Rank]]&lt;=500,"Q2-Strong",IF(Table1[[#This Row],[World Rank]]&lt;=750,"Q3-Developing","Q4-Emerging")))</f>
        <v>Q4-Emerging</v>
      </c>
    </row>
    <row r="920" spans="1:24" x14ac:dyDescent="0.2">
      <c r="A920" s="1">
        <v>919</v>
      </c>
      <c r="B920" s="1" t="s">
        <v>997</v>
      </c>
      <c r="C920" s="1" t="s">
        <v>478</v>
      </c>
      <c r="D920" s="1" t="s">
        <v>1125</v>
      </c>
      <c r="E920" s="1">
        <v>16</v>
      </c>
      <c r="F920" s="1">
        <v>667</v>
      </c>
      <c r="G920" s="1">
        <v>14</v>
      </c>
      <c r="H920" s="1">
        <v>304</v>
      </c>
      <c r="I920" s="1">
        <v>1001</v>
      </c>
      <c r="J920" s="1">
        <v>1001</v>
      </c>
      <c r="K920" s="1">
        <v>1001</v>
      </c>
      <c r="L920" s="1">
        <v>1001</v>
      </c>
      <c r="M920" s="1">
        <v>70.3</v>
      </c>
      <c r="N920" s="1">
        <v>22.351114800000001</v>
      </c>
      <c r="O920" s="1">
        <v>78.667742799999999</v>
      </c>
      <c r="P920" s="14">
        <f t="shared" si="104"/>
        <v>0</v>
      </c>
      <c r="Q920" s="13">
        <v>20</v>
      </c>
      <c r="R920" s="16">
        <f t="shared" si="105"/>
        <v>98.7</v>
      </c>
      <c r="S920" s="14">
        <f t="shared" si="106"/>
        <v>0</v>
      </c>
      <c r="T920" s="13">
        <f t="shared" si="107"/>
        <v>0</v>
      </c>
      <c r="U920" s="14">
        <f t="shared" si="108"/>
        <v>0</v>
      </c>
      <c r="V920" s="14">
        <f t="shared" si="109"/>
        <v>0</v>
      </c>
      <c r="W920" s="1">
        <f t="shared" si="110"/>
        <v>8.2000000000000011</v>
      </c>
      <c r="X920" s="1" t="str">
        <f>IF(Table1[[#This Row],[World Rank]]&lt;=250,"Q1-Elite",IF(Table1[[#This Row],[World Rank]]&lt;=500,"Q2-Strong",IF(Table1[[#This Row],[World Rank]]&lt;=750,"Q3-Developing","Q4-Emerging")))</f>
        <v>Q4-Emerging</v>
      </c>
    </row>
    <row r="921" spans="1:24" x14ac:dyDescent="0.2">
      <c r="A921" s="1">
        <v>920</v>
      </c>
      <c r="B921" s="1" t="s">
        <v>998</v>
      </c>
      <c r="C921" s="1" t="s">
        <v>19</v>
      </c>
      <c r="D921" s="1" t="s">
        <v>1124</v>
      </c>
      <c r="E921" s="1">
        <v>59</v>
      </c>
      <c r="F921" s="1">
        <v>667</v>
      </c>
      <c r="G921" s="1">
        <v>888</v>
      </c>
      <c r="H921" s="1">
        <v>304</v>
      </c>
      <c r="I921" s="1">
        <v>1001</v>
      </c>
      <c r="J921" s="1">
        <v>907</v>
      </c>
      <c r="K921" s="1">
        <v>732</v>
      </c>
      <c r="L921" s="1">
        <v>673</v>
      </c>
      <c r="M921" s="1">
        <v>70.3</v>
      </c>
      <c r="N921" s="1">
        <v>54.702354499999998</v>
      </c>
      <c r="O921" s="1">
        <v>-3.2765753000000002</v>
      </c>
      <c r="P921" s="14">
        <f t="shared" si="104"/>
        <v>9.4</v>
      </c>
      <c r="Q921" s="13">
        <v>20</v>
      </c>
      <c r="R921" s="16">
        <f t="shared" si="105"/>
        <v>11.3</v>
      </c>
      <c r="S921" s="14">
        <f t="shared" si="106"/>
        <v>0</v>
      </c>
      <c r="T921" s="13">
        <f t="shared" si="107"/>
        <v>0</v>
      </c>
      <c r="U921" s="14">
        <f t="shared" si="108"/>
        <v>26.900000000000002</v>
      </c>
      <c r="V921" s="14">
        <f t="shared" si="109"/>
        <v>32.800000000000004</v>
      </c>
      <c r="W921" s="1">
        <f t="shared" si="110"/>
        <v>8.1</v>
      </c>
      <c r="X921" s="1" t="str">
        <f>IF(Table1[[#This Row],[World Rank]]&lt;=250,"Q1-Elite",IF(Table1[[#This Row],[World Rank]]&lt;=500,"Q2-Strong",IF(Table1[[#This Row],[World Rank]]&lt;=750,"Q3-Developing","Q4-Emerging")))</f>
        <v>Q4-Emerging</v>
      </c>
    </row>
    <row r="922" spans="1:24" x14ac:dyDescent="0.2">
      <c r="A922" s="1">
        <v>921</v>
      </c>
      <c r="B922" s="1" t="s">
        <v>999</v>
      </c>
      <c r="C922" s="1" t="s">
        <v>124</v>
      </c>
      <c r="D922" s="1" t="s">
        <v>1125</v>
      </c>
      <c r="E922" s="1">
        <v>96</v>
      </c>
      <c r="F922" s="1">
        <v>667</v>
      </c>
      <c r="G922" s="1">
        <v>1001</v>
      </c>
      <c r="H922" s="1">
        <v>304</v>
      </c>
      <c r="I922" s="1">
        <v>728</v>
      </c>
      <c r="J922" s="1">
        <v>787</v>
      </c>
      <c r="K922" s="1">
        <v>1001</v>
      </c>
      <c r="L922" s="1">
        <v>1001</v>
      </c>
      <c r="M922" s="1">
        <v>70.3</v>
      </c>
      <c r="N922" s="1">
        <v>30.047992000000001</v>
      </c>
      <c r="O922" s="1">
        <v>-94.335743300000004</v>
      </c>
      <c r="P922" s="14">
        <f t="shared" si="104"/>
        <v>21.4</v>
      </c>
      <c r="Q922" s="13">
        <v>20</v>
      </c>
      <c r="R922" s="16">
        <f t="shared" si="105"/>
        <v>0</v>
      </c>
      <c r="S922" s="14">
        <f t="shared" si="106"/>
        <v>0</v>
      </c>
      <c r="T922" s="13">
        <f t="shared" si="107"/>
        <v>27.3</v>
      </c>
      <c r="U922" s="14">
        <f t="shared" si="108"/>
        <v>0</v>
      </c>
      <c r="V922" s="14">
        <f t="shared" si="109"/>
        <v>0</v>
      </c>
      <c r="W922" s="1">
        <f t="shared" si="110"/>
        <v>8</v>
      </c>
      <c r="X922" s="1" t="str">
        <f>IF(Table1[[#This Row],[World Rank]]&lt;=250,"Q1-Elite",IF(Table1[[#This Row],[World Rank]]&lt;=500,"Q2-Strong",IF(Table1[[#This Row],[World Rank]]&lt;=750,"Q3-Developing","Q4-Emerging")))</f>
        <v>Q4-Emerging</v>
      </c>
    </row>
    <row r="923" spans="1:24" x14ac:dyDescent="0.2">
      <c r="A923" s="1">
        <v>922</v>
      </c>
      <c r="B923" s="1" t="s">
        <v>1000</v>
      </c>
      <c r="C923" s="1" t="s">
        <v>15</v>
      </c>
      <c r="D923" s="1" t="s">
        <v>1120</v>
      </c>
      <c r="E923" s="1">
        <v>199</v>
      </c>
      <c r="F923" s="1">
        <v>326</v>
      </c>
      <c r="G923" s="1">
        <v>1001</v>
      </c>
      <c r="H923" s="1">
        <v>304</v>
      </c>
      <c r="I923" s="1">
        <v>909</v>
      </c>
      <c r="J923" s="1">
        <v>834</v>
      </c>
      <c r="K923" s="1">
        <v>1001</v>
      </c>
      <c r="L923" s="1">
        <v>898</v>
      </c>
      <c r="M923" s="1">
        <v>70.3</v>
      </c>
      <c r="N923" s="1">
        <v>39.783730400000003</v>
      </c>
      <c r="O923" s="1">
        <v>-100.445882</v>
      </c>
      <c r="P923" s="14">
        <f t="shared" si="104"/>
        <v>16.7</v>
      </c>
      <c r="Q923" s="13">
        <f>((667 - F923) / 666) * 100</f>
        <v>51.201201201201194</v>
      </c>
      <c r="R923" s="16">
        <f t="shared" si="105"/>
        <v>0</v>
      </c>
      <c r="S923" s="14">
        <f t="shared" si="106"/>
        <v>0</v>
      </c>
      <c r="T923" s="13">
        <f t="shared" si="107"/>
        <v>9.1999999999999993</v>
      </c>
      <c r="U923" s="14">
        <f t="shared" si="108"/>
        <v>0</v>
      </c>
      <c r="V923" s="14">
        <f t="shared" si="109"/>
        <v>10.299999999999999</v>
      </c>
      <c r="W923" s="1">
        <f t="shared" si="110"/>
        <v>7.9</v>
      </c>
      <c r="X923" s="1" t="str">
        <f>IF(Table1[[#This Row],[World Rank]]&lt;=250,"Q1-Elite",IF(Table1[[#This Row],[World Rank]]&lt;=500,"Q2-Strong",IF(Table1[[#This Row],[World Rank]]&lt;=750,"Q3-Developing","Q4-Emerging")))</f>
        <v>Q4-Emerging</v>
      </c>
    </row>
    <row r="924" spans="1:24" x14ac:dyDescent="0.2">
      <c r="A924" s="1">
        <v>923</v>
      </c>
      <c r="B924" s="1" t="s">
        <v>1001</v>
      </c>
      <c r="C924" s="1" t="s">
        <v>48</v>
      </c>
      <c r="D924" s="1" t="s">
        <v>1124</v>
      </c>
      <c r="E924" s="1">
        <v>51</v>
      </c>
      <c r="F924" s="1">
        <v>473</v>
      </c>
      <c r="G924" s="1">
        <v>518</v>
      </c>
      <c r="H924" s="1">
        <v>125</v>
      </c>
      <c r="I924" s="1">
        <v>1001</v>
      </c>
      <c r="J924" s="1">
        <v>1001</v>
      </c>
      <c r="K924" s="1">
        <v>1001</v>
      </c>
      <c r="L924" s="1">
        <v>1001</v>
      </c>
      <c r="M924" s="1">
        <v>70.3</v>
      </c>
      <c r="N924" s="1">
        <v>46.603354000000003</v>
      </c>
      <c r="O924" s="1">
        <v>1.8883335000000001</v>
      </c>
      <c r="P924" s="14">
        <f t="shared" si="104"/>
        <v>0</v>
      </c>
      <c r="Q924" s="13">
        <f>((667 - F924) / 666) * 100</f>
        <v>29.129129129129126</v>
      </c>
      <c r="R924" s="16">
        <f t="shared" si="105"/>
        <v>48.3</v>
      </c>
      <c r="S924" s="14">
        <f t="shared" si="106"/>
        <v>59.07590759075908</v>
      </c>
      <c r="T924" s="13">
        <f t="shared" si="107"/>
        <v>0</v>
      </c>
      <c r="U924" s="14">
        <f t="shared" si="108"/>
        <v>0</v>
      </c>
      <c r="V924" s="14">
        <f t="shared" si="109"/>
        <v>0</v>
      </c>
      <c r="W924" s="1">
        <f t="shared" si="110"/>
        <v>7.8</v>
      </c>
      <c r="X924" s="1" t="str">
        <f>IF(Table1[[#This Row],[World Rank]]&lt;=250,"Q1-Elite",IF(Table1[[#This Row],[World Rank]]&lt;=500,"Q2-Strong",IF(Table1[[#This Row],[World Rank]]&lt;=750,"Q3-Developing","Q4-Emerging")))</f>
        <v>Q4-Emerging</v>
      </c>
    </row>
    <row r="925" spans="1:24" x14ac:dyDescent="0.2">
      <c r="A925" s="1">
        <v>924</v>
      </c>
      <c r="B925" s="1" t="s">
        <v>1002</v>
      </c>
      <c r="C925" s="1" t="s">
        <v>48</v>
      </c>
      <c r="D925" s="1" t="s">
        <v>1124</v>
      </c>
      <c r="E925" s="1">
        <v>52</v>
      </c>
      <c r="F925" s="1">
        <v>661</v>
      </c>
      <c r="G925" s="1">
        <v>1001</v>
      </c>
      <c r="H925" s="1">
        <v>304</v>
      </c>
      <c r="I925" s="1">
        <v>896</v>
      </c>
      <c r="J925" s="1">
        <v>747</v>
      </c>
      <c r="K925" s="1">
        <v>838</v>
      </c>
      <c r="L925" s="1">
        <v>1001</v>
      </c>
      <c r="M925" s="1">
        <v>70.2</v>
      </c>
      <c r="N925" s="1">
        <v>46.603354000000003</v>
      </c>
      <c r="O925" s="1">
        <v>1.8883335000000001</v>
      </c>
      <c r="P925" s="14">
        <f t="shared" si="104"/>
        <v>25.4</v>
      </c>
      <c r="Q925" s="13">
        <v>20</v>
      </c>
      <c r="R925" s="16">
        <f t="shared" si="105"/>
        <v>0</v>
      </c>
      <c r="S925" s="14">
        <f t="shared" si="106"/>
        <v>0</v>
      </c>
      <c r="T925" s="13">
        <f t="shared" si="107"/>
        <v>10.5</v>
      </c>
      <c r="U925" s="14">
        <f t="shared" si="108"/>
        <v>16.3</v>
      </c>
      <c r="V925" s="14">
        <f t="shared" si="109"/>
        <v>0</v>
      </c>
      <c r="W925" s="1">
        <f t="shared" si="110"/>
        <v>7.7</v>
      </c>
      <c r="X925" s="1" t="str">
        <f>IF(Table1[[#This Row],[World Rank]]&lt;=250,"Q1-Elite",IF(Table1[[#This Row],[World Rank]]&lt;=500,"Q2-Strong",IF(Table1[[#This Row],[World Rank]]&lt;=750,"Q3-Developing","Q4-Emerging")))</f>
        <v>Q4-Emerging</v>
      </c>
    </row>
    <row r="926" spans="1:24" x14ac:dyDescent="0.2">
      <c r="A926" s="1">
        <v>925</v>
      </c>
      <c r="B926" s="1" t="s">
        <v>1003</v>
      </c>
      <c r="C926" s="1" t="s">
        <v>118</v>
      </c>
      <c r="D926" s="1" t="s">
        <v>1124</v>
      </c>
      <c r="E926" s="1">
        <v>35</v>
      </c>
      <c r="F926" s="1">
        <v>667</v>
      </c>
      <c r="G926" s="1">
        <v>1001</v>
      </c>
      <c r="H926" s="1">
        <v>304</v>
      </c>
      <c r="I926" s="1">
        <v>944</v>
      </c>
      <c r="J926" s="1">
        <v>888</v>
      </c>
      <c r="K926" s="1">
        <v>1001</v>
      </c>
      <c r="L926" s="1">
        <v>673</v>
      </c>
      <c r="M926" s="1">
        <v>70.2</v>
      </c>
      <c r="N926" s="1">
        <v>39.326068499999998</v>
      </c>
      <c r="O926" s="1">
        <v>-4.8379791000000001</v>
      </c>
      <c r="P926" s="14">
        <f t="shared" si="104"/>
        <v>11.3</v>
      </c>
      <c r="Q926" s="13">
        <v>20</v>
      </c>
      <c r="R926" s="16">
        <f t="shared" si="105"/>
        <v>0</v>
      </c>
      <c r="S926" s="14">
        <f t="shared" si="106"/>
        <v>0</v>
      </c>
      <c r="T926" s="13">
        <f t="shared" si="107"/>
        <v>5.7</v>
      </c>
      <c r="U926" s="14">
        <f t="shared" si="108"/>
        <v>0</v>
      </c>
      <c r="V926" s="14">
        <f t="shared" si="109"/>
        <v>32.800000000000004</v>
      </c>
      <c r="W926" s="1">
        <f t="shared" si="110"/>
        <v>7.6</v>
      </c>
      <c r="X926" s="1" t="str">
        <f>IF(Table1[[#This Row],[World Rank]]&lt;=250,"Q1-Elite",IF(Table1[[#This Row],[World Rank]]&lt;=500,"Q2-Strong",IF(Table1[[#This Row],[World Rank]]&lt;=750,"Q3-Developing","Q4-Emerging")))</f>
        <v>Q4-Emerging</v>
      </c>
    </row>
    <row r="927" spans="1:24" x14ac:dyDescent="0.2">
      <c r="A927" s="1">
        <v>926</v>
      </c>
      <c r="B927" s="1" t="s">
        <v>1004</v>
      </c>
      <c r="C927" s="1" t="s">
        <v>28</v>
      </c>
      <c r="D927" s="1" t="s">
        <v>1125</v>
      </c>
      <c r="E927" s="1">
        <v>52</v>
      </c>
      <c r="F927" s="1">
        <v>667</v>
      </c>
      <c r="G927" s="1">
        <v>594</v>
      </c>
      <c r="H927" s="1">
        <v>304</v>
      </c>
      <c r="I927" s="1">
        <v>1001</v>
      </c>
      <c r="J927" s="1">
        <v>976</v>
      </c>
      <c r="K927" s="1">
        <v>1001</v>
      </c>
      <c r="L927" s="1">
        <v>541</v>
      </c>
      <c r="M927" s="1">
        <v>70.2</v>
      </c>
      <c r="N927" s="1">
        <v>36.5748441</v>
      </c>
      <c r="O927" s="1">
        <v>139.23941790000001</v>
      </c>
      <c r="P927" s="14">
        <f t="shared" si="104"/>
        <v>2.5</v>
      </c>
      <c r="Q927" s="13">
        <v>20</v>
      </c>
      <c r="R927" s="16">
        <f t="shared" si="105"/>
        <v>40.699999999999996</v>
      </c>
      <c r="S927" s="14">
        <f t="shared" si="106"/>
        <v>0</v>
      </c>
      <c r="T927" s="13">
        <f t="shared" si="107"/>
        <v>0</v>
      </c>
      <c r="U927" s="14">
        <f t="shared" si="108"/>
        <v>0</v>
      </c>
      <c r="V927" s="14">
        <f t="shared" si="109"/>
        <v>46</v>
      </c>
      <c r="W927" s="1">
        <f t="shared" si="110"/>
        <v>7.5</v>
      </c>
      <c r="X927" s="1" t="str">
        <f>IF(Table1[[#This Row],[World Rank]]&lt;=250,"Q1-Elite",IF(Table1[[#This Row],[World Rank]]&lt;=500,"Q2-Strong",IF(Table1[[#This Row],[World Rank]]&lt;=750,"Q3-Developing","Q4-Emerging")))</f>
        <v>Q4-Emerging</v>
      </c>
    </row>
    <row r="928" spans="1:24" x14ac:dyDescent="0.2">
      <c r="A928" s="1">
        <v>927</v>
      </c>
      <c r="B928" s="1" t="s">
        <v>1005</v>
      </c>
      <c r="C928" s="1" t="s">
        <v>107</v>
      </c>
      <c r="D928" s="1" t="s">
        <v>1123</v>
      </c>
      <c r="E928" s="1">
        <v>19</v>
      </c>
      <c r="F928" s="1">
        <v>667</v>
      </c>
      <c r="G928" s="1">
        <v>773</v>
      </c>
      <c r="H928" s="1">
        <v>304</v>
      </c>
      <c r="I928" s="1">
        <v>578</v>
      </c>
      <c r="J928" s="1">
        <v>937</v>
      </c>
      <c r="K928" s="1">
        <v>1001</v>
      </c>
      <c r="L928" s="1">
        <v>1001</v>
      </c>
      <c r="M928" s="1">
        <v>70.2</v>
      </c>
      <c r="N928" s="1">
        <v>-10.3333333</v>
      </c>
      <c r="O928" s="1">
        <v>-53.2</v>
      </c>
      <c r="P928" s="14">
        <f t="shared" si="104"/>
        <v>6.4</v>
      </c>
      <c r="Q928" s="13">
        <v>20</v>
      </c>
      <c r="R928" s="16">
        <f t="shared" si="105"/>
        <v>22.8</v>
      </c>
      <c r="S928" s="14">
        <f t="shared" si="106"/>
        <v>0</v>
      </c>
      <c r="T928" s="13">
        <f t="shared" si="107"/>
        <v>42.3</v>
      </c>
      <c r="U928" s="14">
        <f t="shared" si="108"/>
        <v>0</v>
      </c>
      <c r="V928" s="14">
        <f t="shared" si="109"/>
        <v>0</v>
      </c>
      <c r="W928" s="1">
        <f t="shared" si="110"/>
        <v>7.3999999999999995</v>
      </c>
      <c r="X928" s="1" t="str">
        <f>IF(Table1[[#This Row],[World Rank]]&lt;=250,"Q1-Elite",IF(Table1[[#This Row],[World Rank]]&lt;=500,"Q2-Strong",IF(Table1[[#This Row],[World Rank]]&lt;=750,"Q3-Developing","Q4-Emerging")))</f>
        <v>Q4-Emerging</v>
      </c>
    </row>
    <row r="929" spans="1:24" x14ac:dyDescent="0.2">
      <c r="A929" s="1">
        <v>928</v>
      </c>
      <c r="B929" s="1" t="s">
        <v>1006</v>
      </c>
      <c r="C929" s="1" t="s">
        <v>34</v>
      </c>
      <c r="D929" s="1" t="s">
        <v>1120</v>
      </c>
      <c r="E929" s="1">
        <v>27</v>
      </c>
      <c r="F929" s="1">
        <v>667</v>
      </c>
      <c r="G929" s="1">
        <v>741</v>
      </c>
      <c r="H929" s="1">
        <v>304</v>
      </c>
      <c r="I929" s="1">
        <v>890</v>
      </c>
      <c r="J929" s="1">
        <v>848</v>
      </c>
      <c r="K929" s="1">
        <v>1001</v>
      </c>
      <c r="L929" s="1">
        <v>898</v>
      </c>
      <c r="M929" s="1">
        <v>70.2</v>
      </c>
      <c r="N929" s="1">
        <v>61.066692199999999</v>
      </c>
      <c r="O929" s="1">
        <v>-107.99170700000001</v>
      </c>
      <c r="P929" s="14">
        <f t="shared" si="104"/>
        <v>15.299999999999999</v>
      </c>
      <c r="Q929" s="13">
        <v>20</v>
      </c>
      <c r="R929" s="16">
        <f t="shared" si="105"/>
        <v>26</v>
      </c>
      <c r="S929" s="14">
        <f t="shared" si="106"/>
        <v>0</v>
      </c>
      <c r="T929" s="13">
        <f t="shared" si="107"/>
        <v>11.1</v>
      </c>
      <c r="U929" s="14">
        <f t="shared" si="108"/>
        <v>0</v>
      </c>
      <c r="V929" s="14">
        <f t="shared" si="109"/>
        <v>10.299999999999999</v>
      </c>
      <c r="W929" s="1">
        <f t="shared" si="110"/>
        <v>7.3</v>
      </c>
      <c r="X929" s="1" t="str">
        <f>IF(Table1[[#This Row],[World Rank]]&lt;=250,"Q1-Elite",IF(Table1[[#This Row],[World Rank]]&lt;=500,"Q2-Strong",IF(Table1[[#This Row],[World Rank]]&lt;=750,"Q3-Developing","Q4-Emerging")))</f>
        <v>Q4-Emerging</v>
      </c>
    </row>
    <row r="930" spans="1:24" x14ac:dyDescent="0.2">
      <c r="A930" s="1">
        <v>929</v>
      </c>
      <c r="B930" s="1" t="s">
        <v>1007</v>
      </c>
      <c r="C930" s="1" t="s">
        <v>48</v>
      </c>
      <c r="D930" s="1" t="s">
        <v>1124</v>
      </c>
      <c r="E930" s="1">
        <v>53</v>
      </c>
      <c r="F930" s="1">
        <v>435</v>
      </c>
      <c r="G930" s="1">
        <v>1001</v>
      </c>
      <c r="H930" s="1">
        <v>304</v>
      </c>
      <c r="I930" s="1">
        <v>906</v>
      </c>
      <c r="J930" s="1">
        <v>730</v>
      </c>
      <c r="K930" s="1">
        <v>916</v>
      </c>
      <c r="L930" s="1">
        <v>1001</v>
      </c>
      <c r="M930" s="1">
        <v>70.2</v>
      </c>
      <c r="N930" s="1">
        <v>46.603354000000003</v>
      </c>
      <c r="O930" s="1">
        <v>1.8883335000000001</v>
      </c>
      <c r="P930" s="14">
        <f t="shared" si="104"/>
        <v>27.1</v>
      </c>
      <c r="Q930" s="13">
        <f>((667 - F930) / 666) * 100</f>
        <v>34.83483483483483</v>
      </c>
      <c r="R930" s="16">
        <f t="shared" si="105"/>
        <v>0</v>
      </c>
      <c r="S930" s="14">
        <f t="shared" si="106"/>
        <v>0</v>
      </c>
      <c r="T930" s="13">
        <f t="shared" si="107"/>
        <v>9.5</v>
      </c>
      <c r="U930" s="14">
        <f t="shared" si="108"/>
        <v>8.5</v>
      </c>
      <c r="V930" s="14">
        <f t="shared" si="109"/>
        <v>0</v>
      </c>
      <c r="W930" s="1">
        <f t="shared" si="110"/>
        <v>7.1999999999999993</v>
      </c>
      <c r="X930" s="1" t="str">
        <f>IF(Table1[[#This Row],[World Rank]]&lt;=250,"Q1-Elite",IF(Table1[[#This Row],[World Rank]]&lt;=500,"Q2-Strong",IF(Table1[[#This Row],[World Rank]]&lt;=750,"Q3-Developing","Q4-Emerging")))</f>
        <v>Q4-Emerging</v>
      </c>
    </row>
    <row r="931" spans="1:24" x14ac:dyDescent="0.2">
      <c r="A931" s="1">
        <v>930</v>
      </c>
      <c r="B931" s="1" t="s">
        <v>1008</v>
      </c>
      <c r="C931" s="1" t="s">
        <v>244</v>
      </c>
      <c r="D931" s="1" t="s">
        <v>1124</v>
      </c>
      <c r="E931" s="1">
        <v>5</v>
      </c>
      <c r="F931" s="1">
        <v>667</v>
      </c>
      <c r="G931" s="1">
        <v>1001</v>
      </c>
      <c r="H931" s="1">
        <v>304</v>
      </c>
      <c r="I931" s="1">
        <v>971</v>
      </c>
      <c r="J931" s="1">
        <v>995</v>
      </c>
      <c r="K931" s="1">
        <v>590</v>
      </c>
      <c r="L931" s="1">
        <v>898</v>
      </c>
      <c r="M931" s="1">
        <v>70.2</v>
      </c>
      <c r="N931" s="1">
        <v>49.743904700000002</v>
      </c>
      <c r="O931" s="1">
        <v>15.338106099999999</v>
      </c>
      <c r="P931" s="14">
        <f t="shared" si="104"/>
        <v>0.6</v>
      </c>
      <c r="Q931" s="13">
        <v>20</v>
      </c>
      <c r="R931" s="16">
        <f t="shared" si="105"/>
        <v>0</v>
      </c>
      <c r="S931" s="14">
        <f t="shared" si="106"/>
        <v>0</v>
      </c>
      <c r="T931" s="13">
        <f t="shared" si="107"/>
        <v>3</v>
      </c>
      <c r="U931" s="14">
        <f t="shared" si="108"/>
        <v>41.099999999999994</v>
      </c>
      <c r="V931" s="14">
        <f t="shared" si="109"/>
        <v>10.299999999999999</v>
      </c>
      <c r="W931" s="1">
        <f t="shared" si="110"/>
        <v>7.1</v>
      </c>
      <c r="X931" s="1" t="str">
        <f>IF(Table1[[#This Row],[World Rank]]&lt;=250,"Q1-Elite",IF(Table1[[#This Row],[World Rank]]&lt;=500,"Q2-Strong",IF(Table1[[#This Row],[World Rank]]&lt;=750,"Q3-Developing","Q4-Emerging")))</f>
        <v>Q4-Emerging</v>
      </c>
    </row>
    <row r="932" spans="1:24" x14ac:dyDescent="0.2">
      <c r="A932" s="1">
        <v>931</v>
      </c>
      <c r="B932" s="1" t="s">
        <v>1009</v>
      </c>
      <c r="C932" s="1" t="s">
        <v>28</v>
      </c>
      <c r="D932" s="1" t="s">
        <v>1125</v>
      </c>
      <c r="E932" s="1">
        <v>53</v>
      </c>
      <c r="F932" s="1">
        <v>667</v>
      </c>
      <c r="G932" s="1">
        <v>580</v>
      </c>
      <c r="H932" s="1">
        <v>304</v>
      </c>
      <c r="I932" s="1">
        <v>804</v>
      </c>
      <c r="J932" s="1">
        <v>804</v>
      </c>
      <c r="K932" s="1">
        <v>1001</v>
      </c>
      <c r="L932" s="1">
        <v>1001</v>
      </c>
      <c r="M932" s="1">
        <v>70.2</v>
      </c>
      <c r="N932" s="1">
        <v>36.5748441</v>
      </c>
      <c r="O932" s="1">
        <v>139.23941790000001</v>
      </c>
      <c r="P932" s="14">
        <f t="shared" si="104"/>
        <v>19.7</v>
      </c>
      <c r="Q932" s="13">
        <v>20</v>
      </c>
      <c r="R932" s="16">
        <f t="shared" si="105"/>
        <v>42.1</v>
      </c>
      <c r="S932" s="14">
        <f t="shared" si="106"/>
        <v>0</v>
      </c>
      <c r="T932" s="13">
        <f t="shared" si="107"/>
        <v>19.7</v>
      </c>
      <c r="U932" s="14">
        <f t="shared" si="108"/>
        <v>0</v>
      </c>
      <c r="V932" s="14">
        <f t="shared" si="109"/>
        <v>0</v>
      </c>
      <c r="W932" s="1">
        <f t="shared" si="110"/>
        <v>7.0000000000000009</v>
      </c>
      <c r="X932" s="1" t="str">
        <f>IF(Table1[[#This Row],[World Rank]]&lt;=250,"Q1-Elite",IF(Table1[[#This Row],[World Rank]]&lt;=500,"Q2-Strong",IF(Table1[[#This Row],[World Rank]]&lt;=750,"Q3-Developing","Q4-Emerging")))</f>
        <v>Q4-Emerging</v>
      </c>
    </row>
    <row r="933" spans="1:24" x14ac:dyDescent="0.2">
      <c r="A933" s="1">
        <v>932</v>
      </c>
      <c r="B933" s="1" t="s">
        <v>1010</v>
      </c>
      <c r="C933" s="1" t="s">
        <v>591</v>
      </c>
      <c r="D933" s="1" t="s">
        <v>1125</v>
      </c>
      <c r="E933" s="1">
        <v>11</v>
      </c>
      <c r="F933" s="1">
        <v>667</v>
      </c>
      <c r="G933" s="1">
        <v>1001</v>
      </c>
      <c r="H933" s="1">
        <v>304</v>
      </c>
      <c r="I933" s="1">
        <v>800</v>
      </c>
      <c r="J933" s="1">
        <v>1001</v>
      </c>
      <c r="K933" s="1">
        <v>955</v>
      </c>
      <c r="L933" s="1">
        <v>673</v>
      </c>
      <c r="M933" s="1">
        <v>70.2</v>
      </c>
      <c r="N933" s="1">
        <v>38.959759400000003</v>
      </c>
      <c r="O933" s="1">
        <v>34.924965299999997</v>
      </c>
      <c r="P933" s="14">
        <f t="shared" si="104"/>
        <v>0</v>
      </c>
      <c r="Q933" s="13">
        <v>20</v>
      </c>
      <c r="R933" s="16">
        <f t="shared" si="105"/>
        <v>0</v>
      </c>
      <c r="S933" s="14">
        <f t="shared" si="106"/>
        <v>0</v>
      </c>
      <c r="T933" s="13">
        <f t="shared" si="107"/>
        <v>20.100000000000001</v>
      </c>
      <c r="U933" s="14">
        <f t="shared" si="108"/>
        <v>4.5999999999999996</v>
      </c>
      <c r="V933" s="14">
        <f t="shared" si="109"/>
        <v>32.800000000000004</v>
      </c>
      <c r="W933" s="1">
        <f t="shared" si="110"/>
        <v>6.9</v>
      </c>
      <c r="X933" s="1" t="str">
        <f>IF(Table1[[#This Row],[World Rank]]&lt;=250,"Q1-Elite",IF(Table1[[#This Row],[World Rank]]&lt;=500,"Q2-Strong",IF(Table1[[#This Row],[World Rank]]&lt;=750,"Q3-Developing","Q4-Emerging")))</f>
        <v>Q4-Emerging</v>
      </c>
    </row>
    <row r="934" spans="1:24" x14ac:dyDescent="0.2">
      <c r="A934" s="1">
        <v>933</v>
      </c>
      <c r="B934" s="1" t="s">
        <v>1011</v>
      </c>
      <c r="C934" s="1" t="s">
        <v>48</v>
      </c>
      <c r="D934" s="1" t="s">
        <v>1124</v>
      </c>
      <c r="E934" s="1">
        <v>54</v>
      </c>
      <c r="F934" s="1">
        <v>467</v>
      </c>
      <c r="G934" s="1">
        <v>632</v>
      </c>
      <c r="H934" s="1">
        <v>99</v>
      </c>
      <c r="I934" s="1">
        <v>1001</v>
      </c>
      <c r="J934" s="1">
        <v>1001</v>
      </c>
      <c r="K934" s="1">
        <v>1001</v>
      </c>
      <c r="L934" s="1">
        <v>1001</v>
      </c>
      <c r="M934" s="1">
        <v>70.2</v>
      </c>
      <c r="N934" s="1">
        <v>46.603354000000003</v>
      </c>
      <c r="O934" s="1">
        <v>1.8883335000000001</v>
      </c>
      <c r="P934" s="14">
        <f t="shared" si="104"/>
        <v>0</v>
      </c>
      <c r="Q934" s="13">
        <f>((667 - F934) / 666) * 100</f>
        <v>30.03003003003003</v>
      </c>
      <c r="R934" s="16">
        <f t="shared" si="105"/>
        <v>36.9</v>
      </c>
      <c r="S934" s="14">
        <f t="shared" si="106"/>
        <v>67.656765676567659</v>
      </c>
      <c r="T934" s="13">
        <f t="shared" si="107"/>
        <v>0</v>
      </c>
      <c r="U934" s="14">
        <f t="shared" si="108"/>
        <v>0</v>
      </c>
      <c r="V934" s="14">
        <f t="shared" si="109"/>
        <v>0</v>
      </c>
      <c r="W934" s="1">
        <f t="shared" si="110"/>
        <v>6.8000000000000007</v>
      </c>
      <c r="X934" s="1" t="str">
        <f>IF(Table1[[#This Row],[World Rank]]&lt;=250,"Q1-Elite",IF(Table1[[#This Row],[World Rank]]&lt;=500,"Q2-Strong",IF(Table1[[#This Row],[World Rank]]&lt;=750,"Q3-Developing","Q4-Emerging")))</f>
        <v>Q4-Emerging</v>
      </c>
    </row>
    <row r="935" spans="1:24" x14ac:dyDescent="0.2">
      <c r="A935" s="1">
        <v>934</v>
      </c>
      <c r="B935" s="1" t="s">
        <v>1012</v>
      </c>
      <c r="C935" s="1" t="s">
        <v>15</v>
      </c>
      <c r="D935" s="1" t="s">
        <v>1120</v>
      </c>
      <c r="E935" s="1">
        <v>200</v>
      </c>
      <c r="F935" s="1">
        <v>667</v>
      </c>
      <c r="G935" s="1">
        <v>1001</v>
      </c>
      <c r="H935" s="1">
        <v>304</v>
      </c>
      <c r="I935" s="1">
        <v>1001</v>
      </c>
      <c r="J935" s="1">
        <v>1001</v>
      </c>
      <c r="K935" s="1">
        <v>461</v>
      </c>
      <c r="L935" s="1">
        <v>673</v>
      </c>
      <c r="M935" s="1">
        <v>70.2</v>
      </c>
      <c r="N935" s="1">
        <v>39.783730400000003</v>
      </c>
      <c r="O935" s="1">
        <v>-100.445882</v>
      </c>
      <c r="P935" s="14">
        <f t="shared" si="104"/>
        <v>0</v>
      </c>
      <c r="Q935" s="13">
        <v>20</v>
      </c>
      <c r="R935" s="16">
        <f t="shared" si="105"/>
        <v>0</v>
      </c>
      <c r="S935" s="14">
        <f t="shared" si="106"/>
        <v>0</v>
      </c>
      <c r="T935" s="13">
        <f t="shared" si="107"/>
        <v>0</v>
      </c>
      <c r="U935" s="14">
        <f t="shared" si="108"/>
        <v>54</v>
      </c>
      <c r="V935" s="14">
        <f t="shared" si="109"/>
        <v>32.800000000000004</v>
      </c>
      <c r="W935" s="1">
        <f t="shared" si="110"/>
        <v>6.7</v>
      </c>
      <c r="X935" s="1" t="str">
        <f>IF(Table1[[#This Row],[World Rank]]&lt;=250,"Q1-Elite",IF(Table1[[#This Row],[World Rank]]&lt;=500,"Q2-Strong",IF(Table1[[#This Row],[World Rank]]&lt;=750,"Q3-Developing","Q4-Emerging")))</f>
        <v>Q4-Emerging</v>
      </c>
    </row>
    <row r="936" spans="1:24" x14ac:dyDescent="0.2">
      <c r="A936" s="1">
        <v>935</v>
      </c>
      <c r="B936" s="1" t="s">
        <v>1013</v>
      </c>
      <c r="C936" s="1" t="s">
        <v>15</v>
      </c>
      <c r="D936" s="1" t="s">
        <v>1120</v>
      </c>
      <c r="E936" s="1">
        <v>201</v>
      </c>
      <c r="F936" s="1">
        <v>667</v>
      </c>
      <c r="G936" s="1">
        <v>944</v>
      </c>
      <c r="H936" s="1">
        <v>304</v>
      </c>
      <c r="I936" s="1">
        <v>1001</v>
      </c>
      <c r="J936" s="1">
        <v>975</v>
      </c>
      <c r="K936" s="1">
        <v>689</v>
      </c>
      <c r="L936" s="1">
        <v>541</v>
      </c>
      <c r="M936" s="1">
        <v>70.2</v>
      </c>
      <c r="N936" s="1">
        <v>39.783730400000003</v>
      </c>
      <c r="O936" s="1">
        <v>-100.445882</v>
      </c>
      <c r="P936" s="14">
        <f t="shared" si="104"/>
        <v>2.6</v>
      </c>
      <c r="Q936" s="13">
        <v>20</v>
      </c>
      <c r="R936" s="16">
        <f t="shared" si="105"/>
        <v>5.7</v>
      </c>
      <c r="S936" s="14">
        <f t="shared" si="106"/>
        <v>0</v>
      </c>
      <c r="T936" s="13">
        <f t="shared" si="107"/>
        <v>0</v>
      </c>
      <c r="U936" s="14">
        <f t="shared" si="108"/>
        <v>31.2</v>
      </c>
      <c r="V936" s="14">
        <f t="shared" si="109"/>
        <v>46</v>
      </c>
      <c r="W936" s="1">
        <f t="shared" si="110"/>
        <v>6.6000000000000005</v>
      </c>
      <c r="X936" s="1" t="str">
        <f>IF(Table1[[#This Row],[World Rank]]&lt;=250,"Q1-Elite",IF(Table1[[#This Row],[World Rank]]&lt;=500,"Q2-Strong",IF(Table1[[#This Row],[World Rank]]&lt;=750,"Q3-Developing","Q4-Emerging")))</f>
        <v>Q4-Emerging</v>
      </c>
    </row>
    <row r="937" spans="1:24" x14ac:dyDescent="0.2">
      <c r="A937" s="1">
        <v>936</v>
      </c>
      <c r="B937" s="1" t="s">
        <v>1014</v>
      </c>
      <c r="C937" s="1" t="s">
        <v>269</v>
      </c>
      <c r="D937" s="1" t="s">
        <v>1124</v>
      </c>
      <c r="E937" s="1">
        <v>5</v>
      </c>
      <c r="F937" s="1">
        <v>667</v>
      </c>
      <c r="G937" s="1">
        <v>914</v>
      </c>
      <c r="H937" s="1">
        <v>304</v>
      </c>
      <c r="I937" s="1">
        <v>968</v>
      </c>
      <c r="J937" s="1">
        <v>875</v>
      </c>
      <c r="K937" s="1">
        <v>1001</v>
      </c>
      <c r="L937" s="1">
        <v>673</v>
      </c>
      <c r="M937" s="1">
        <v>70.2</v>
      </c>
      <c r="N937" s="1">
        <v>52.865195999999997</v>
      </c>
      <c r="O937" s="1">
        <v>-7.9794599000000002</v>
      </c>
      <c r="P937" s="14">
        <f t="shared" si="104"/>
        <v>12.6</v>
      </c>
      <c r="Q937" s="13">
        <v>20</v>
      </c>
      <c r="R937" s="16">
        <f t="shared" si="105"/>
        <v>8.6999999999999993</v>
      </c>
      <c r="S937" s="14">
        <f t="shared" si="106"/>
        <v>0</v>
      </c>
      <c r="T937" s="13">
        <f t="shared" si="107"/>
        <v>3.3000000000000003</v>
      </c>
      <c r="U937" s="14">
        <f t="shared" si="108"/>
        <v>0</v>
      </c>
      <c r="V937" s="14">
        <f t="shared" si="109"/>
        <v>32.800000000000004</v>
      </c>
      <c r="W937" s="1">
        <f t="shared" si="110"/>
        <v>6.5</v>
      </c>
      <c r="X937" s="1" t="str">
        <f>IF(Table1[[#This Row],[World Rank]]&lt;=250,"Q1-Elite",IF(Table1[[#This Row],[World Rank]]&lt;=500,"Q2-Strong",IF(Table1[[#This Row],[World Rank]]&lt;=750,"Q3-Developing","Q4-Emerging")))</f>
        <v>Q4-Emerging</v>
      </c>
    </row>
    <row r="938" spans="1:24" x14ac:dyDescent="0.2">
      <c r="A938" s="1">
        <v>937</v>
      </c>
      <c r="B938" s="1" t="s">
        <v>1015</v>
      </c>
      <c r="C938" s="1" t="s">
        <v>139</v>
      </c>
      <c r="D938" s="1" t="s">
        <v>1124</v>
      </c>
      <c r="E938" s="1">
        <v>9</v>
      </c>
      <c r="F938" s="1">
        <v>667</v>
      </c>
      <c r="G938" s="1">
        <v>534</v>
      </c>
      <c r="H938" s="1">
        <v>304</v>
      </c>
      <c r="I938" s="1">
        <v>973</v>
      </c>
      <c r="J938" s="1">
        <v>806</v>
      </c>
      <c r="K938" s="1">
        <v>1001</v>
      </c>
      <c r="L938" s="1">
        <v>898</v>
      </c>
      <c r="M938" s="1">
        <v>70.2</v>
      </c>
      <c r="N938" s="1">
        <v>50.6402809</v>
      </c>
      <c r="O938" s="1">
        <v>4.6667145000000003</v>
      </c>
      <c r="P938" s="14">
        <f t="shared" si="104"/>
        <v>19.5</v>
      </c>
      <c r="Q938" s="13">
        <v>20</v>
      </c>
      <c r="R938" s="16">
        <f t="shared" si="105"/>
        <v>46.7</v>
      </c>
      <c r="S938" s="14">
        <f t="shared" si="106"/>
        <v>0</v>
      </c>
      <c r="T938" s="13">
        <f t="shared" si="107"/>
        <v>2.8000000000000003</v>
      </c>
      <c r="U938" s="14">
        <f t="shared" si="108"/>
        <v>0</v>
      </c>
      <c r="V938" s="14">
        <f t="shared" si="109"/>
        <v>10.299999999999999</v>
      </c>
      <c r="W938" s="1">
        <f t="shared" si="110"/>
        <v>6.4</v>
      </c>
      <c r="X938" s="1" t="str">
        <f>IF(Table1[[#This Row],[World Rank]]&lt;=250,"Q1-Elite",IF(Table1[[#This Row],[World Rank]]&lt;=500,"Q2-Strong",IF(Table1[[#This Row],[World Rank]]&lt;=750,"Q3-Developing","Q4-Emerging")))</f>
        <v>Q4-Emerging</v>
      </c>
    </row>
    <row r="939" spans="1:24" x14ac:dyDescent="0.2">
      <c r="A939" s="1">
        <v>938</v>
      </c>
      <c r="B939" s="1" t="s">
        <v>1016</v>
      </c>
      <c r="C939" s="1" t="s">
        <v>591</v>
      </c>
      <c r="D939" s="1" t="s">
        <v>1125</v>
      </c>
      <c r="E939" s="1">
        <v>12</v>
      </c>
      <c r="F939" s="1">
        <v>667</v>
      </c>
      <c r="G939" s="1">
        <v>1001</v>
      </c>
      <c r="H939" s="1">
        <v>304</v>
      </c>
      <c r="I939" s="1">
        <v>707</v>
      </c>
      <c r="J939" s="1">
        <v>1001</v>
      </c>
      <c r="K939" s="1">
        <v>1001</v>
      </c>
      <c r="L939" s="1">
        <v>898</v>
      </c>
      <c r="M939" s="1">
        <v>70.2</v>
      </c>
      <c r="N939" s="1">
        <v>38.959759400000003</v>
      </c>
      <c r="O939" s="1">
        <v>34.924965299999997</v>
      </c>
      <c r="P939" s="14">
        <f t="shared" si="104"/>
        <v>0</v>
      </c>
      <c r="Q939" s="13">
        <v>20</v>
      </c>
      <c r="R939" s="16">
        <f t="shared" si="105"/>
        <v>0</v>
      </c>
      <c r="S939" s="14">
        <f t="shared" si="106"/>
        <v>0</v>
      </c>
      <c r="T939" s="13">
        <f t="shared" si="107"/>
        <v>29.4</v>
      </c>
      <c r="U939" s="14">
        <f t="shared" si="108"/>
        <v>0</v>
      </c>
      <c r="V939" s="14">
        <f t="shared" si="109"/>
        <v>10.299999999999999</v>
      </c>
      <c r="W939" s="1">
        <f t="shared" si="110"/>
        <v>6.3</v>
      </c>
      <c r="X939" s="1" t="str">
        <f>IF(Table1[[#This Row],[World Rank]]&lt;=250,"Q1-Elite",IF(Table1[[#This Row],[World Rank]]&lt;=500,"Q2-Strong",IF(Table1[[#This Row],[World Rank]]&lt;=750,"Q3-Developing","Q4-Emerging")))</f>
        <v>Q4-Emerging</v>
      </c>
    </row>
    <row r="940" spans="1:24" x14ac:dyDescent="0.2">
      <c r="A940" s="1">
        <v>939</v>
      </c>
      <c r="B940" s="1" t="s">
        <v>1017</v>
      </c>
      <c r="C940" s="1" t="s">
        <v>15</v>
      </c>
      <c r="D940" s="1" t="s">
        <v>1120</v>
      </c>
      <c r="E940" s="1">
        <v>202</v>
      </c>
      <c r="F940" s="1">
        <v>667</v>
      </c>
      <c r="G940" s="1">
        <v>1001</v>
      </c>
      <c r="H940" s="1">
        <v>304</v>
      </c>
      <c r="I940" s="1">
        <v>1001</v>
      </c>
      <c r="J940" s="1">
        <v>850</v>
      </c>
      <c r="K940" s="1">
        <v>672</v>
      </c>
      <c r="L940" s="1">
        <v>898</v>
      </c>
      <c r="M940" s="1">
        <v>70.099999999999994</v>
      </c>
      <c r="N940" s="1">
        <v>39.783730400000003</v>
      </c>
      <c r="O940" s="1">
        <v>-100.445882</v>
      </c>
      <c r="P940" s="14">
        <f t="shared" si="104"/>
        <v>15.1</v>
      </c>
      <c r="Q940" s="13">
        <v>20</v>
      </c>
      <c r="R940" s="16">
        <f t="shared" si="105"/>
        <v>0</v>
      </c>
      <c r="S940" s="14">
        <f t="shared" si="106"/>
        <v>0</v>
      </c>
      <c r="T940" s="13">
        <f t="shared" si="107"/>
        <v>0</v>
      </c>
      <c r="U940" s="14">
        <f t="shared" si="108"/>
        <v>32.9</v>
      </c>
      <c r="V940" s="14">
        <f t="shared" si="109"/>
        <v>10.299999999999999</v>
      </c>
      <c r="W940" s="1">
        <f t="shared" si="110"/>
        <v>6.2</v>
      </c>
      <c r="X940" s="1" t="str">
        <f>IF(Table1[[#This Row],[World Rank]]&lt;=250,"Q1-Elite",IF(Table1[[#This Row],[World Rank]]&lt;=500,"Q2-Strong",IF(Table1[[#This Row],[World Rank]]&lt;=750,"Q3-Developing","Q4-Emerging")))</f>
        <v>Q4-Emerging</v>
      </c>
    </row>
    <row r="941" spans="1:24" x14ac:dyDescent="0.2">
      <c r="A941" s="1">
        <v>940</v>
      </c>
      <c r="B941" s="1" t="s">
        <v>1018</v>
      </c>
      <c r="C941" s="1" t="s">
        <v>118</v>
      </c>
      <c r="D941" s="1" t="s">
        <v>1124</v>
      </c>
      <c r="E941" s="1">
        <v>36</v>
      </c>
      <c r="F941" s="1">
        <v>667</v>
      </c>
      <c r="G941" s="1">
        <v>1001</v>
      </c>
      <c r="H941" s="1">
        <v>304</v>
      </c>
      <c r="I941" s="1">
        <v>922</v>
      </c>
      <c r="J941" s="1">
        <v>801</v>
      </c>
      <c r="K941" s="1">
        <v>1001</v>
      </c>
      <c r="L941" s="1">
        <v>898</v>
      </c>
      <c r="M941" s="1">
        <v>70.099999999999994</v>
      </c>
      <c r="N941" s="1">
        <v>39.326068499999998</v>
      </c>
      <c r="O941" s="1">
        <v>-4.8379791000000001</v>
      </c>
      <c r="P941" s="14">
        <f t="shared" si="104"/>
        <v>20</v>
      </c>
      <c r="Q941" s="13">
        <v>20</v>
      </c>
      <c r="R941" s="16">
        <f t="shared" si="105"/>
        <v>0</v>
      </c>
      <c r="S941" s="14">
        <f t="shared" si="106"/>
        <v>0</v>
      </c>
      <c r="T941" s="13">
        <f t="shared" si="107"/>
        <v>7.9</v>
      </c>
      <c r="U941" s="14">
        <f t="shared" si="108"/>
        <v>0</v>
      </c>
      <c r="V941" s="14">
        <f t="shared" si="109"/>
        <v>10.299999999999999</v>
      </c>
      <c r="W941" s="1">
        <f t="shared" si="110"/>
        <v>6.1</v>
      </c>
      <c r="X941" s="1" t="str">
        <f>IF(Table1[[#This Row],[World Rank]]&lt;=250,"Q1-Elite",IF(Table1[[#This Row],[World Rank]]&lt;=500,"Q2-Strong",IF(Table1[[#This Row],[World Rank]]&lt;=750,"Q3-Developing","Q4-Emerging")))</f>
        <v>Q4-Emerging</v>
      </c>
    </row>
    <row r="942" spans="1:24" x14ac:dyDescent="0.2">
      <c r="A942" s="1">
        <v>941</v>
      </c>
      <c r="B942" s="1" t="s">
        <v>1019</v>
      </c>
      <c r="C942" s="1" t="s">
        <v>124</v>
      </c>
      <c r="D942" s="1" t="s">
        <v>1125</v>
      </c>
      <c r="E942" s="1">
        <v>97</v>
      </c>
      <c r="F942" s="1">
        <v>667</v>
      </c>
      <c r="G942" s="1">
        <v>1001</v>
      </c>
      <c r="H942" s="1">
        <v>304</v>
      </c>
      <c r="I942" s="1">
        <v>766</v>
      </c>
      <c r="J942" s="1">
        <v>883</v>
      </c>
      <c r="K942" s="1">
        <v>1001</v>
      </c>
      <c r="L942" s="1">
        <v>1001</v>
      </c>
      <c r="M942" s="1">
        <v>70.099999999999994</v>
      </c>
      <c r="N942" s="1">
        <v>30.047992000000001</v>
      </c>
      <c r="O942" s="1">
        <v>-94.335743300000004</v>
      </c>
      <c r="P942" s="14">
        <f t="shared" si="104"/>
        <v>11.799999999999999</v>
      </c>
      <c r="Q942" s="13">
        <v>20</v>
      </c>
      <c r="R942" s="16">
        <f t="shared" si="105"/>
        <v>0</v>
      </c>
      <c r="S942" s="14">
        <f t="shared" si="106"/>
        <v>0</v>
      </c>
      <c r="T942" s="13">
        <f t="shared" si="107"/>
        <v>23.5</v>
      </c>
      <c r="U942" s="14">
        <f t="shared" si="108"/>
        <v>0</v>
      </c>
      <c r="V942" s="14">
        <f t="shared" si="109"/>
        <v>0</v>
      </c>
      <c r="W942" s="1">
        <f t="shared" si="110"/>
        <v>6</v>
      </c>
      <c r="X942" s="1" t="str">
        <f>IF(Table1[[#This Row],[World Rank]]&lt;=250,"Q1-Elite",IF(Table1[[#This Row],[World Rank]]&lt;=500,"Q2-Strong",IF(Table1[[#This Row],[World Rank]]&lt;=750,"Q3-Developing","Q4-Emerging")))</f>
        <v>Q4-Emerging</v>
      </c>
    </row>
    <row r="943" spans="1:24" x14ac:dyDescent="0.2">
      <c r="A943" s="1">
        <v>942</v>
      </c>
      <c r="B943" s="1" t="s">
        <v>1020</v>
      </c>
      <c r="C943" s="1" t="s">
        <v>48</v>
      </c>
      <c r="D943" s="1" t="s">
        <v>1124</v>
      </c>
      <c r="E943" s="1">
        <v>55</v>
      </c>
      <c r="F943" s="1">
        <v>298</v>
      </c>
      <c r="G943" s="1">
        <v>47</v>
      </c>
      <c r="H943" s="1">
        <v>304</v>
      </c>
      <c r="I943" s="1">
        <v>1001</v>
      </c>
      <c r="J943" s="1">
        <v>1001</v>
      </c>
      <c r="K943" s="1">
        <v>1001</v>
      </c>
      <c r="L943" s="1">
        <v>541</v>
      </c>
      <c r="M943" s="1">
        <v>70.099999999999994</v>
      </c>
      <c r="N943" s="1">
        <v>46.603354000000003</v>
      </c>
      <c r="O943" s="1">
        <v>1.8883335000000001</v>
      </c>
      <c r="P943" s="14">
        <f t="shared" si="104"/>
        <v>0</v>
      </c>
      <c r="Q943" s="13">
        <f>((667 - F943) / 666) * 100</f>
        <v>55.405405405405403</v>
      </c>
      <c r="R943" s="16">
        <f t="shared" si="105"/>
        <v>95.399999999999991</v>
      </c>
      <c r="S943" s="14">
        <f t="shared" si="106"/>
        <v>0</v>
      </c>
      <c r="T943" s="13">
        <f t="shared" si="107"/>
        <v>0</v>
      </c>
      <c r="U943" s="14">
        <f t="shared" si="108"/>
        <v>0</v>
      </c>
      <c r="V943" s="14">
        <f t="shared" si="109"/>
        <v>46</v>
      </c>
      <c r="W943" s="1">
        <f t="shared" si="110"/>
        <v>5.8999999999999995</v>
      </c>
      <c r="X943" s="1" t="str">
        <f>IF(Table1[[#This Row],[World Rank]]&lt;=250,"Q1-Elite",IF(Table1[[#This Row],[World Rank]]&lt;=500,"Q2-Strong",IF(Table1[[#This Row],[World Rank]]&lt;=750,"Q3-Developing","Q4-Emerging")))</f>
        <v>Q4-Emerging</v>
      </c>
    </row>
    <row r="944" spans="1:24" x14ac:dyDescent="0.2">
      <c r="A944" s="1">
        <v>943</v>
      </c>
      <c r="B944" s="1" t="s">
        <v>1021</v>
      </c>
      <c r="C944" s="1" t="s">
        <v>15</v>
      </c>
      <c r="D944" s="1" t="s">
        <v>1120</v>
      </c>
      <c r="E944" s="1">
        <v>203</v>
      </c>
      <c r="F944" s="1">
        <v>516</v>
      </c>
      <c r="G944" s="1">
        <v>1001</v>
      </c>
      <c r="H944" s="1">
        <v>275</v>
      </c>
      <c r="I944" s="1">
        <v>1001</v>
      </c>
      <c r="J944" s="1">
        <v>974</v>
      </c>
      <c r="K944" s="1">
        <v>703</v>
      </c>
      <c r="L944" s="1">
        <v>898</v>
      </c>
      <c r="M944" s="1">
        <v>70.099999999999994</v>
      </c>
      <c r="N944" s="1">
        <v>39.783730400000003</v>
      </c>
      <c r="O944" s="1">
        <v>-100.445882</v>
      </c>
      <c r="P944" s="14">
        <f t="shared" si="104"/>
        <v>2.7</v>
      </c>
      <c r="Q944" s="13">
        <f>((667 - F944) / 666) * 100</f>
        <v>22.672672672672672</v>
      </c>
      <c r="R944" s="16">
        <f t="shared" si="105"/>
        <v>0</v>
      </c>
      <c r="S944" s="14">
        <f t="shared" si="106"/>
        <v>9.5709570957095718</v>
      </c>
      <c r="T944" s="13">
        <f t="shared" si="107"/>
        <v>0</v>
      </c>
      <c r="U944" s="14">
        <f t="shared" si="108"/>
        <v>29.799999999999997</v>
      </c>
      <c r="V944" s="14">
        <f t="shared" si="109"/>
        <v>10.299999999999999</v>
      </c>
      <c r="W944" s="1">
        <f t="shared" si="110"/>
        <v>5.8000000000000007</v>
      </c>
      <c r="X944" s="1" t="str">
        <f>IF(Table1[[#This Row],[World Rank]]&lt;=250,"Q1-Elite",IF(Table1[[#This Row],[World Rank]]&lt;=500,"Q2-Strong",IF(Table1[[#This Row],[World Rank]]&lt;=750,"Q3-Developing","Q4-Emerging")))</f>
        <v>Q4-Emerging</v>
      </c>
    </row>
    <row r="945" spans="1:24" x14ac:dyDescent="0.2">
      <c r="A945" s="1">
        <v>944</v>
      </c>
      <c r="B945" s="1" t="s">
        <v>1022</v>
      </c>
      <c r="C945" s="1" t="s">
        <v>124</v>
      </c>
      <c r="D945" s="1" t="s">
        <v>1125</v>
      </c>
      <c r="E945" s="1">
        <v>98</v>
      </c>
      <c r="F945" s="1">
        <v>667</v>
      </c>
      <c r="G945" s="1">
        <v>1001</v>
      </c>
      <c r="H945" s="1">
        <v>304</v>
      </c>
      <c r="I945" s="1">
        <v>852</v>
      </c>
      <c r="J945" s="1">
        <v>857</v>
      </c>
      <c r="K945" s="1">
        <v>1001</v>
      </c>
      <c r="L945" s="1">
        <v>898</v>
      </c>
      <c r="M945" s="1">
        <v>70.099999999999994</v>
      </c>
      <c r="N945" s="1">
        <v>30.047992000000001</v>
      </c>
      <c r="O945" s="1">
        <v>-94.335743300000004</v>
      </c>
      <c r="P945" s="14">
        <f t="shared" si="104"/>
        <v>14.399999999999999</v>
      </c>
      <c r="Q945" s="13">
        <v>20</v>
      </c>
      <c r="R945" s="16">
        <f t="shared" si="105"/>
        <v>0</v>
      </c>
      <c r="S945" s="14">
        <f t="shared" si="106"/>
        <v>0</v>
      </c>
      <c r="T945" s="13">
        <f t="shared" si="107"/>
        <v>14.899999999999999</v>
      </c>
      <c r="U945" s="14">
        <f t="shared" si="108"/>
        <v>0</v>
      </c>
      <c r="V945" s="14">
        <f t="shared" si="109"/>
        <v>10.299999999999999</v>
      </c>
      <c r="W945" s="1">
        <f t="shared" si="110"/>
        <v>5.7</v>
      </c>
      <c r="X945" s="1" t="str">
        <f>IF(Table1[[#This Row],[World Rank]]&lt;=250,"Q1-Elite",IF(Table1[[#This Row],[World Rank]]&lt;=500,"Q2-Strong",IF(Table1[[#This Row],[World Rank]]&lt;=750,"Q3-Developing","Q4-Emerging")))</f>
        <v>Q4-Emerging</v>
      </c>
    </row>
    <row r="946" spans="1:24" x14ac:dyDescent="0.2">
      <c r="A946" s="1">
        <v>945</v>
      </c>
      <c r="B946" s="1" t="s">
        <v>1023</v>
      </c>
      <c r="C946" s="1" t="s">
        <v>124</v>
      </c>
      <c r="D946" s="1" t="s">
        <v>1125</v>
      </c>
      <c r="E946" s="1">
        <v>99</v>
      </c>
      <c r="F946" s="1">
        <v>605</v>
      </c>
      <c r="G946" s="1">
        <v>1001</v>
      </c>
      <c r="H946" s="1">
        <v>304</v>
      </c>
      <c r="I946" s="1">
        <v>844</v>
      </c>
      <c r="J946" s="1">
        <v>860</v>
      </c>
      <c r="K946" s="1">
        <v>1001</v>
      </c>
      <c r="L946" s="1">
        <v>898</v>
      </c>
      <c r="M946" s="1">
        <v>70.099999999999994</v>
      </c>
      <c r="N946" s="1">
        <v>30.047992000000001</v>
      </c>
      <c r="O946" s="1">
        <v>-94.335743300000004</v>
      </c>
      <c r="P946" s="14">
        <f t="shared" si="104"/>
        <v>14.099999999999998</v>
      </c>
      <c r="Q946" s="13">
        <v>20</v>
      </c>
      <c r="R946" s="16">
        <f t="shared" si="105"/>
        <v>0</v>
      </c>
      <c r="S946" s="14">
        <f t="shared" si="106"/>
        <v>0</v>
      </c>
      <c r="T946" s="13">
        <f t="shared" si="107"/>
        <v>15.7</v>
      </c>
      <c r="U946" s="14">
        <f t="shared" si="108"/>
        <v>0</v>
      </c>
      <c r="V946" s="14">
        <f t="shared" si="109"/>
        <v>10.299999999999999</v>
      </c>
      <c r="W946" s="1">
        <f t="shared" si="110"/>
        <v>5.6000000000000005</v>
      </c>
      <c r="X946" s="1" t="str">
        <f>IF(Table1[[#This Row],[World Rank]]&lt;=250,"Q1-Elite",IF(Table1[[#This Row],[World Rank]]&lt;=500,"Q2-Strong",IF(Table1[[#This Row],[World Rank]]&lt;=750,"Q3-Developing","Q4-Emerging")))</f>
        <v>Q4-Emerging</v>
      </c>
    </row>
    <row r="947" spans="1:24" x14ac:dyDescent="0.2">
      <c r="A947" s="1">
        <v>946</v>
      </c>
      <c r="B947" s="1" t="s">
        <v>1024</v>
      </c>
      <c r="C947" s="1" t="s">
        <v>68</v>
      </c>
      <c r="D947" s="1" t="s">
        <v>1124</v>
      </c>
      <c r="E947" s="1">
        <v>53</v>
      </c>
      <c r="F947" s="1">
        <v>667</v>
      </c>
      <c r="G947" s="1">
        <v>1001</v>
      </c>
      <c r="H947" s="1">
        <v>304</v>
      </c>
      <c r="I947" s="1">
        <v>1001</v>
      </c>
      <c r="J947" s="1">
        <v>969</v>
      </c>
      <c r="K947" s="1">
        <v>817</v>
      </c>
      <c r="L947" s="1">
        <v>460</v>
      </c>
      <c r="M947" s="1">
        <v>70.099999999999994</v>
      </c>
      <c r="N947" s="1">
        <v>40.420347900000003</v>
      </c>
      <c r="O947" s="1">
        <v>-79.116698299999996</v>
      </c>
      <c r="P947" s="14">
        <f t="shared" si="104"/>
        <v>3.2</v>
      </c>
      <c r="Q947" s="13">
        <v>20</v>
      </c>
      <c r="R947" s="16">
        <f t="shared" si="105"/>
        <v>0</v>
      </c>
      <c r="S947" s="14">
        <f t="shared" si="106"/>
        <v>0</v>
      </c>
      <c r="T947" s="13">
        <f t="shared" si="107"/>
        <v>0</v>
      </c>
      <c r="U947" s="14">
        <f t="shared" si="108"/>
        <v>18.399999999999999</v>
      </c>
      <c r="V947" s="14">
        <f t="shared" si="109"/>
        <v>54.1</v>
      </c>
      <c r="W947" s="1">
        <f t="shared" si="110"/>
        <v>5.5</v>
      </c>
      <c r="X947" s="1" t="str">
        <f>IF(Table1[[#This Row],[World Rank]]&lt;=250,"Q1-Elite",IF(Table1[[#This Row],[World Rank]]&lt;=500,"Q2-Strong",IF(Table1[[#This Row],[World Rank]]&lt;=750,"Q3-Developing","Q4-Emerging")))</f>
        <v>Q4-Emerging</v>
      </c>
    </row>
    <row r="948" spans="1:24" x14ac:dyDescent="0.2">
      <c r="A948" s="1">
        <v>947</v>
      </c>
      <c r="B948" s="1" t="s">
        <v>1025</v>
      </c>
      <c r="C948" s="1" t="s">
        <v>15</v>
      </c>
      <c r="D948" s="1" t="s">
        <v>1120</v>
      </c>
      <c r="E948" s="1">
        <v>204</v>
      </c>
      <c r="F948" s="1">
        <v>327</v>
      </c>
      <c r="G948" s="1">
        <v>1001</v>
      </c>
      <c r="H948" s="1">
        <v>304</v>
      </c>
      <c r="I948" s="1">
        <v>1001</v>
      </c>
      <c r="J948" s="1">
        <v>1001</v>
      </c>
      <c r="K948" s="1">
        <v>744</v>
      </c>
      <c r="L948" s="1">
        <v>541</v>
      </c>
      <c r="M948" s="1">
        <v>70.099999999999994</v>
      </c>
      <c r="N948" s="1">
        <v>39.783730400000003</v>
      </c>
      <c r="O948" s="1">
        <v>-100.445882</v>
      </c>
      <c r="P948" s="14">
        <f t="shared" si="104"/>
        <v>0</v>
      </c>
      <c r="Q948" s="13">
        <f>((667 - F948) / 666) * 100</f>
        <v>51.051051051051054</v>
      </c>
      <c r="R948" s="16">
        <f t="shared" si="105"/>
        <v>0</v>
      </c>
      <c r="S948" s="14">
        <f t="shared" si="106"/>
        <v>0</v>
      </c>
      <c r="T948" s="13">
        <f t="shared" si="107"/>
        <v>0</v>
      </c>
      <c r="U948" s="14">
        <f t="shared" si="108"/>
        <v>25.7</v>
      </c>
      <c r="V948" s="14">
        <f t="shared" si="109"/>
        <v>46</v>
      </c>
      <c r="W948" s="1">
        <f t="shared" si="110"/>
        <v>5.4</v>
      </c>
      <c r="X948" s="1" t="str">
        <f>IF(Table1[[#This Row],[World Rank]]&lt;=250,"Q1-Elite",IF(Table1[[#This Row],[World Rank]]&lt;=500,"Q2-Strong",IF(Table1[[#This Row],[World Rank]]&lt;=750,"Q3-Developing","Q4-Emerging")))</f>
        <v>Q4-Emerging</v>
      </c>
    </row>
    <row r="949" spans="1:24" x14ac:dyDescent="0.2">
      <c r="A949" s="1">
        <v>948</v>
      </c>
      <c r="B949" s="1" t="s">
        <v>1026</v>
      </c>
      <c r="C949" s="1" t="s">
        <v>470</v>
      </c>
      <c r="D949" s="1" t="s">
        <v>1124</v>
      </c>
      <c r="E949" s="1">
        <v>6</v>
      </c>
      <c r="F949" s="1">
        <v>667</v>
      </c>
      <c r="G949" s="1">
        <v>1001</v>
      </c>
      <c r="H949" s="1">
        <v>304</v>
      </c>
      <c r="I949" s="1">
        <v>1001</v>
      </c>
      <c r="J949" s="1">
        <v>1001</v>
      </c>
      <c r="K949" s="1">
        <v>992</v>
      </c>
      <c r="L949" s="1">
        <v>541</v>
      </c>
      <c r="M949" s="1">
        <v>70.099999999999994</v>
      </c>
      <c r="N949" s="1">
        <v>41.976762899999997</v>
      </c>
      <c r="O949" s="1">
        <v>-72.778984199999996</v>
      </c>
      <c r="P949" s="14">
        <f t="shared" si="104"/>
        <v>0</v>
      </c>
      <c r="Q949" s="13">
        <v>20</v>
      </c>
      <c r="R949" s="16">
        <f t="shared" si="105"/>
        <v>0</v>
      </c>
      <c r="S949" s="14">
        <f t="shared" si="106"/>
        <v>0</v>
      </c>
      <c r="T949" s="13">
        <f t="shared" si="107"/>
        <v>0</v>
      </c>
      <c r="U949" s="14">
        <f t="shared" si="108"/>
        <v>0.89999999999999991</v>
      </c>
      <c r="V949" s="14">
        <f t="shared" si="109"/>
        <v>46</v>
      </c>
      <c r="W949" s="1">
        <f t="shared" si="110"/>
        <v>5.3</v>
      </c>
      <c r="X949" s="1" t="str">
        <f>IF(Table1[[#This Row],[World Rank]]&lt;=250,"Q1-Elite",IF(Table1[[#This Row],[World Rank]]&lt;=500,"Q2-Strong",IF(Table1[[#This Row],[World Rank]]&lt;=750,"Q3-Developing","Q4-Emerging")))</f>
        <v>Q4-Emerging</v>
      </c>
    </row>
    <row r="950" spans="1:24" x14ac:dyDescent="0.2">
      <c r="A950" s="1">
        <v>949</v>
      </c>
      <c r="B950" s="1" t="s">
        <v>1027</v>
      </c>
      <c r="C950" s="1" t="s">
        <v>269</v>
      </c>
      <c r="D950" s="1" t="s">
        <v>1124</v>
      </c>
      <c r="E950" s="1">
        <v>6</v>
      </c>
      <c r="F950" s="1">
        <v>667</v>
      </c>
      <c r="G950" s="1">
        <v>863</v>
      </c>
      <c r="H950" s="1">
        <v>304</v>
      </c>
      <c r="I950" s="1">
        <v>927</v>
      </c>
      <c r="J950" s="1">
        <v>867</v>
      </c>
      <c r="K950" s="1">
        <v>1001</v>
      </c>
      <c r="L950" s="1">
        <v>898</v>
      </c>
      <c r="M950" s="1">
        <v>70.099999999999994</v>
      </c>
      <c r="N950" s="1">
        <v>52.865195999999997</v>
      </c>
      <c r="O950" s="1">
        <v>-7.9794599000000002</v>
      </c>
      <c r="P950" s="14">
        <f t="shared" si="104"/>
        <v>13.4</v>
      </c>
      <c r="Q950" s="13">
        <v>20</v>
      </c>
      <c r="R950" s="16">
        <f t="shared" si="105"/>
        <v>13.8</v>
      </c>
      <c r="S950" s="14">
        <f t="shared" si="106"/>
        <v>0</v>
      </c>
      <c r="T950" s="13">
        <f t="shared" si="107"/>
        <v>7.3999999999999995</v>
      </c>
      <c r="U950" s="14">
        <f t="shared" si="108"/>
        <v>0</v>
      </c>
      <c r="V950" s="14">
        <f t="shared" si="109"/>
        <v>10.299999999999999</v>
      </c>
      <c r="W950" s="1">
        <f t="shared" si="110"/>
        <v>5.2</v>
      </c>
      <c r="X950" s="1" t="str">
        <f>IF(Table1[[#This Row],[World Rank]]&lt;=250,"Q1-Elite",IF(Table1[[#This Row],[World Rank]]&lt;=500,"Q2-Strong",IF(Table1[[#This Row],[World Rank]]&lt;=750,"Q3-Developing","Q4-Emerging")))</f>
        <v>Q4-Emerging</v>
      </c>
    </row>
    <row r="951" spans="1:24" x14ac:dyDescent="0.2">
      <c r="A951" s="1">
        <v>950</v>
      </c>
      <c r="B951" s="1" t="s">
        <v>1028</v>
      </c>
      <c r="C951" s="1" t="s">
        <v>28</v>
      </c>
      <c r="D951" s="1" t="s">
        <v>1125</v>
      </c>
      <c r="E951" s="1">
        <v>54</v>
      </c>
      <c r="F951" s="1">
        <v>667</v>
      </c>
      <c r="G951" s="1">
        <v>616</v>
      </c>
      <c r="H951" s="1">
        <v>304</v>
      </c>
      <c r="I951" s="1">
        <v>932</v>
      </c>
      <c r="J951" s="1">
        <v>1001</v>
      </c>
      <c r="K951" s="1">
        <v>984</v>
      </c>
      <c r="L951" s="1">
        <v>673</v>
      </c>
      <c r="M951" s="1">
        <v>70.099999999999994</v>
      </c>
      <c r="N951" s="1">
        <v>36.5748441</v>
      </c>
      <c r="O951" s="1">
        <v>139.23941790000001</v>
      </c>
      <c r="P951" s="14">
        <f t="shared" si="104"/>
        <v>0</v>
      </c>
      <c r="Q951" s="13">
        <v>20</v>
      </c>
      <c r="R951" s="16">
        <f t="shared" si="105"/>
        <v>38.5</v>
      </c>
      <c r="S951" s="14">
        <f t="shared" si="106"/>
        <v>0</v>
      </c>
      <c r="T951" s="13">
        <f t="shared" si="107"/>
        <v>6.9</v>
      </c>
      <c r="U951" s="14">
        <f t="shared" si="108"/>
        <v>1.7000000000000002</v>
      </c>
      <c r="V951" s="14">
        <f t="shared" si="109"/>
        <v>32.800000000000004</v>
      </c>
      <c r="W951" s="1">
        <f t="shared" si="110"/>
        <v>5.0999999999999996</v>
      </c>
      <c r="X951" s="1" t="str">
        <f>IF(Table1[[#This Row],[World Rank]]&lt;=250,"Q1-Elite",IF(Table1[[#This Row],[World Rank]]&lt;=500,"Q2-Strong",IF(Table1[[#This Row],[World Rank]]&lt;=750,"Q3-Developing","Q4-Emerging")))</f>
        <v>Q4-Emerging</v>
      </c>
    </row>
    <row r="952" spans="1:24" x14ac:dyDescent="0.2">
      <c r="A952" s="1">
        <v>951</v>
      </c>
      <c r="B952" s="1" t="s">
        <v>1029</v>
      </c>
      <c r="C952" s="1" t="s">
        <v>48</v>
      </c>
      <c r="D952" s="1" t="s">
        <v>1124</v>
      </c>
      <c r="E952" s="1">
        <v>56</v>
      </c>
      <c r="F952" s="1">
        <v>296</v>
      </c>
      <c r="G952" s="1">
        <v>60</v>
      </c>
      <c r="H952" s="1">
        <v>168</v>
      </c>
      <c r="I952" s="1">
        <v>1001</v>
      </c>
      <c r="J952" s="1">
        <v>1001</v>
      </c>
      <c r="K952" s="1">
        <v>1001</v>
      </c>
      <c r="L952" s="1">
        <v>898</v>
      </c>
      <c r="M952" s="1">
        <v>70.099999999999994</v>
      </c>
      <c r="N952" s="1">
        <v>46.603354000000003</v>
      </c>
      <c r="O952" s="1">
        <v>1.8883335000000001</v>
      </c>
      <c r="P952" s="14">
        <f t="shared" si="104"/>
        <v>0</v>
      </c>
      <c r="Q952" s="13">
        <f>((667 - F952) / 666) * 100</f>
        <v>55.705705705705711</v>
      </c>
      <c r="R952" s="16">
        <f t="shared" si="105"/>
        <v>94.1</v>
      </c>
      <c r="S952" s="14">
        <f t="shared" si="106"/>
        <v>44.884488448844884</v>
      </c>
      <c r="T952" s="13">
        <f t="shared" si="107"/>
        <v>0</v>
      </c>
      <c r="U952" s="14">
        <f t="shared" si="108"/>
        <v>0</v>
      </c>
      <c r="V952" s="14">
        <f t="shared" si="109"/>
        <v>10.299999999999999</v>
      </c>
      <c r="W952" s="1">
        <f t="shared" si="110"/>
        <v>5</v>
      </c>
      <c r="X952" s="1" t="str">
        <f>IF(Table1[[#This Row],[World Rank]]&lt;=250,"Q1-Elite",IF(Table1[[#This Row],[World Rank]]&lt;=500,"Q2-Strong",IF(Table1[[#This Row],[World Rank]]&lt;=750,"Q3-Developing","Q4-Emerging")))</f>
        <v>Q4-Emerging</v>
      </c>
    </row>
    <row r="953" spans="1:24" x14ac:dyDescent="0.2">
      <c r="A953" s="1">
        <v>952</v>
      </c>
      <c r="B953" s="1" t="s">
        <v>1030</v>
      </c>
      <c r="C953" s="1" t="s">
        <v>34</v>
      </c>
      <c r="D953" s="1" t="s">
        <v>1120</v>
      </c>
      <c r="E953" s="1">
        <v>28</v>
      </c>
      <c r="F953" s="1">
        <v>667</v>
      </c>
      <c r="G953" s="1">
        <v>167</v>
      </c>
      <c r="H953" s="1">
        <v>304</v>
      </c>
      <c r="I953" s="1">
        <v>933</v>
      </c>
      <c r="J953" s="1">
        <v>849</v>
      </c>
      <c r="K953" s="1">
        <v>1001</v>
      </c>
      <c r="L953" s="1">
        <v>1001</v>
      </c>
      <c r="M953" s="1">
        <v>70.099999999999994</v>
      </c>
      <c r="N953" s="1">
        <v>61.066692199999999</v>
      </c>
      <c r="O953" s="1">
        <v>-107.99170700000001</v>
      </c>
      <c r="P953" s="14">
        <f t="shared" si="104"/>
        <v>15.2</v>
      </c>
      <c r="Q953" s="13">
        <v>20</v>
      </c>
      <c r="R953" s="16">
        <f t="shared" si="105"/>
        <v>83.399999999999991</v>
      </c>
      <c r="S953" s="14">
        <f t="shared" si="106"/>
        <v>0</v>
      </c>
      <c r="T953" s="13">
        <f t="shared" si="107"/>
        <v>6.8000000000000007</v>
      </c>
      <c r="U953" s="14">
        <f t="shared" si="108"/>
        <v>0</v>
      </c>
      <c r="V953" s="14">
        <f t="shared" si="109"/>
        <v>0</v>
      </c>
      <c r="W953" s="1">
        <f t="shared" si="110"/>
        <v>4.9000000000000004</v>
      </c>
      <c r="X953" s="1" t="str">
        <f>IF(Table1[[#This Row],[World Rank]]&lt;=250,"Q1-Elite",IF(Table1[[#This Row],[World Rank]]&lt;=500,"Q2-Strong",IF(Table1[[#This Row],[World Rank]]&lt;=750,"Q3-Developing","Q4-Emerging")))</f>
        <v>Q4-Emerging</v>
      </c>
    </row>
    <row r="954" spans="1:24" x14ac:dyDescent="0.2">
      <c r="A954" s="1">
        <v>953</v>
      </c>
      <c r="B954" s="1" t="s">
        <v>1031</v>
      </c>
      <c r="C954" s="1" t="s">
        <v>28</v>
      </c>
      <c r="D954" s="1" t="s">
        <v>1125</v>
      </c>
      <c r="E954" s="1">
        <v>55</v>
      </c>
      <c r="F954" s="1">
        <v>667</v>
      </c>
      <c r="G954" s="1">
        <v>1001</v>
      </c>
      <c r="H954" s="1">
        <v>304</v>
      </c>
      <c r="I954" s="1">
        <v>929</v>
      </c>
      <c r="J954" s="1">
        <v>966</v>
      </c>
      <c r="K954" s="1">
        <v>1001</v>
      </c>
      <c r="L954" s="1">
        <v>673</v>
      </c>
      <c r="M954" s="1">
        <v>70.099999999999994</v>
      </c>
      <c r="N954" s="1">
        <v>36.5748441</v>
      </c>
      <c r="O954" s="1">
        <v>139.23941790000001</v>
      </c>
      <c r="P954" s="14">
        <f t="shared" si="104"/>
        <v>3.5000000000000004</v>
      </c>
      <c r="Q954" s="13">
        <v>20</v>
      </c>
      <c r="R954" s="16">
        <f t="shared" si="105"/>
        <v>0</v>
      </c>
      <c r="S954" s="14">
        <f t="shared" si="106"/>
        <v>0</v>
      </c>
      <c r="T954" s="13">
        <f t="shared" si="107"/>
        <v>7.1999999999999993</v>
      </c>
      <c r="U954" s="14">
        <f t="shared" si="108"/>
        <v>0</v>
      </c>
      <c r="V954" s="14">
        <f t="shared" si="109"/>
        <v>32.800000000000004</v>
      </c>
      <c r="W954" s="1">
        <f t="shared" si="110"/>
        <v>4.8</v>
      </c>
      <c r="X954" s="1" t="str">
        <f>IF(Table1[[#This Row],[World Rank]]&lt;=250,"Q1-Elite",IF(Table1[[#This Row],[World Rank]]&lt;=500,"Q2-Strong",IF(Table1[[#This Row],[World Rank]]&lt;=750,"Q3-Developing","Q4-Emerging")))</f>
        <v>Q4-Emerging</v>
      </c>
    </row>
    <row r="955" spans="1:24" x14ac:dyDescent="0.2">
      <c r="A955" s="1">
        <v>954</v>
      </c>
      <c r="B955" s="1" t="s">
        <v>1032</v>
      </c>
      <c r="C955" s="1" t="s">
        <v>307</v>
      </c>
      <c r="D955" s="1" t="s">
        <v>1124</v>
      </c>
      <c r="E955" s="1">
        <v>10</v>
      </c>
      <c r="F955" s="1">
        <v>667</v>
      </c>
      <c r="G955" s="1">
        <v>1001</v>
      </c>
      <c r="H955" s="1">
        <v>304</v>
      </c>
      <c r="I955" s="1">
        <v>778</v>
      </c>
      <c r="J955" s="1">
        <v>953</v>
      </c>
      <c r="K955" s="1">
        <v>796</v>
      </c>
      <c r="L955" s="1">
        <v>1001</v>
      </c>
      <c r="M955" s="1">
        <v>70.099999999999994</v>
      </c>
      <c r="N955" s="1">
        <v>52.215933</v>
      </c>
      <c r="O955" s="1">
        <v>19.134422000000001</v>
      </c>
      <c r="P955" s="14">
        <f t="shared" si="104"/>
        <v>4.8</v>
      </c>
      <c r="Q955" s="13">
        <v>20</v>
      </c>
      <c r="R955" s="16">
        <f t="shared" si="105"/>
        <v>0</v>
      </c>
      <c r="S955" s="14">
        <f t="shared" si="106"/>
        <v>0</v>
      </c>
      <c r="T955" s="13">
        <f t="shared" si="107"/>
        <v>22.3</v>
      </c>
      <c r="U955" s="14">
        <f t="shared" si="108"/>
        <v>20.5</v>
      </c>
      <c r="V955" s="14">
        <f t="shared" si="109"/>
        <v>0</v>
      </c>
      <c r="W955" s="1">
        <f t="shared" si="110"/>
        <v>4.7</v>
      </c>
      <c r="X955" s="1" t="str">
        <f>IF(Table1[[#This Row],[World Rank]]&lt;=250,"Q1-Elite",IF(Table1[[#This Row],[World Rank]]&lt;=500,"Q2-Strong",IF(Table1[[#This Row],[World Rank]]&lt;=750,"Q3-Developing","Q4-Emerging")))</f>
        <v>Q4-Emerging</v>
      </c>
    </row>
    <row r="956" spans="1:24" x14ac:dyDescent="0.2">
      <c r="A956" s="1">
        <v>955</v>
      </c>
      <c r="B956" s="1" t="s">
        <v>1033</v>
      </c>
      <c r="C956" s="1" t="s">
        <v>124</v>
      </c>
      <c r="D956" s="1" t="s">
        <v>1125</v>
      </c>
      <c r="E956" s="1">
        <v>100</v>
      </c>
      <c r="F956" s="1">
        <v>667</v>
      </c>
      <c r="G956" s="1">
        <v>1001</v>
      </c>
      <c r="H956" s="1">
        <v>304</v>
      </c>
      <c r="I956" s="1">
        <v>679</v>
      </c>
      <c r="J956" s="1">
        <v>892</v>
      </c>
      <c r="K956" s="1">
        <v>1001</v>
      </c>
      <c r="L956" s="1">
        <v>1001</v>
      </c>
      <c r="M956" s="1">
        <v>70</v>
      </c>
      <c r="N956" s="1">
        <v>30.047992000000001</v>
      </c>
      <c r="O956" s="1">
        <v>-94.335743300000004</v>
      </c>
      <c r="P956" s="14">
        <f t="shared" si="104"/>
        <v>10.9</v>
      </c>
      <c r="Q956" s="13">
        <v>20</v>
      </c>
      <c r="R956" s="16">
        <f t="shared" si="105"/>
        <v>0</v>
      </c>
      <c r="S956" s="14">
        <f t="shared" si="106"/>
        <v>0</v>
      </c>
      <c r="T956" s="13">
        <f t="shared" si="107"/>
        <v>32.200000000000003</v>
      </c>
      <c r="U956" s="14">
        <f t="shared" si="108"/>
        <v>0</v>
      </c>
      <c r="V956" s="14">
        <f t="shared" si="109"/>
        <v>0</v>
      </c>
      <c r="W956" s="1">
        <f t="shared" si="110"/>
        <v>4.5999999999999996</v>
      </c>
      <c r="X956" s="1" t="str">
        <f>IF(Table1[[#This Row],[World Rank]]&lt;=250,"Q1-Elite",IF(Table1[[#This Row],[World Rank]]&lt;=500,"Q2-Strong",IF(Table1[[#This Row],[World Rank]]&lt;=750,"Q3-Developing","Q4-Emerging")))</f>
        <v>Q4-Emerging</v>
      </c>
    </row>
    <row r="957" spans="1:24" x14ac:dyDescent="0.2">
      <c r="A957" s="1">
        <v>956</v>
      </c>
      <c r="B957" s="1" t="s">
        <v>1034</v>
      </c>
      <c r="C957" s="1" t="s">
        <v>118</v>
      </c>
      <c r="D957" s="1" t="s">
        <v>1124</v>
      </c>
      <c r="E957" s="1">
        <v>37</v>
      </c>
      <c r="F957" s="1">
        <v>667</v>
      </c>
      <c r="G957" s="1">
        <v>1001</v>
      </c>
      <c r="H957" s="1">
        <v>304</v>
      </c>
      <c r="I957" s="1">
        <v>914</v>
      </c>
      <c r="J957" s="1">
        <v>898</v>
      </c>
      <c r="K957" s="1">
        <v>1001</v>
      </c>
      <c r="L957" s="1">
        <v>898</v>
      </c>
      <c r="M957" s="1">
        <v>70</v>
      </c>
      <c r="N957" s="1">
        <v>39.326068499999998</v>
      </c>
      <c r="O957" s="1">
        <v>-4.8379791000000001</v>
      </c>
      <c r="P957" s="14">
        <f t="shared" si="104"/>
        <v>10.299999999999999</v>
      </c>
      <c r="Q957" s="13">
        <v>20</v>
      </c>
      <c r="R957" s="16">
        <f t="shared" si="105"/>
        <v>0</v>
      </c>
      <c r="S957" s="14">
        <f t="shared" si="106"/>
        <v>0</v>
      </c>
      <c r="T957" s="13">
        <f t="shared" si="107"/>
        <v>8.6999999999999993</v>
      </c>
      <c r="U957" s="14">
        <f t="shared" si="108"/>
        <v>0</v>
      </c>
      <c r="V957" s="14">
        <f t="shared" si="109"/>
        <v>10.299999999999999</v>
      </c>
      <c r="W957" s="1">
        <f t="shared" si="110"/>
        <v>4.5</v>
      </c>
      <c r="X957" s="1" t="str">
        <f>IF(Table1[[#This Row],[World Rank]]&lt;=250,"Q1-Elite",IF(Table1[[#This Row],[World Rank]]&lt;=500,"Q2-Strong",IF(Table1[[#This Row],[World Rank]]&lt;=750,"Q3-Developing","Q4-Emerging")))</f>
        <v>Q4-Emerging</v>
      </c>
    </row>
    <row r="958" spans="1:24" x14ac:dyDescent="0.2">
      <c r="A958" s="1">
        <v>957</v>
      </c>
      <c r="B958" s="1" t="s">
        <v>1035</v>
      </c>
      <c r="C958" s="1" t="s">
        <v>269</v>
      </c>
      <c r="D958" s="1" t="s">
        <v>1124</v>
      </c>
      <c r="E958" s="1">
        <v>7</v>
      </c>
      <c r="F958" s="1">
        <v>667</v>
      </c>
      <c r="G958" s="1">
        <v>1001</v>
      </c>
      <c r="H958" s="1">
        <v>304</v>
      </c>
      <c r="I958" s="1">
        <v>1001</v>
      </c>
      <c r="J958" s="1">
        <v>925</v>
      </c>
      <c r="K958" s="1">
        <v>667</v>
      </c>
      <c r="L958" s="1">
        <v>673</v>
      </c>
      <c r="M958" s="1">
        <v>70</v>
      </c>
      <c r="N958" s="1">
        <v>52.865195999999997</v>
      </c>
      <c r="O958" s="1">
        <v>-7.9794599000000002</v>
      </c>
      <c r="P958" s="14">
        <f t="shared" si="104"/>
        <v>7.6</v>
      </c>
      <c r="Q958" s="13">
        <v>20</v>
      </c>
      <c r="R958" s="16">
        <f t="shared" si="105"/>
        <v>0</v>
      </c>
      <c r="S958" s="14">
        <f t="shared" si="106"/>
        <v>0</v>
      </c>
      <c r="T958" s="13">
        <f t="shared" si="107"/>
        <v>0</v>
      </c>
      <c r="U958" s="14">
        <f t="shared" si="108"/>
        <v>33.4</v>
      </c>
      <c r="V958" s="14">
        <f t="shared" si="109"/>
        <v>32.800000000000004</v>
      </c>
      <c r="W958" s="1">
        <f t="shared" si="110"/>
        <v>4.3999999999999995</v>
      </c>
      <c r="X958" s="1" t="str">
        <f>IF(Table1[[#This Row],[World Rank]]&lt;=250,"Q1-Elite",IF(Table1[[#This Row],[World Rank]]&lt;=500,"Q2-Strong",IF(Table1[[#This Row],[World Rank]]&lt;=750,"Q3-Developing","Q4-Emerging")))</f>
        <v>Q4-Emerging</v>
      </c>
    </row>
    <row r="959" spans="1:24" x14ac:dyDescent="0.2">
      <c r="A959" s="1">
        <v>958</v>
      </c>
      <c r="B959" s="1" t="s">
        <v>1036</v>
      </c>
      <c r="C959" s="1" t="s">
        <v>68</v>
      </c>
      <c r="D959" s="1" t="s">
        <v>1124</v>
      </c>
      <c r="E959" s="1">
        <v>54</v>
      </c>
      <c r="F959" s="1">
        <v>667</v>
      </c>
      <c r="G959" s="1">
        <v>1001</v>
      </c>
      <c r="H959" s="1">
        <v>304</v>
      </c>
      <c r="I959" s="1">
        <v>1001</v>
      </c>
      <c r="J959" s="1">
        <v>931</v>
      </c>
      <c r="K959" s="1">
        <v>714</v>
      </c>
      <c r="L959" s="1">
        <v>673</v>
      </c>
      <c r="M959" s="1">
        <v>70</v>
      </c>
      <c r="N959" s="1">
        <v>40.420347900000003</v>
      </c>
      <c r="O959" s="1">
        <v>-79.116698299999996</v>
      </c>
      <c r="P959" s="14">
        <f t="shared" si="104"/>
        <v>7.0000000000000009</v>
      </c>
      <c r="Q959" s="13">
        <v>20</v>
      </c>
      <c r="R959" s="16">
        <f t="shared" si="105"/>
        <v>0</v>
      </c>
      <c r="S959" s="14">
        <f t="shared" si="106"/>
        <v>0</v>
      </c>
      <c r="T959" s="13">
        <f t="shared" si="107"/>
        <v>0</v>
      </c>
      <c r="U959" s="14">
        <f t="shared" si="108"/>
        <v>28.7</v>
      </c>
      <c r="V959" s="14">
        <f t="shared" si="109"/>
        <v>32.800000000000004</v>
      </c>
      <c r="W959" s="1">
        <f t="shared" si="110"/>
        <v>4.3</v>
      </c>
      <c r="X959" s="1" t="str">
        <f>IF(Table1[[#This Row],[World Rank]]&lt;=250,"Q1-Elite",IF(Table1[[#This Row],[World Rank]]&lt;=500,"Q2-Strong",IF(Table1[[#This Row],[World Rank]]&lt;=750,"Q3-Developing","Q4-Emerging")))</f>
        <v>Q4-Emerging</v>
      </c>
    </row>
    <row r="960" spans="1:24" x14ac:dyDescent="0.2">
      <c r="A960" s="1">
        <v>959</v>
      </c>
      <c r="B960" s="1" t="s">
        <v>1037</v>
      </c>
      <c r="C960" s="1" t="s">
        <v>48</v>
      </c>
      <c r="D960" s="1" t="s">
        <v>1124</v>
      </c>
      <c r="E960" s="1">
        <v>57</v>
      </c>
      <c r="F960" s="1">
        <v>272</v>
      </c>
      <c r="G960" s="1">
        <v>1001</v>
      </c>
      <c r="H960" s="1">
        <v>304</v>
      </c>
      <c r="I960" s="1">
        <v>1001</v>
      </c>
      <c r="J960" s="1">
        <v>1001</v>
      </c>
      <c r="K960" s="1">
        <v>726</v>
      </c>
      <c r="L960" s="1">
        <v>541</v>
      </c>
      <c r="M960" s="1">
        <v>70</v>
      </c>
      <c r="N960" s="1">
        <v>46.603354000000003</v>
      </c>
      <c r="O960" s="1">
        <v>1.8883335000000001</v>
      </c>
      <c r="P960" s="14">
        <f t="shared" si="104"/>
        <v>0</v>
      </c>
      <c r="Q960" s="13">
        <f>((667 - F960) / 666) * 100</f>
        <v>59.309309309309313</v>
      </c>
      <c r="R960" s="16">
        <f t="shared" si="105"/>
        <v>0</v>
      </c>
      <c r="S960" s="14">
        <f t="shared" si="106"/>
        <v>0</v>
      </c>
      <c r="T960" s="13">
        <f t="shared" si="107"/>
        <v>0</v>
      </c>
      <c r="U960" s="14">
        <f t="shared" si="108"/>
        <v>27.500000000000004</v>
      </c>
      <c r="V960" s="14">
        <f t="shared" si="109"/>
        <v>46</v>
      </c>
      <c r="W960" s="1">
        <f t="shared" si="110"/>
        <v>4.2</v>
      </c>
      <c r="X960" s="1" t="str">
        <f>IF(Table1[[#This Row],[World Rank]]&lt;=250,"Q1-Elite",IF(Table1[[#This Row],[World Rank]]&lt;=500,"Q2-Strong",IF(Table1[[#This Row],[World Rank]]&lt;=750,"Q3-Developing","Q4-Emerging")))</f>
        <v>Q4-Emerging</v>
      </c>
    </row>
    <row r="961" spans="1:24" x14ac:dyDescent="0.2">
      <c r="A961" s="1">
        <v>960</v>
      </c>
      <c r="B961" s="1" t="s">
        <v>1038</v>
      </c>
      <c r="C961" s="1" t="s">
        <v>124</v>
      </c>
      <c r="D961" s="1" t="s">
        <v>1125</v>
      </c>
      <c r="E961" s="1">
        <v>101</v>
      </c>
      <c r="F961" s="1">
        <v>667</v>
      </c>
      <c r="G961" s="1">
        <v>1001</v>
      </c>
      <c r="H961" s="1">
        <v>304</v>
      </c>
      <c r="I961" s="1">
        <v>722</v>
      </c>
      <c r="J961" s="1">
        <v>886</v>
      </c>
      <c r="K961" s="1">
        <v>1001</v>
      </c>
      <c r="L961" s="1">
        <v>1001</v>
      </c>
      <c r="M961" s="1">
        <v>70</v>
      </c>
      <c r="N961" s="1">
        <v>30.047992000000001</v>
      </c>
      <c r="O961" s="1">
        <v>-94.335743300000004</v>
      </c>
      <c r="P961" s="14">
        <f t="shared" si="104"/>
        <v>11.5</v>
      </c>
      <c r="Q961" s="13">
        <v>20</v>
      </c>
      <c r="R961" s="16">
        <f t="shared" si="105"/>
        <v>0</v>
      </c>
      <c r="S961" s="14">
        <f t="shared" si="106"/>
        <v>0</v>
      </c>
      <c r="T961" s="13">
        <f t="shared" si="107"/>
        <v>27.900000000000002</v>
      </c>
      <c r="U961" s="14">
        <f t="shared" si="108"/>
        <v>0</v>
      </c>
      <c r="V961" s="14">
        <f t="shared" si="109"/>
        <v>0</v>
      </c>
      <c r="W961" s="1">
        <f t="shared" si="110"/>
        <v>4.1000000000000005</v>
      </c>
      <c r="X961" s="1" t="str">
        <f>IF(Table1[[#This Row],[World Rank]]&lt;=250,"Q1-Elite",IF(Table1[[#This Row],[World Rank]]&lt;=500,"Q2-Strong",IF(Table1[[#This Row],[World Rank]]&lt;=750,"Q3-Developing","Q4-Emerging")))</f>
        <v>Q4-Emerging</v>
      </c>
    </row>
    <row r="962" spans="1:24" x14ac:dyDescent="0.2">
      <c r="A962" s="1">
        <v>961</v>
      </c>
      <c r="B962" s="1" t="s">
        <v>1039</v>
      </c>
      <c r="C962" s="1" t="s">
        <v>85</v>
      </c>
      <c r="D962" s="1" t="s">
        <v>1125</v>
      </c>
      <c r="E962" s="1">
        <v>34</v>
      </c>
      <c r="F962" s="1">
        <v>667</v>
      </c>
      <c r="G962" s="1">
        <v>653</v>
      </c>
      <c r="H962" s="1">
        <v>304</v>
      </c>
      <c r="I962" s="1">
        <v>838</v>
      </c>
      <c r="J962" s="1">
        <v>885</v>
      </c>
      <c r="K962" s="1">
        <v>978</v>
      </c>
      <c r="L962" s="1">
        <v>1001</v>
      </c>
      <c r="M962" s="1">
        <v>70</v>
      </c>
      <c r="N962" s="1">
        <v>36.638392000000003</v>
      </c>
      <c r="O962" s="1">
        <v>127.69611879999999</v>
      </c>
      <c r="P962" s="14">
        <f t="shared" ref="P962:P1001" si="111">((1001 - J962) / 1000) * 100</f>
        <v>11.600000000000001</v>
      </c>
      <c r="Q962" s="13">
        <v>20</v>
      </c>
      <c r="R962" s="16">
        <f t="shared" ref="R962:R1001" si="112">(1001 - G962) / 1000 * 100</f>
        <v>34.799999999999997</v>
      </c>
      <c r="S962" s="14">
        <f t="shared" ref="S962:S1001" si="113">(304 - H962) / 303 * 100</f>
        <v>0</v>
      </c>
      <c r="T962" s="13">
        <f t="shared" ref="T962:T1001" si="114">(1001 - I962) / 1000 * 100</f>
        <v>16.3</v>
      </c>
      <c r="U962" s="14">
        <f t="shared" ref="U962:U1001" si="115">(1001 - K962) / 1000 * 100</f>
        <v>2.2999999999999998</v>
      </c>
      <c r="V962" s="14">
        <f t="shared" ref="V962:V1001" si="116">(1001 - L962) / 1000 * 100</f>
        <v>0</v>
      </c>
      <c r="W962" s="1">
        <f t="shared" ref="W962:W1001" si="117">(1001 - A962) / 1000 * 100</f>
        <v>4</v>
      </c>
      <c r="X962" s="1" t="str">
        <f>IF(Table1[[#This Row],[World Rank]]&lt;=250,"Q1-Elite",IF(Table1[[#This Row],[World Rank]]&lt;=500,"Q2-Strong",IF(Table1[[#This Row],[World Rank]]&lt;=750,"Q3-Developing","Q4-Emerging")))</f>
        <v>Q4-Emerging</v>
      </c>
    </row>
    <row r="963" spans="1:24" x14ac:dyDescent="0.2">
      <c r="A963" s="1">
        <v>962</v>
      </c>
      <c r="B963" s="1" t="s">
        <v>1040</v>
      </c>
      <c r="C963" s="1" t="s">
        <v>15</v>
      </c>
      <c r="D963" s="1" t="s">
        <v>1120</v>
      </c>
      <c r="E963" s="1">
        <v>205</v>
      </c>
      <c r="F963" s="1">
        <v>667</v>
      </c>
      <c r="G963" s="1">
        <v>500</v>
      </c>
      <c r="H963" s="1">
        <v>304</v>
      </c>
      <c r="I963" s="1">
        <v>918</v>
      </c>
      <c r="J963" s="1">
        <v>831</v>
      </c>
      <c r="K963" s="1">
        <v>899</v>
      </c>
      <c r="L963" s="1">
        <v>1001</v>
      </c>
      <c r="M963" s="1">
        <v>70</v>
      </c>
      <c r="N963" s="1">
        <v>39.783730400000003</v>
      </c>
      <c r="O963" s="1">
        <v>-100.445882</v>
      </c>
      <c r="P963" s="14">
        <f t="shared" si="111"/>
        <v>17</v>
      </c>
      <c r="Q963" s="13">
        <v>20</v>
      </c>
      <c r="R963" s="16">
        <f t="shared" si="112"/>
        <v>50.1</v>
      </c>
      <c r="S963" s="14">
        <f t="shared" si="113"/>
        <v>0</v>
      </c>
      <c r="T963" s="13">
        <f t="shared" si="114"/>
        <v>8.3000000000000007</v>
      </c>
      <c r="U963" s="14">
        <f t="shared" si="115"/>
        <v>10.199999999999999</v>
      </c>
      <c r="V963" s="14">
        <f t="shared" si="116"/>
        <v>0</v>
      </c>
      <c r="W963" s="1">
        <f t="shared" si="117"/>
        <v>3.9</v>
      </c>
      <c r="X963" s="1" t="str">
        <f>IF(Table1[[#This Row],[World Rank]]&lt;=250,"Q1-Elite",IF(Table1[[#This Row],[World Rank]]&lt;=500,"Q2-Strong",IF(Table1[[#This Row],[World Rank]]&lt;=750,"Q3-Developing","Q4-Emerging")))</f>
        <v>Q4-Emerging</v>
      </c>
    </row>
    <row r="964" spans="1:24" x14ac:dyDescent="0.2">
      <c r="A964" s="1">
        <v>963</v>
      </c>
      <c r="B964" s="1" t="s">
        <v>1041</v>
      </c>
      <c r="C964" s="1" t="s">
        <v>15</v>
      </c>
      <c r="D964" s="1" t="s">
        <v>1120</v>
      </c>
      <c r="E964" s="1">
        <v>206</v>
      </c>
      <c r="F964" s="1">
        <v>395</v>
      </c>
      <c r="G964" s="1">
        <v>1001</v>
      </c>
      <c r="H964" s="1">
        <v>304</v>
      </c>
      <c r="I964" s="1">
        <v>1001</v>
      </c>
      <c r="J964" s="1">
        <v>884</v>
      </c>
      <c r="K964" s="1">
        <v>702</v>
      </c>
      <c r="L964" s="1">
        <v>898</v>
      </c>
      <c r="M964" s="1">
        <v>70</v>
      </c>
      <c r="N964" s="1">
        <v>39.783730400000003</v>
      </c>
      <c r="O964" s="1">
        <v>-100.445882</v>
      </c>
      <c r="P964" s="14">
        <f t="shared" si="111"/>
        <v>11.700000000000001</v>
      </c>
      <c r="Q964" s="13">
        <f>((667 - F964) / 666) * 100</f>
        <v>40.840840840840841</v>
      </c>
      <c r="R964" s="16">
        <f t="shared" si="112"/>
        <v>0</v>
      </c>
      <c r="S964" s="14">
        <f t="shared" si="113"/>
        <v>0</v>
      </c>
      <c r="T964" s="13">
        <f t="shared" si="114"/>
        <v>0</v>
      </c>
      <c r="U964" s="14">
        <f t="shared" si="115"/>
        <v>29.9</v>
      </c>
      <c r="V964" s="14">
        <f t="shared" si="116"/>
        <v>10.299999999999999</v>
      </c>
      <c r="W964" s="1">
        <f t="shared" si="117"/>
        <v>3.8</v>
      </c>
      <c r="X964" s="1" t="str">
        <f>IF(Table1[[#This Row],[World Rank]]&lt;=250,"Q1-Elite",IF(Table1[[#This Row],[World Rank]]&lt;=500,"Q2-Strong",IF(Table1[[#This Row],[World Rank]]&lt;=750,"Q3-Developing","Q4-Emerging")))</f>
        <v>Q4-Emerging</v>
      </c>
    </row>
    <row r="965" spans="1:24" x14ac:dyDescent="0.2">
      <c r="A965" s="1">
        <v>964</v>
      </c>
      <c r="B965" s="1" t="s">
        <v>1042</v>
      </c>
      <c r="C965" s="1" t="s">
        <v>266</v>
      </c>
      <c r="D965" s="1" t="s">
        <v>1122</v>
      </c>
      <c r="E965" s="1">
        <v>7</v>
      </c>
      <c r="F965" s="1">
        <v>591</v>
      </c>
      <c r="G965" s="1">
        <v>1001</v>
      </c>
      <c r="H965" s="1">
        <v>304</v>
      </c>
      <c r="I965" s="1">
        <v>823</v>
      </c>
      <c r="J965" s="1">
        <v>1001</v>
      </c>
      <c r="K965" s="1">
        <v>681</v>
      </c>
      <c r="L965" s="1">
        <v>1001</v>
      </c>
      <c r="M965" s="1">
        <v>70</v>
      </c>
      <c r="N965" s="1">
        <v>-28.8166236</v>
      </c>
      <c r="O965" s="1">
        <v>24.991638999999999</v>
      </c>
      <c r="P965" s="14">
        <f t="shared" si="111"/>
        <v>0</v>
      </c>
      <c r="Q965" s="13">
        <v>20</v>
      </c>
      <c r="R965" s="16">
        <f t="shared" si="112"/>
        <v>0</v>
      </c>
      <c r="S965" s="14">
        <f t="shared" si="113"/>
        <v>0</v>
      </c>
      <c r="T965" s="13">
        <f t="shared" si="114"/>
        <v>17.8</v>
      </c>
      <c r="U965" s="14">
        <f t="shared" si="115"/>
        <v>32</v>
      </c>
      <c r="V965" s="14">
        <f t="shared" si="116"/>
        <v>0</v>
      </c>
      <c r="W965" s="1">
        <f t="shared" si="117"/>
        <v>3.6999999999999997</v>
      </c>
      <c r="X965" s="1" t="str">
        <f>IF(Table1[[#This Row],[World Rank]]&lt;=250,"Q1-Elite",IF(Table1[[#This Row],[World Rank]]&lt;=500,"Q2-Strong",IF(Table1[[#This Row],[World Rank]]&lt;=750,"Q3-Developing","Q4-Emerging")))</f>
        <v>Q4-Emerging</v>
      </c>
    </row>
    <row r="966" spans="1:24" x14ac:dyDescent="0.2">
      <c r="A966" s="1">
        <v>965</v>
      </c>
      <c r="B966" s="1" t="s">
        <v>1043</v>
      </c>
      <c r="C966" s="1" t="s">
        <v>124</v>
      </c>
      <c r="D966" s="1" t="s">
        <v>1125</v>
      </c>
      <c r="E966" s="1">
        <v>102</v>
      </c>
      <c r="F966" s="1">
        <v>667</v>
      </c>
      <c r="G966" s="1">
        <v>1001</v>
      </c>
      <c r="H966" s="1">
        <v>304</v>
      </c>
      <c r="I966" s="1">
        <v>765</v>
      </c>
      <c r="J966" s="1">
        <v>837</v>
      </c>
      <c r="K966" s="1">
        <v>1001</v>
      </c>
      <c r="L966" s="1">
        <v>1001</v>
      </c>
      <c r="M966" s="1">
        <v>70</v>
      </c>
      <c r="N966" s="1">
        <v>30.047992000000001</v>
      </c>
      <c r="O966" s="1">
        <v>-94.335743300000004</v>
      </c>
      <c r="P966" s="14">
        <f t="shared" si="111"/>
        <v>16.400000000000002</v>
      </c>
      <c r="Q966" s="13">
        <v>20</v>
      </c>
      <c r="R966" s="16">
        <f t="shared" si="112"/>
        <v>0</v>
      </c>
      <c r="S966" s="14">
        <f t="shared" si="113"/>
        <v>0</v>
      </c>
      <c r="T966" s="13">
        <f t="shared" si="114"/>
        <v>23.599999999999998</v>
      </c>
      <c r="U966" s="14">
        <f t="shared" si="115"/>
        <v>0</v>
      </c>
      <c r="V966" s="14">
        <f t="shared" si="116"/>
        <v>0</v>
      </c>
      <c r="W966" s="1">
        <f t="shared" si="117"/>
        <v>3.5999999999999996</v>
      </c>
      <c r="X966" s="1" t="str">
        <f>IF(Table1[[#This Row],[World Rank]]&lt;=250,"Q1-Elite",IF(Table1[[#This Row],[World Rank]]&lt;=500,"Q2-Strong",IF(Table1[[#This Row],[World Rank]]&lt;=750,"Q3-Developing","Q4-Emerging")))</f>
        <v>Q4-Emerging</v>
      </c>
    </row>
    <row r="967" spans="1:24" x14ac:dyDescent="0.2">
      <c r="A967" s="1">
        <v>966</v>
      </c>
      <c r="B967" s="1" t="s">
        <v>1044</v>
      </c>
      <c r="C967" s="1" t="s">
        <v>427</v>
      </c>
      <c r="D967" s="1" t="s">
        <v>1125</v>
      </c>
      <c r="E967" s="1">
        <v>11</v>
      </c>
      <c r="F967" s="1">
        <v>667</v>
      </c>
      <c r="G967" s="1">
        <v>1001</v>
      </c>
      <c r="H967" s="1">
        <v>304</v>
      </c>
      <c r="I967" s="1">
        <v>644</v>
      </c>
      <c r="J967" s="1">
        <v>1001</v>
      </c>
      <c r="K967" s="1">
        <v>949</v>
      </c>
      <c r="L967" s="1">
        <v>1001</v>
      </c>
      <c r="M967" s="1">
        <v>70</v>
      </c>
      <c r="N967" s="1">
        <v>2.9368696000000001</v>
      </c>
      <c r="O967" s="1">
        <v>115.4443356</v>
      </c>
      <c r="P967" s="14">
        <f t="shared" si="111"/>
        <v>0</v>
      </c>
      <c r="Q967" s="13">
        <v>20</v>
      </c>
      <c r="R967" s="16">
        <f t="shared" si="112"/>
        <v>0</v>
      </c>
      <c r="S967" s="14">
        <f t="shared" si="113"/>
        <v>0</v>
      </c>
      <c r="T967" s="13">
        <f t="shared" si="114"/>
        <v>35.699999999999996</v>
      </c>
      <c r="U967" s="14">
        <f t="shared" si="115"/>
        <v>5.2</v>
      </c>
      <c r="V967" s="14">
        <f t="shared" si="116"/>
        <v>0</v>
      </c>
      <c r="W967" s="1">
        <f t="shared" si="117"/>
        <v>3.5000000000000004</v>
      </c>
      <c r="X967" s="1" t="str">
        <f>IF(Table1[[#This Row],[World Rank]]&lt;=250,"Q1-Elite",IF(Table1[[#This Row],[World Rank]]&lt;=500,"Q2-Strong",IF(Table1[[#This Row],[World Rank]]&lt;=750,"Q3-Developing","Q4-Emerging")))</f>
        <v>Q4-Emerging</v>
      </c>
    </row>
    <row r="968" spans="1:24" x14ac:dyDescent="0.2">
      <c r="A968" s="1">
        <v>967</v>
      </c>
      <c r="B968" s="1" t="s">
        <v>1045</v>
      </c>
      <c r="C968" s="1" t="s">
        <v>145</v>
      </c>
      <c r="D968" s="1" t="s">
        <v>1125</v>
      </c>
      <c r="E968" s="1">
        <v>16</v>
      </c>
      <c r="F968" s="1">
        <v>667</v>
      </c>
      <c r="G968" s="1">
        <v>893</v>
      </c>
      <c r="H968" s="1">
        <v>304</v>
      </c>
      <c r="I968" s="1">
        <v>930</v>
      </c>
      <c r="J968" s="1">
        <v>911</v>
      </c>
      <c r="K968" s="1">
        <v>1001</v>
      </c>
      <c r="L968" s="1">
        <v>898</v>
      </c>
      <c r="M968" s="1">
        <v>70</v>
      </c>
      <c r="N968" s="1">
        <v>23.598322700000001</v>
      </c>
      <c r="O968" s="2" t="s">
        <v>146</v>
      </c>
      <c r="P968" s="14">
        <f t="shared" si="111"/>
        <v>9</v>
      </c>
      <c r="Q968" s="13">
        <v>20</v>
      </c>
      <c r="R968" s="16">
        <f t="shared" si="112"/>
        <v>10.8</v>
      </c>
      <c r="S968" s="14">
        <f t="shared" si="113"/>
        <v>0</v>
      </c>
      <c r="T968" s="13">
        <f t="shared" si="114"/>
        <v>7.1</v>
      </c>
      <c r="U968" s="14">
        <f t="shared" si="115"/>
        <v>0</v>
      </c>
      <c r="V968" s="14">
        <f t="shared" si="116"/>
        <v>10.299999999999999</v>
      </c>
      <c r="W968" s="1">
        <f t="shared" si="117"/>
        <v>3.4000000000000004</v>
      </c>
      <c r="X968" s="1" t="str">
        <f>IF(Table1[[#This Row],[World Rank]]&lt;=250,"Q1-Elite",IF(Table1[[#This Row],[World Rank]]&lt;=500,"Q2-Strong",IF(Table1[[#This Row],[World Rank]]&lt;=750,"Q3-Developing","Q4-Emerging")))</f>
        <v>Q4-Emerging</v>
      </c>
    </row>
    <row r="969" spans="1:24" x14ac:dyDescent="0.2">
      <c r="A969" s="1">
        <v>968</v>
      </c>
      <c r="B969" s="1" t="s">
        <v>1046</v>
      </c>
      <c r="C969" s="1" t="s">
        <v>48</v>
      </c>
      <c r="D969" s="1" t="s">
        <v>1124</v>
      </c>
      <c r="E969" s="1">
        <v>58</v>
      </c>
      <c r="F969" s="1">
        <v>667</v>
      </c>
      <c r="G969" s="1">
        <v>659</v>
      </c>
      <c r="H969" s="1">
        <v>304</v>
      </c>
      <c r="I969" s="1">
        <v>1001</v>
      </c>
      <c r="J969" s="1">
        <v>871</v>
      </c>
      <c r="K969" s="1">
        <v>777</v>
      </c>
      <c r="L969" s="1">
        <v>898</v>
      </c>
      <c r="M969" s="1">
        <v>70</v>
      </c>
      <c r="N969" s="1">
        <v>46.603354000000003</v>
      </c>
      <c r="O969" s="1">
        <v>1.8883335000000001</v>
      </c>
      <c r="P969" s="14">
        <f t="shared" si="111"/>
        <v>13</v>
      </c>
      <c r="Q969" s="13">
        <v>20</v>
      </c>
      <c r="R969" s="16">
        <f t="shared" si="112"/>
        <v>34.200000000000003</v>
      </c>
      <c r="S969" s="14">
        <f t="shared" si="113"/>
        <v>0</v>
      </c>
      <c r="T969" s="13">
        <f t="shared" si="114"/>
        <v>0</v>
      </c>
      <c r="U969" s="14">
        <f t="shared" si="115"/>
        <v>22.400000000000002</v>
      </c>
      <c r="V969" s="14">
        <f t="shared" si="116"/>
        <v>10.299999999999999</v>
      </c>
      <c r="W969" s="1">
        <f t="shared" si="117"/>
        <v>3.3000000000000003</v>
      </c>
      <c r="X969" s="1" t="str">
        <f>IF(Table1[[#This Row],[World Rank]]&lt;=250,"Q1-Elite",IF(Table1[[#This Row],[World Rank]]&lt;=500,"Q2-Strong",IF(Table1[[#This Row],[World Rank]]&lt;=750,"Q3-Developing","Q4-Emerging")))</f>
        <v>Q4-Emerging</v>
      </c>
    </row>
    <row r="970" spans="1:24" x14ac:dyDescent="0.2">
      <c r="A970" s="1">
        <v>969</v>
      </c>
      <c r="B970" s="1" t="s">
        <v>1047</v>
      </c>
      <c r="C970" s="1" t="s">
        <v>836</v>
      </c>
      <c r="D970" s="1" t="s">
        <v>1123</v>
      </c>
      <c r="E970" s="1">
        <v>3</v>
      </c>
      <c r="F970" s="1">
        <v>667</v>
      </c>
      <c r="G970" s="1">
        <v>1001</v>
      </c>
      <c r="H970" s="1">
        <v>304</v>
      </c>
      <c r="I970" s="1">
        <v>936</v>
      </c>
      <c r="J970" s="1">
        <v>1001</v>
      </c>
      <c r="K970" s="1">
        <v>783</v>
      </c>
      <c r="L970" s="1">
        <v>898</v>
      </c>
      <c r="M970" s="1">
        <v>70</v>
      </c>
      <c r="N970" s="1">
        <v>4.0999169999999996</v>
      </c>
      <c r="O970" s="1">
        <v>-72.908813300000006</v>
      </c>
      <c r="P970" s="14">
        <f t="shared" si="111"/>
        <v>0</v>
      </c>
      <c r="Q970" s="13">
        <v>20</v>
      </c>
      <c r="R970" s="16">
        <f t="shared" si="112"/>
        <v>0</v>
      </c>
      <c r="S970" s="14">
        <f t="shared" si="113"/>
        <v>0</v>
      </c>
      <c r="T970" s="13">
        <f t="shared" si="114"/>
        <v>6.5</v>
      </c>
      <c r="U970" s="14">
        <f t="shared" si="115"/>
        <v>21.8</v>
      </c>
      <c r="V970" s="14">
        <f t="shared" si="116"/>
        <v>10.299999999999999</v>
      </c>
      <c r="W970" s="1">
        <f t="shared" si="117"/>
        <v>3.2</v>
      </c>
      <c r="X970" s="1" t="str">
        <f>IF(Table1[[#This Row],[World Rank]]&lt;=250,"Q1-Elite",IF(Table1[[#This Row],[World Rank]]&lt;=500,"Q2-Strong",IF(Table1[[#This Row],[World Rank]]&lt;=750,"Q3-Developing","Q4-Emerging")))</f>
        <v>Q4-Emerging</v>
      </c>
    </row>
    <row r="971" spans="1:24" x14ac:dyDescent="0.2">
      <c r="A971" s="1">
        <v>970</v>
      </c>
      <c r="B971" s="1" t="s">
        <v>1048</v>
      </c>
      <c r="C971" s="1" t="s">
        <v>124</v>
      </c>
      <c r="D971" s="1" t="s">
        <v>1125</v>
      </c>
      <c r="E971" s="1">
        <v>103</v>
      </c>
      <c r="F971" s="1">
        <v>667</v>
      </c>
      <c r="G971" s="1">
        <v>1001</v>
      </c>
      <c r="H971" s="1">
        <v>304</v>
      </c>
      <c r="I971" s="1">
        <v>1001</v>
      </c>
      <c r="J971" s="1">
        <v>1001</v>
      </c>
      <c r="K971" s="1">
        <v>814</v>
      </c>
      <c r="L971" s="1">
        <v>673</v>
      </c>
      <c r="M971" s="1">
        <v>70</v>
      </c>
      <c r="N971" s="1">
        <v>30.047992000000001</v>
      </c>
      <c r="O971" s="1">
        <v>-94.335743300000004</v>
      </c>
      <c r="P971" s="14">
        <f t="shared" si="111"/>
        <v>0</v>
      </c>
      <c r="Q971" s="13">
        <v>20</v>
      </c>
      <c r="R971" s="16">
        <f t="shared" si="112"/>
        <v>0</v>
      </c>
      <c r="S971" s="14">
        <f t="shared" si="113"/>
        <v>0</v>
      </c>
      <c r="T971" s="13">
        <f t="shared" si="114"/>
        <v>0</v>
      </c>
      <c r="U971" s="14">
        <f t="shared" si="115"/>
        <v>18.7</v>
      </c>
      <c r="V971" s="14">
        <f t="shared" si="116"/>
        <v>32.800000000000004</v>
      </c>
      <c r="W971" s="1">
        <f t="shared" si="117"/>
        <v>3.1</v>
      </c>
      <c r="X971" s="1" t="str">
        <f>IF(Table1[[#This Row],[World Rank]]&lt;=250,"Q1-Elite",IF(Table1[[#This Row],[World Rank]]&lt;=500,"Q2-Strong",IF(Table1[[#This Row],[World Rank]]&lt;=750,"Q3-Developing","Q4-Emerging")))</f>
        <v>Q4-Emerging</v>
      </c>
    </row>
    <row r="972" spans="1:24" x14ac:dyDescent="0.2">
      <c r="A972" s="1">
        <v>971</v>
      </c>
      <c r="B972" s="1" t="s">
        <v>1049</v>
      </c>
      <c r="C972" s="1" t="s">
        <v>145</v>
      </c>
      <c r="D972" s="1" t="s">
        <v>1125</v>
      </c>
      <c r="E972" s="1">
        <v>17</v>
      </c>
      <c r="F972" s="1">
        <v>460</v>
      </c>
      <c r="G972" s="1">
        <v>526</v>
      </c>
      <c r="H972" s="1">
        <v>304</v>
      </c>
      <c r="I972" s="1">
        <v>924</v>
      </c>
      <c r="J972" s="1">
        <v>891</v>
      </c>
      <c r="K972" s="1">
        <v>1001</v>
      </c>
      <c r="L972" s="1">
        <v>898</v>
      </c>
      <c r="M972" s="1">
        <v>69.900000000000006</v>
      </c>
      <c r="N972" s="1">
        <v>23.598322700000001</v>
      </c>
      <c r="O972" s="2" t="s">
        <v>146</v>
      </c>
      <c r="P972" s="14">
        <f t="shared" si="111"/>
        <v>11</v>
      </c>
      <c r="Q972" s="13">
        <f>((667 - F972) / 666) * 100</f>
        <v>31.081081081081081</v>
      </c>
      <c r="R972" s="16">
        <f t="shared" si="112"/>
        <v>47.5</v>
      </c>
      <c r="S972" s="14">
        <f t="shared" si="113"/>
        <v>0</v>
      </c>
      <c r="T972" s="13">
        <f t="shared" si="114"/>
        <v>7.7</v>
      </c>
      <c r="U972" s="14">
        <f t="shared" si="115"/>
        <v>0</v>
      </c>
      <c r="V972" s="14">
        <f t="shared" si="116"/>
        <v>10.299999999999999</v>
      </c>
      <c r="W972" s="1">
        <f t="shared" si="117"/>
        <v>3</v>
      </c>
      <c r="X972" s="1" t="str">
        <f>IF(Table1[[#This Row],[World Rank]]&lt;=250,"Q1-Elite",IF(Table1[[#This Row],[World Rank]]&lt;=500,"Q2-Strong",IF(Table1[[#This Row],[World Rank]]&lt;=750,"Q3-Developing","Q4-Emerging")))</f>
        <v>Q4-Emerging</v>
      </c>
    </row>
    <row r="973" spans="1:24" x14ac:dyDescent="0.2">
      <c r="A973" s="1">
        <v>972</v>
      </c>
      <c r="B973" s="1" t="s">
        <v>1050</v>
      </c>
      <c r="C973" s="1" t="s">
        <v>124</v>
      </c>
      <c r="D973" s="1" t="s">
        <v>1125</v>
      </c>
      <c r="E973" s="1">
        <v>104</v>
      </c>
      <c r="F973" s="1">
        <v>667</v>
      </c>
      <c r="G973" s="1">
        <v>1001</v>
      </c>
      <c r="H973" s="1">
        <v>304</v>
      </c>
      <c r="I973" s="1">
        <v>864</v>
      </c>
      <c r="J973" s="1">
        <v>913</v>
      </c>
      <c r="K973" s="1">
        <v>880</v>
      </c>
      <c r="L973" s="1">
        <v>1001</v>
      </c>
      <c r="M973" s="1">
        <v>69.900000000000006</v>
      </c>
      <c r="N973" s="1">
        <v>30.047992000000001</v>
      </c>
      <c r="O973" s="1">
        <v>-94.335743300000004</v>
      </c>
      <c r="P973" s="14">
        <f t="shared" si="111"/>
        <v>8.7999999999999989</v>
      </c>
      <c r="Q973" s="13">
        <v>20</v>
      </c>
      <c r="R973" s="16">
        <f t="shared" si="112"/>
        <v>0</v>
      </c>
      <c r="S973" s="14">
        <f t="shared" si="113"/>
        <v>0</v>
      </c>
      <c r="T973" s="13">
        <f t="shared" si="114"/>
        <v>13.700000000000001</v>
      </c>
      <c r="U973" s="14">
        <f t="shared" si="115"/>
        <v>12.1</v>
      </c>
      <c r="V973" s="14">
        <f t="shared" si="116"/>
        <v>0</v>
      </c>
      <c r="W973" s="1">
        <f t="shared" si="117"/>
        <v>2.9000000000000004</v>
      </c>
      <c r="X973" s="1" t="str">
        <f>IF(Table1[[#This Row],[World Rank]]&lt;=250,"Q1-Elite",IF(Table1[[#This Row],[World Rank]]&lt;=500,"Q2-Strong",IF(Table1[[#This Row],[World Rank]]&lt;=750,"Q3-Developing","Q4-Emerging")))</f>
        <v>Q4-Emerging</v>
      </c>
    </row>
    <row r="974" spans="1:24" x14ac:dyDescent="0.2">
      <c r="A974" s="1">
        <v>973</v>
      </c>
      <c r="B974" s="1" t="s">
        <v>1051</v>
      </c>
      <c r="C974" s="1" t="s">
        <v>15</v>
      </c>
      <c r="D974" s="1" t="s">
        <v>1120</v>
      </c>
      <c r="E974" s="1">
        <v>207</v>
      </c>
      <c r="F974" s="1">
        <v>21</v>
      </c>
      <c r="G974" s="1">
        <v>66</v>
      </c>
      <c r="H974" s="1">
        <v>304</v>
      </c>
      <c r="I974" s="1">
        <v>1001</v>
      </c>
      <c r="J974" s="1">
        <v>1001</v>
      </c>
      <c r="K974" s="1">
        <v>983</v>
      </c>
      <c r="L974" s="1">
        <v>1001</v>
      </c>
      <c r="M974" s="1">
        <v>69.900000000000006</v>
      </c>
      <c r="N974" s="1">
        <v>39.783730400000003</v>
      </c>
      <c r="O974" s="1">
        <v>-100.445882</v>
      </c>
      <c r="P974" s="14">
        <f t="shared" si="111"/>
        <v>0</v>
      </c>
      <c r="Q974" s="13">
        <f>((667 - F974) / 666) * 100</f>
        <v>96.996996996996998</v>
      </c>
      <c r="R974" s="16">
        <f t="shared" si="112"/>
        <v>93.5</v>
      </c>
      <c r="S974" s="14">
        <f t="shared" si="113"/>
        <v>0</v>
      </c>
      <c r="T974" s="13">
        <f t="shared" si="114"/>
        <v>0</v>
      </c>
      <c r="U974" s="14">
        <f t="shared" si="115"/>
        <v>1.7999999999999998</v>
      </c>
      <c r="V974" s="14">
        <f t="shared" si="116"/>
        <v>0</v>
      </c>
      <c r="W974" s="1">
        <f t="shared" si="117"/>
        <v>2.8000000000000003</v>
      </c>
      <c r="X974" s="1" t="str">
        <f>IF(Table1[[#This Row],[World Rank]]&lt;=250,"Q1-Elite",IF(Table1[[#This Row],[World Rank]]&lt;=500,"Q2-Strong",IF(Table1[[#This Row],[World Rank]]&lt;=750,"Q3-Developing","Q4-Emerging")))</f>
        <v>Q4-Emerging</v>
      </c>
    </row>
    <row r="975" spans="1:24" x14ac:dyDescent="0.2">
      <c r="A975" s="1">
        <v>974</v>
      </c>
      <c r="B975" s="1" t="s">
        <v>1052</v>
      </c>
      <c r="C975" s="1" t="s">
        <v>124</v>
      </c>
      <c r="D975" s="1" t="s">
        <v>1125</v>
      </c>
      <c r="E975" s="1">
        <v>105</v>
      </c>
      <c r="F975" s="1">
        <v>667</v>
      </c>
      <c r="G975" s="1">
        <v>1001</v>
      </c>
      <c r="H975" s="1">
        <v>304</v>
      </c>
      <c r="I975" s="1">
        <v>867</v>
      </c>
      <c r="J975" s="1">
        <v>951</v>
      </c>
      <c r="K975" s="1">
        <v>759</v>
      </c>
      <c r="L975" s="1">
        <v>1001</v>
      </c>
      <c r="M975" s="1">
        <v>69.900000000000006</v>
      </c>
      <c r="N975" s="1">
        <v>30.047992000000001</v>
      </c>
      <c r="O975" s="1">
        <v>-94.335743300000004</v>
      </c>
      <c r="P975" s="14">
        <f t="shared" si="111"/>
        <v>5</v>
      </c>
      <c r="Q975" s="13">
        <v>20</v>
      </c>
      <c r="R975" s="16">
        <f t="shared" si="112"/>
        <v>0</v>
      </c>
      <c r="S975" s="14">
        <f t="shared" si="113"/>
        <v>0</v>
      </c>
      <c r="T975" s="13">
        <f t="shared" si="114"/>
        <v>13.4</v>
      </c>
      <c r="U975" s="14">
        <f t="shared" si="115"/>
        <v>24.2</v>
      </c>
      <c r="V975" s="14">
        <f t="shared" si="116"/>
        <v>0</v>
      </c>
      <c r="W975" s="1">
        <f t="shared" si="117"/>
        <v>2.7</v>
      </c>
      <c r="X975" s="1" t="str">
        <f>IF(Table1[[#This Row],[World Rank]]&lt;=250,"Q1-Elite",IF(Table1[[#This Row],[World Rank]]&lt;=500,"Q2-Strong",IF(Table1[[#This Row],[World Rank]]&lt;=750,"Q3-Developing","Q4-Emerging")))</f>
        <v>Q4-Emerging</v>
      </c>
    </row>
    <row r="976" spans="1:24" x14ac:dyDescent="0.2">
      <c r="A976" s="1">
        <v>975</v>
      </c>
      <c r="B976" s="1" t="s">
        <v>1053</v>
      </c>
      <c r="C976" s="1" t="s">
        <v>212</v>
      </c>
      <c r="D976" s="1" t="s">
        <v>1124</v>
      </c>
      <c r="E976" s="1">
        <v>11</v>
      </c>
      <c r="F976" s="1">
        <v>667</v>
      </c>
      <c r="G976" s="1">
        <v>1001</v>
      </c>
      <c r="H976" s="1">
        <v>304</v>
      </c>
      <c r="I976" s="1">
        <v>947</v>
      </c>
      <c r="J976" s="1">
        <v>853</v>
      </c>
      <c r="K976" s="1">
        <v>825</v>
      </c>
      <c r="L976" s="1">
        <v>1001</v>
      </c>
      <c r="M976" s="1">
        <v>69.900000000000006</v>
      </c>
      <c r="N976" s="1">
        <v>47.593969999999999</v>
      </c>
      <c r="O976" s="1">
        <v>14.124560000000001</v>
      </c>
      <c r="P976" s="14">
        <f t="shared" si="111"/>
        <v>14.799999999999999</v>
      </c>
      <c r="Q976" s="13">
        <v>20</v>
      </c>
      <c r="R976" s="16">
        <f t="shared" si="112"/>
        <v>0</v>
      </c>
      <c r="S976" s="14">
        <f t="shared" si="113"/>
        <v>0</v>
      </c>
      <c r="T976" s="13">
        <f t="shared" si="114"/>
        <v>5.4</v>
      </c>
      <c r="U976" s="14">
        <f t="shared" si="115"/>
        <v>17.599999999999998</v>
      </c>
      <c r="V976" s="14">
        <f t="shared" si="116"/>
        <v>0</v>
      </c>
      <c r="W976" s="1">
        <f t="shared" si="117"/>
        <v>2.6</v>
      </c>
      <c r="X976" s="1" t="str">
        <f>IF(Table1[[#This Row],[World Rank]]&lt;=250,"Q1-Elite",IF(Table1[[#This Row],[World Rank]]&lt;=500,"Q2-Strong",IF(Table1[[#This Row],[World Rank]]&lt;=750,"Q3-Developing","Q4-Emerging")))</f>
        <v>Q4-Emerging</v>
      </c>
    </row>
    <row r="977" spans="1:24" x14ac:dyDescent="0.2">
      <c r="A977" s="1">
        <v>976</v>
      </c>
      <c r="B977" s="1" t="s">
        <v>1054</v>
      </c>
      <c r="C977" s="1" t="s">
        <v>15</v>
      </c>
      <c r="D977" s="1" t="s">
        <v>1120</v>
      </c>
      <c r="E977" s="1">
        <v>208</v>
      </c>
      <c r="F977" s="1">
        <v>667</v>
      </c>
      <c r="G977" s="1">
        <v>1001</v>
      </c>
      <c r="H977" s="1">
        <v>304</v>
      </c>
      <c r="I977" s="1">
        <v>1001</v>
      </c>
      <c r="J977" s="1">
        <v>913</v>
      </c>
      <c r="K977" s="1">
        <v>719</v>
      </c>
      <c r="L977" s="1">
        <v>898</v>
      </c>
      <c r="M977" s="1">
        <v>69.900000000000006</v>
      </c>
      <c r="N977" s="1">
        <v>39.783730400000003</v>
      </c>
      <c r="O977" s="1">
        <v>-100.445882</v>
      </c>
      <c r="P977" s="14">
        <f t="shared" si="111"/>
        <v>8.7999999999999989</v>
      </c>
      <c r="Q977" s="13">
        <v>20</v>
      </c>
      <c r="R977" s="16">
        <f t="shared" si="112"/>
        <v>0</v>
      </c>
      <c r="S977" s="14">
        <f t="shared" si="113"/>
        <v>0</v>
      </c>
      <c r="T977" s="13">
        <f t="shared" si="114"/>
        <v>0</v>
      </c>
      <c r="U977" s="14">
        <f t="shared" si="115"/>
        <v>28.199999999999996</v>
      </c>
      <c r="V977" s="14">
        <f t="shared" si="116"/>
        <v>10.299999999999999</v>
      </c>
      <c r="W977" s="1">
        <f t="shared" si="117"/>
        <v>2.5</v>
      </c>
      <c r="X977" s="1" t="str">
        <f>IF(Table1[[#This Row],[World Rank]]&lt;=250,"Q1-Elite",IF(Table1[[#This Row],[World Rank]]&lt;=500,"Q2-Strong",IF(Table1[[#This Row],[World Rank]]&lt;=750,"Q3-Developing","Q4-Emerging")))</f>
        <v>Q4-Emerging</v>
      </c>
    </row>
    <row r="978" spans="1:24" x14ac:dyDescent="0.2">
      <c r="A978" s="1">
        <v>977</v>
      </c>
      <c r="B978" s="1" t="s">
        <v>1055</v>
      </c>
      <c r="C978" s="1" t="s">
        <v>15</v>
      </c>
      <c r="D978" s="1" t="s">
        <v>1120</v>
      </c>
      <c r="E978" s="1">
        <v>209</v>
      </c>
      <c r="F978" s="1">
        <v>667</v>
      </c>
      <c r="G978" s="1">
        <v>392</v>
      </c>
      <c r="H978" s="1">
        <v>304</v>
      </c>
      <c r="I978" s="1">
        <v>916</v>
      </c>
      <c r="J978" s="1">
        <v>827</v>
      </c>
      <c r="K978" s="1">
        <v>1001</v>
      </c>
      <c r="L978" s="1">
        <v>1001</v>
      </c>
      <c r="M978" s="1">
        <v>69.900000000000006</v>
      </c>
      <c r="N978" s="1">
        <v>39.783730400000003</v>
      </c>
      <c r="O978" s="1">
        <v>-100.445882</v>
      </c>
      <c r="P978" s="14">
        <f t="shared" si="111"/>
        <v>17.399999999999999</v>
      </c>
      <c r="Q978" s="13">
        <v>20</v>
      </c>
      <c r="R978" s="16">
        <f t="shared" si="112"/>
        <v>60.9</v>
      </c>
      <c r="S978" s="14">
        <f t="shared" si="113"/>
        <v>0</v>
      </c>
      <c r="T978" s="13">
        <f t="shared" si="114"/>
        <v>8.5</v>
      </c>
      <c r="U978" s="14">
        <f t="shared" si="115"/>
        <v>0</v>
      </c>
      <c r="V978" s="14">
        <f t="shared" si="116"/>
        <v>0</v>
      </c>
      <c r="W978" s="1">
        <f t="shared" si="117"/>
        <v>2.4</v>
      </c>
      <c r="X978" s="1" t="str">
        <f>IF(Table1[[#This Row],[World Rank]]&lt;=250,"Q1-Elite",IF(Table1[[#This Row],[World Rank]]&lt;=500,"Q2-Strong",IF(Table1[[#This Row],[World Rank]]&lt;=750,"Q3-Developing","Q4-Emerging")))</f>
        <v>Q4-Emerging</v>
      </c>
    </row>
    <row r="979" spans="1:24" x14ac:dyDescent="0.2">
      <c r="A979" s="1">
        <v>978</v>
      </c>
      <c r="B979" s="1" t="s">
        <v>1056</v>
      </c>
      <c r="C979" s="1" t="s">
        <v>425</v>
      </c>
      <c r="D979" s="1" t="s">
        <v>1124</v>
      </c>
      <c r="E979" s="1">
        <v>2</v>
      </c>
      <c r="F979" s="1">
        <v>667</v>
      </c>
      <c r="G979" s="1">
        <v>1001</v>
      </c>
      <c r="H979" s="1">
        <v>304</v>
      </c>
      <c r="I979" s="1">
        <v>871</v>
      </c>
      <c r="J979" s="1">
        <v>1001</v>
      </c>
      <c r="K979" s="1">
        <v>1001</v>
      </c>
      <c r="L979" s="1">
        <v>898</v>
      </c>
      <c r="M979" s="1">
        <v>69.900000000000006</v>
      </c>
      <c r="N979" s="1">
        <v>46.119944400000001</v>
      </c>
      <c r="O979" s="1">
        <v>14.815333300000001</v>
      </c>
      <c r="P979" s="14">
        <f t="shared" si="111"/>
        <v>0</v>
      </c>
      <c r="Q979" s="13">
        <v>20</v>
      </c>
      <c r="R979" s="16">
        <f t="shared" si="112"/>
        <v>0</v>
      </c>
      <c r="S979" s="14">
        <f t="shared" si="113"/>
        <v>0</v>
      </c>
      <c r="T979" s="13">
        <f t="shared" si="114"/>
        <v>13</v>
      </c>
      <c r="U979" s="14">
        <f t="shared" si="115"/>
        <v>0</v>
      </c>
      <c r="V979" s="14">
        <f t="shared" si="116"/>
        <v>10.299999999999999</v>
      </c>
      <c r="W979" s="1">
        <f t="shared" si="117"/>
        <v>2.2999999999999998</v>
      </c>
      <c r="X979" s="1" t="str">
        <f>IF(Table1[[#This Row],[World Rank]]&lt;=250,"Q1-Elite",IF(Table1[[#This Row],[World Rank]]&lt;=500,"Q2-Strong",IF(Table1[[#This Row],[World Rank]]&lt;=750,"Q3-Developing","Q4-Emerging")))</f>
        <v>Q4-Emerging</v>
      </c>
    </row>
    <row r="980" spans="1:24" x14ac:dyDescent="0.2">
      <c r="A980" s="1">
        <v>979</v>
      </c>
      <c r="B980" s="1" t="s">
        <v>1057</v>
      </c>
      <c r="C980" s="1" t="s">
        <v>591</v>
      </c>
      <c r="D980" s="1" t="s">
        <v>1125</v>
      </c>
      <c r="E980" s="1">
        <v>13</v>
      </c>
      <c r="F980" s="1">
        <v>667</v>
      </c>
      <c r="G980" s="1">
        <v>1001</v>
      </c>
      <c r="H980" s="1">
        <v>304</v>
      </c>
      <c r="I980" s="1">
        <v>674</v>
      </c>
      <c r="J980" s="1">
        <v>1001</v>
      </c>
      <c r="K980" s="1">
        <v>1001</v>
      </c>
      <c r="L980" s="1">
        <v>898</v>
      </c>
      <c r="M980" s="1">
        <v>69.900000000000006</v>
      </c>
      <c r="N980" s="1">
        <v>38.959759400000003</v>
      </c>
      <c r="O980" s="1">
        <v>34.924965299999997</v>
      </c>
      <c r="P980" s="14">
        <f t="shared" si="111"/>
        <v>0</v>
      </c>
      <c r="Q980" s="13">
        <v>20</v>
      </c>
      <c r="R980" s="16">
        <f t="shared" si="112"/>
        <v>0</v>
      </c>
      <c r="S980" s="14">
        <f t="shared" si="113"/>
        <v>0</v>
      </c>
      <c r="T980" s="13">
        <f t="shared" si="114"/>
        <v>32.700000000000003</v>
      </c>
      <c r="U980" s="14">
        <f t="shared" si="115"/>
        <v>0</v>
      </c>
      <c r="V980" s="14">
        <f t="shared" si="116"/>
        <v>10.299999999999999</v>
      </c>
      <c r="W980" s="1">
        <f t="shared" si="117"/>
        <v>2.1999999999999997</v>
      </c>
      <c r="X980" s="1" t="str">
        <f>IF(Table1[[#This Row],[World Rank]]&lt;=250,"Q1-Elite",IF(Table1[[#This Row],[World Rank]]&lt;=500,"Q2-Strong",IF(Table1[[#This Row],[World Rank]]&lt;=750,"Q3-Developing","Q4-Emerging")))</f>
        <v>Q4-Emerging</v>
      </c>
    </row>
    <row r="981" spans="1:24" x14ac:dyDescent="0.2">
      <c r="A981" s="1">
        <v>980</v>
      </c>
      <c r="B981" s="1" t="s">
        <v>1058</v>
      </c>
      <c r="C981" s="1" t="s">
        <v>15</v>
      </c>
      <c r="D981" s="1" t="s">
        <v>1120</v>
      </c>
      <c r="E981" s="1">
        <v>210</v>
      </c>
      <c r="F981" s="1">
        <v>667</v>
      </c>
      <c r="G981" s="1">
        <v>1001</v>
      </c>
      <c r="H981" s="1">
        <v>304</v>
      </c>
      <c r="I981" s="1">
        <v>1001</v>
      </c>
      <c r="J981" s="1">
        <v>1001</v>
      </c>
      <c r="K981" s="1">
        <v>792</v>
      </c>
      <c r="L981" s="1">
        <v>327</v>
      </c>
      <c r="M981" s="1">
        <v>69.900000000000006</v>
      </c>
      <c r="N981" s="1">
        <v>39.783730400000003</v>
      </c>
      <c r="O981" s="1">
        <v>-100.445882</v>
      </c>
      <c r="P981" s="14">
        <f t="shared" si="111"/>
        <v>0</v>
      </c>
      <c r="Q981" s="13">
        <v>20</v>
      </c>
      <c r="R981" s="16">
        <f t="shared" si="112"/>
        <v>0</v>
      </c>
      <c r="S981" s="14">
        <f t="shared" si="113"/>
        <v>0</v>
      </c>
      <c r="T981" s="13">
        <f t="shared" si="114"/>
        <v>0</v>
      </c>
      <c r="U981" s="14">
        <f t="shared" si="115"/>
        <v>20.9</v>
      </c>
      <c r="V981" s="14">
        <f t="shared" si="116"/>
        <v>67.400000000000006</v>
      </c>
      <c r="W981" s="1">
        <f t="shared" si="117"/>
        <v>2.1</v>
      </c>
      <c r="X981" s="1" t="str">
        <f>IF(Table1[[#This Row],[World Rank]]&lt;=250,"Q1-Elite",IF(Table1[[#This Row],[World Rank]]&lt;=500,"Q2-Strong",IF(Table1[[#This Row],[World Rank]]&lt;=750,"Q3-Developing","Q4-Emerging")))</f>
        <v>Q4-Emerging</v>
      </c>
    </row>
    <row r="982" spans="1:24" x14ac:dyDescent="0.2">
      <c r="A982" s="1">
        <v>981</v>
      </c>
      <c r="B982" s="1" t="s">
        <v>1059</v>
      </c>
      <c r="C982" s="1" t="s">
        <v>15</v>
      </c>
      <c r="D982" s="1" t="s">
        <v>1120</v>
      </c>
      <c r="E982" s="1">
        <v>211</v>
      </c>
      <c r="F982" s="1">
        <v>667</v>
      </c>
      <c r="G982" s="1">
        <v>1001</v>
      </c>
      <c r="H982" s="1">
        <v>304</v>
      </c>
      <c r="I982" s="1">
        <v>1001</v>
      </c>
      <c r="J982" s="1">
        <v>938</v>
      </c>
      <c r="K982" s="1">
        <v>1001</v>
      </c>
      <c r="L982" s="1">
        <v>673</v>
      </c>
      <c r="M982" s="1">
        <v>69.900000000000006</v>
      </c>
      <c r="N982" s="1">
        <v>39.783730400000003</v>
      </c>
      <c r="O982" s="1">
        <v>-100.445882</v>
      </c>
      <c r="P982" s="14">
        <f t="shared" si="111"/>
        <v>6.3</v>
      </c>
      <c r="Q982" s="13">
        <v>20</v>
      </c>
      <c r="R982" s="16">
        <f t="shared" si="112"/>
        <v>0</v>
      </c>
      <c r="S982" s="14">
        <f t="shared" si="113"/>
        <v>0</v>
      </c>
      <c r="T982" s="13">
        <f t="shared" si="114"/>
        <v>0</v>
      </c>
      <c r="U982" s="14">
        <f t="shared" si="115"/>
        <v>0</v>
      </c>
      <c r="V982" s="14">
        <f t="shared" si="116"/>
        <v>32.800000000000004</v>
      </c>
      <c r="W982" s="1">
        <f t="shared" si="117"/>
        <v>2</v>
      </c>
      <c r="X982" s="1" t="str">
        <f>IF(Table1[[#This Row],[World Rank]]&lt;=250,"Q1-Elite",IF(Table1[[#This Row],[World Rank]]&lt;=500,"Q2-Strong",IF(Table1[[#This Row],[World Rank]]&lt;=750,"Q3-Developing","Q4-Emerging")))</f>
        <v>Q4-Emerging</v>
      </c>
    </row>
    <row r="983" spans="1:24" x14ac:dyDescent="0.2">
      <c r="A983" s="1">
        <v>982</v>
      </c>
      <c r="B983" s="1" t="s">
        <v>1060</v>
      </c>
      <c r="C983" s="1" t="s">
        <v>124</v>
      </c>
      <c r="D983" s="1" t="s">
        <v>1125</v>
      </c>
      <c r="E983" s="1">
        <v>106</v>
      </c>
      <c r="F983" s="1">
        <v>667</v>
      </c>
      <c r="G983" s="1">
        <v>1001</v>
      </c>
      <c r="H983" s="1">
        <v>304</v>
      </c>
      <c r="I983" s="1">
        <v>837</v>
      </c>
      <c r="J983" s="1">
        <v>840</v>
      </c>
      <c r="K983" s="1">
        <v>1001</v>
      </c>
      <c r="L983" s="1">
        <v>1001</v>
      </c>
      <c r="M983" s="1">
        <v>69.900000000000006</v>
      </c>
      <c r="N983" s="1">
        <v>30.047992000000001</v>
      </c>
      <c r="O983" s="1">
        <v>-94.335743300000004</v>
      </c>
      <c r="P983" s="14">
        <f t="shared" si="111"/>
        <v>16.100000000000001</v>
      </c>
      <c r="Q983" s="13">
        <v>20</v>
      </c>
      <c r="R983" s="16">
        <f t="shared" si="112"/>
        <v>0</v>
      </c>
      <c r="S983" s="14">
        <f t="shared" si="113"/>
        <v>0</v>
      </c>
      <c r="T983" s="13">
        <f t="shared" si="114"/>
        <v>16.400000000000002</v>
      </c>
      <c r="U983" s="14">
        <f t="shared" si="115"/>
        <v>0</v>
      </c>
      <c r="V983" s="14">
        <f t="shared" si="116"/>
        <v>0</v>
      </c>
      <c r="W983" s="1">
        <f t="shared" si="117"/>
        <v>1.9</v>
      </c>
      <c r="X983" s="1" t="str">
        <f>IF(Table1[[#This Row],[World Rank]]&lt;=250,"Q1-Elite",IF(Table1[[#This Row],[World Rank]]&lt;=500,"Q2-Strong",IF(Table1[[#This Row],[World Rank]]&lt;=750,"Q3-Developing","Q4-Emerging")))</f>
        <v>Q4-Emerging</v>
      </c>
    </row>
    <row r="984" spans="1:24" x14ac:dyDescent="0.2">
      <c r="A984" s="1">
        <v>983</v>
      </c>
      <c r="B984" s="1" t="s">
        <v>1061</v>
      </c>
      <c r="C984" s="1" t="s">
        <v>19</v>
      </c>
      <c r="D984" s="1" t="s">
        <v>1124</v>
      </c>
      <c r="E984" s="1">
        <v>60</v>
      </c>
      <c r="F984" s="1">
        <v>667</v>
      </c>
      <c r="G984" s="1">
        <v>1001</v>
      </c>
      <c r="H984" s="1">
        <v>304</v>
      </c>
      <c r="I984" s="1">
        <v>1001</v>
      </c>
      <c r="J984" s="1">
        <v>920</v>
      </c>
      <c r="K984" s="1">
        <v>508</v>
      </c>
      <c r="L984" s="1">
        <v>898</v>
      </c>
      <c r="M984" s="1">
        <v>69.900000000000006</v>
      </c>
      <c r="N984" s="1">
        <v>54.702354499999998</v>
      </c>
      <c r="O984" s="1">
        <v>-3.2765753000000002</v>
      </c>
      <c r="P984" s="14">
        <f t="shared" si="111"/>
        <v>8.1</v>
      </c>
      <c r="Q984" s="13">
        <v>20</v>
      </c>
      <c r="R984" s="16">
        <f t="shared" si="112"/>
        <v>0</v>
      </c>
      <c r="S984" s="14">
        <f t="shared" si="113"/>
        <v>0</v>
      </c>
      <c r="T984" s="13">
        <f t="shared" si="114"/>
        <v>0</v>
      </c>
      <c r="U984" s="14">
        <f t="shared" si="115"/>
        <v>49.3</v>
      </c>
      <c r="V984" s="14">
        <f t="shared" si="116"/>
        <v>10.299999999999999</v>
      </c>
      <c r="W984" s="1">
        <f t="shared" si="117"/>
        <v>1.7999999999999998</v>
      </c>
      <c r="X984" s="1" t="str">
        <f>IF(Table1[[#This Row],[World Rank]]&lt;=250,"Q1-Elite",IF(Table1[[#This Row],[World Rank]]&lt;=500,"Q2-Strong",IF(Table1[[#This Row],[World Rank]]&lt;=750,"Q3-Developing","Q4-Emerging")))</f>
        <v>Q4-Emerging</v>
      </c>
    </row>
    <row r="985" spans="1:24" x14ac:dyDescent="0.2">
      <c r="A985" s="1">
        <v>984</v>
      </c>
      <c r="B985" s="1" t="s">
        <v>1062</v>
      </c>
      <c r="C985" s="1" t="s">
        <v>19</v>
      </c>
      <c r="D985" s="1" t="s">
        <v>1124</v>
      </c>
      <c r="E985" s="1">
        <v>61</v>
      </c>
      <c r="F985" s="1">
        <v>667</v>
      </c>
      <c r="G985" s="1">
        <v>1001</v>
      </c>
      <c r="H985" s="1">
        <v>304</v>
      </c>
      <c r="I985" s="1">
        <v>1001</v>
      </c>
      <c r="J985" s="1">
        <v>873</v>
      </c>
      <c r="K985" s="1">
        <v>727</v>
      </c>
      <c r="L985" s="1">
        <v>1001</v>
      </c>
      <c r="M985" s="1">
        <v>69.900000000000006</v>
      </c>
      <c r="N985" s="1">
        <v>54.702354499999998</v>
      </c>
      <c r="O985" s="1">
        <v>-3.2765753000000002</v>
      </c>
      <c r="P985" s="14">
        <f t="shared" si="111"/>
        <v>12.8</v>
      </c>
      <c r="Q985" s="13">
        <v>20</v>
      </c>
      <c r="R985" s="16">
        <f t="shared" si="112"/>
        <v>0</v>
      </c>
      <c r="S985" s="14">
        <f t="shared" si="113"/>
        <v>0</v>
      </c>
      <c r="T985" s="13">
        <f t="shared" si="114"/>
        <v>0</v>
      </c>
      <c r="U985" s="14">
        <f t="shared" si="115"/>
        <v>27.400000000000002</v>
      </c>
      <c r="V985" s="14">
        <f t="shared" si="116"/>
        <v>0</v>
      </c>
      <c r="W985" s="1">
        <f t="shared" si="117"/>
        <v>1.7000000000000002</v>
      </c>
      <c r="X985" s="1" t="str">
        <f>IF(Table1[[#This Row],[World Rank]]&lt;=250,"Q1-Elite",IF(Table1[[#This Row],[World Rank]]&lt;=500,"Q2-Strong",IF(Table1[[#This Row],[World Rank]]&lt;=750,"Q3-Developing","Q4-Emerging")))</f>
        <v>Q4-Emerging</v>
      </c>
    </row>
    <row r="986" spans="1:24" x14ac:dyDescent="0.2">
      <c r="A986" s="1">
        <v>985</v>
      </c>
      <c r="B986" s="1" t="s">
        <v>1063</v>
      </c>
      <c r="C986" s="1" t="s">
        <v>107</v>
      </c>
      <c r="D986" s="1" t="s">
        <v>1123</v>
      </c>
      <c r="E986" s="1">
        <v>20</v>
      </c>
      <c r="F986" s="1">
        <v>602</v>
      </c>
      <c r="G986" s="1">
        <v>1001</v>
      </c>
      <c r="H986" s="1">
        <v>304</v>
      </c>
      <c r="I986" s="1">
        <v>793</v>
      </c>
      <c r="J986" s="1">
        <v>981</v>
      </c>
      <c r="K986" s="1">
        <v>985</v>
      </c>
      <c r="L986" s="1">
        <v>1001</v>
      </c>
      <c r="M986" s="1">
        <v>69.900000000000006</v>
      </c>
      <c r="N986" s="1">
        <v>-10.3333333</v>
      </c>
      <c r="O986" s="1">
        <v>-53.2</v>
      </c>
      <c r="P986" s="14">
        <f t="shared" si="111"/>
        <v>2</v>
      </c>
      <c r="Q986" s="13">
        <v>20</v>
      </c>
      <c r="R986" s="16">
        <f t="shared" si="112"/>
        <v>0</v>
      </c>
      <c r="S986" s="14">
        <f t="shared" si="113"/>
        <v>0</v>
      </c>
      <c r="T986" s="13">
        <f t="shared" si="114"/>
        <v>20.8</v>
      </c>
      <c r="U986" s="14">
        <f t="shared" si="115"/>
        <v>1.6</v>
      </c>
      <c r="V986" s="14">
        <f t="shared" si="116"/>
        <v>0</v>
      </c>
      <c r="W986" s="1">
        <f t="shared" si="117"/>
        <v>1.6</v>
      </c>
      <c r="X986" s="1" t="str">
        <f>IF(Table1[[#This Row],[World Rank]]&lt;=250,"Q1-Elite",IF(Table1[[#This Row],[World Rank]]&lt;=500,"Q2-Strong",IF(Table1[[#This Row],[World Rank]]&lt;=750,"Q3-Developing","Q4-Emerging")))</f>
        <v>Q4-Emerging</v>
      </c>
    </row>
    <row r="987" spans="1:24" x14ac:dyDescent="0.2">
      <c r="A987" s="1">
        <v>986</v>
      </c>
      <c r="B987" s="1" t="s">
        <v>1064</v>
      </c>
      <c r="C987" s="1" t="s">
        <v>46</v>
      </c>
      <c r="D987" s="1" t="s">
        <v>1124</v>
      </c>
      <c r="E987" s="1">
        <v>9</v>
      </c>
      <c r="F987" s="1">
        <v>667</v>
      </c>
      <c r="G987" s="1">
        <v>32</v>
      </c>
      <c r="H987" s="1">
        <v>304</v>
      </c>
      <c r="I987" s="1">
        <v>1001</v>
      </c>
      <c r="J987" s="1">
        <v>1001</v>
      </c>
      <c r="K987" s="1">
        <v>1001</v>
      </c>
      <c r="L987" s="1">
        <v>898</v>
      </c>
      <c r="M987" s="1">
        <v>69.900000000000006</v>
      </c>
      <c r="N987" s="1">
        <v>46.798562400000002</v>
      </c>
      <c r="O987" s="1">
        <v>8.2319735999999999</v>
      </c>
      <c r="P987" s="14">
        <f t="shared" si="111"/>
        <v>0</v>
      </c>
      <c r="Q987" s="13">
        <v>20</v>
      </c>
      <c r="R987" s="16">
        <f t="shared" si="112"/>
        <v>96.899999999999991</v>
      </c>
      <c r="S987" s="14">
        <f t="shared" si="113"/>
        <v>0</v>
      </c>
      <c r="T987" s="13">
        <f t="shared" si="114"/>
        <v>0</v>
      </c>
      <c r="U987" s="14">
        <f t="shared" si="115"/>
        <v>0</v>
      </c>
      <c r="V987" s="14">
        <f t="shared" si="116"/>
        <v>10.299999999999999</v>
      </c>
      <c r="W987" s="1">
        <f t="shared" si="117"/>
        <v>1.5</v>
      </c>
      <c r="X987" s="1" t="str">
        <f>IF(Table1[[#This Row],[World Rank]]&lt;=250,"Q1-Elite",IF(Table1[[#This Row],[World Rank]]&lt;=500,"Q2-Strong",IF(Table1[[#This Row],[World Rank]]&lt;=750,"Q3-Developing","Q4-Emerging")))</f>
        <v>Q4-Emerging</v>
      </c>
    </row>
    <row r="988" spans="1:24" x14ac:dyDescent="0.2">
      <c r="A988" s="1">
        <v>987</v>
      </c>
      <c r="B988" s="1" t="s">
        <v>1065</v>
      </c>
      <c r="C988" s="1" t="s">
        <v>124</v>
      </c>
      <c r="D988" s="1" t="s">
        <v>1125</v>
      </c>
      <c r="E988" s="1">
        <v>107</v>
      </c>
      <c r="F988" s="1">
        <v>667</v>
      </c>
      <c r="G988" s="1">
        <v>915</v>
      </c>
      <c r="H988" s="1">
        <v>304</v>
      </c>
      <c r="I988" s="1">
        <v>861</v>
      </c>
      <c r="J988" s="1">
        <v>818</v>
      </c>
      <c r="K988" s="1">
        <v>1001</v>
      </c>
      <c r="L988" s="1">
        <v>1001</v>
      </c>
      <c r="M988" s="1">
        <v>69.8</v>
      </c>
      <c r="N988" s="1">
        <v>30.047992000000001</v>
      </c>
      <c r="O988" s="1">
        <v>-94.335743300000004</v>
      </c>
      <c r="P988" s="14">
        <f t="shared" si="111"/>
        <v>18.3</v>
      </c>
      <c r="Q988" s="13">
        <v>20</v>
      </c>
      <c r="R988" s="16">
        <f t="shared" si="112"/>
        <v>8.6</v>
      </c>
      <c r="S988" s="14">
        <f t="shared" si="113"/>
        <v>0</v>
      </c>
      <c r="T988" s="13">
        <f t="shared" si="114"/>
        <v>14.000000000000002</v>
      </c>
      <c r="U988" s="14">
        <f t="shared" si="115"/>
        <v>0</v>
      </c>
      <c r="V988" s="14">
        <f t="shared" si="116"/>
        <v>0</v>
      </c>
      <c r="W988" s="1">
        <f t="shared" si="117"/>
        <v>1.4000000000000001</v>
      </c>
      <c r="X988" s="1" t="str">
        <f>IF(Table1[[#This Row],[World Rank]]&lt;=250,"Q1-Elite",IF(Table1[[#This Row],[World Rank]]&lt;=500,"Q2-Strong",IF(Table1[[#This Row],[World Rank]]&lt;=750,"Q3-Developing","Q4-Emerging")))</f>
        <v>Q4-Emerging</v>
      </c>
    </row>
    <row r="989" spans="1:24" x14ac:dyDescent="0.2">
      <c r="A989" s="1">
        <v>988</v>
      </c>
      <c r="B989" s="1" t="s">
        <v>1066</v>
      </c>
      <c r="C989" s="1" t="s">
        <v>19</v>
      </c>
      <c r="D989" s="1" t="s">
        <v>1124</v>
      </c>
      <c r="E989" s="1">
        <v>62</v>
      </c>
      <c r="F989" s="1">
        <v>667</v>
      </c>
      <c r="G989" s="1">
        <v>960</v>
      </c>
      <c r="H989" s="1">
        <v>304</v>
      </c>
      <c r="I989" s="1">
        <v>1001</v>
      </c>
      <c r="J989" s="1">
        <v>1001</v>
      </c>
      <c r="K989" s="1">
        <v>856</v>
      </c>
      <c r="L989" s="1">
        <v>673</v>
      </c>
      <c r="M989" s="1">
        <v>69.8</v>
      </c>
      <c r="N989" s="1">
        <v>54.702354499999998</v>
      </c>
      <c r="O989" s="1">
        <v>-3.2765753000000002</v>
      </c>
      <c r="P989" s="14">
        <f t="shared" si="111"/>
        <v>0</v>
      </c>
      <c r="Q989" s="13">
        <v>20</v>
      </c>
      <c r="R989" s="16">
        <f t="shared" si="112"/>
        <v>4.1000000000000005</v>
      </c>
      <c r="S989" s="14">
        <f t="shared" si="113"/>
        <v>0</v>
      </c>
      <c r="T989" s="13">
        <f t="shared" si="114"/>
        <v>0</v>
      </c>
      <c r="U989" s="14">
        <f t="shared" si="115"/>
        <v>14.499999999999998</v>
      </c>
      <c r="V989" s="14">
        <f t="shared" si="116"/>
        <v>32.800000000000004</v>
      </c>
      <c r="W989" s="1">
        <f t="shared" si="117"/>
        <v>1.3</v>
      </c>
      <c r="X989" s="1" t="str">
        <f>IF(Table1[[#This Row],[World Rank]]&lt;=250,"Q1-Elite",IF(Table1[[#This Row],[World Rank]]&lt;=500,"Q2-Strong",IF(Table1[[#This Row],[World Rank]]&lt;=750,"Q3-Developing","Q4-Emerging")))</f>
        <v>Q4-Emerging</v>
      </c>
    </row>
    <row r="990" spans="1:24" x14ac:dyDescent="0.2">
      <c r="A990" s="1">
        <v>989</v>
      </c>
      <c r="B990" s="1" t="s">
        <v>1067</v>
      </c>
      <c r="C990" s="1" t="s">
        <v>118</v>
      </c>
      <c r="D990" s="1" t="s">
        <v>1124</v>
      </c>
      <c r="E990" s="1">
        <v>38</v>
      </c>
      <c r="F990" s="1">
        <v>667</v>
      </c>
      <c r="G990" s="1">
        <v>1001</v>
      </c>
      <c r="H990" s="1">
        <v>304</v>
      </c>
      <c r="I990" s="1">
        <v>847</v>
      </c>
      <c r="J990" s="1">
        <v>832</v>
      </c>
      <c r="K990" s="1">
        <v>1001</v>
      </c>
      <c r="L990" s="1">
        <v>1001</v>
      </c>
      <c r="M990" s="1">
        <v>69.8</v>
      </c>
      <c r="N990" s="1">
        <v>39.326068499999998</v>
      </c>
      <c r="O990" s="1">
        <v>-4.8379791000000001</v>
      </c>
      <c r="P990" s="14">
        <f t="shared" si="111"/>
        <v>16.900000000000002</v>
      </c>
      <c r="Q990" s="13">
        <v>20</v>
      </c>
      <c r="R990" s="16">
        <f t="shared" si="112"/>
        <v>0</v>
      </c>
      <c r="S990" s="14">
        <f t="shared" si="113"/>
        <v>0</v>
      </c>
      <c r="T990" s="13">
        <f t="shared" si="114"/>
        <v>15.4</v>
      </c>
      <c r="U990" s="14">
        <f t="shared" si="115"/>
        <v>0</v>
      </c>
      <c r="V990" s="14">
        <f t="shared" si="116"/>
        <v>0</v>
      </c>
      <c r="W990" s="1">
        <f t="shared" si="117"/>
        <v>1.2</v>
      </c>
      <c r="X990" s="1" t="str">
        <f>IF(Table1[[#This Row],[World Rank]]&lt;=250,"Q1-Elite",IF(Table1[[#This Row],[World Rank]]&lt;=500,"Q2-Strong",IF(Table1[[#This Row],[World Rank]]&lt;=750,"Q3-Developing","Q4-Emerging")))</f>
        <v>Q4-Emerging</v>
      </c>
    </row>
    <row r="991" spans="1:24" x14ac:dyDescent="0.2">
      <c r="A991" s="1">
        <v>990</v>
      </c>
      <c r="B991" s="1" t="s">
        <v>1068</v>
      </c>
      <c r="C991" s="1" t="s">
        <v>533</v>
      </c>
      <c r="D991" s="1" t="s">
        <v>1125</v>
      </c>
      <c r="E991" s="1">
        <v>4</v>
      </c>
      <c r="F991" s="1">
        <v>667</v>
      </c>
      <c r="G991" s="1">
        <v>1001</v>
      </c>
      <c r="H991" s="1">
        <v>304</v>
      </c>
      <c r="I991" s="1">
        <v>879</v>
      </c>
      <c r="J991" s="1">
        <v>1001</v>
      </c>
      <c r="K991" s="1">
        <v>1001</v>
      </c>
      <c r="L991" s="1">
        <v>898</v>
      </c>
      <c r="M991" s="1">
        <v>69.8</v>
      </c>
      <c r="N991" s="1">
        <v>13.03876215</v>
      </c>
      <c r="O991" s="2" t="s">
        <v>534</v>
      </c>
      <c r="P991" s="14">
        <f t="shared" si="111"/>
        <v>0</v>
      </c>
      <c r="Q991" s="13">
        <v>20</v>
      </c>
      <c r="R991" s="16">
        <f t="shared" si="112"/>
        <v>0</v>
      </c>
      <c r="S991" s="14">
        <f t="shared" si="113"/>
        <v>0</v>
      </c>
      <c r="T991" s="13">
        <f t="shared" si="114"/>
        <v>12.2</v>
      </c>
      <c r="U991" s="14">
        <f t="shared" si="115"/>
        <v>0</v>
      </c>
      <c r="V991" s="14">
        <f t="shared" si="116"/>
        <v>10.299999999999999</v>
      </c>
      <c r="W991" s="1">
        <f t="shared" si="117"/>
        <v>1.0999999999999999</v>
      </c>
      <c r="X991" s="1" t="str">
        <f>IF(Table1[[#This Row],[World Rank]]&lt;=250,"Q1-Elite",IF(Table1[[#This Row],[World Rank]]&lt;=500,"Q2-Strong",IF(Table1[[#This Row],[World Rank]]&lt;=750,"Q3-Developing","Q4-Emerging")))</f>
        <v>Q4-Emerging</v>
      </c>
    </row>
    <row r="992" spans="1:24" x14ac:dyDescent="0.2">
      <c r="A992" s="1">
        <v>991</v>
      </c>
      <c r="B992" s="1" t="s">
        <v>1069</v>
      </c>
      <c r="C992" s="1" t="s">
        <v>1070</v>
      </c>
      <c r="D992" s="1" t="s">
        <v>1122</v>
      </c>
      <c r="E992" s="1">
        <v>1</v>
      </c>
      <c r="F992" s="1">
        <v>540</v>
      </c>
      <c r="G992" s="1">
        <v>1001</v>
      </c>
      <c r="H992" s="1">
        <v>265</v>
      </c>
      <c r="I992" s="1">
        <v>1001</v>
      </c>
      <c r="J992" s="1">
        <v>1001</v>
      </c>
      <c r="K992" s="1">
        <v>774</v>
      </c>
      <c r="L992" s="1">
        <v>898</v>
      </c>
      <c r="M992" s="1">
        <v>69.8</v>
      </c>
      <c r="N992" s="1">
        <v>9.6000359</v>
      </c>
      <c r="O992" s="1">
        <v>7.9999720999999999</v>
      </c>
      <c r="P992" s="14">
        <f t="shared" si="111"/>
        <v>0</v>
      </c>
      <c r="Q992" s="13">
        <v>20</v>
      </c>
      <c r="R992" s="16">
        <f t="shared" si="112"/>
        <v>0</v>
      </c>
      <c r="S992" s="14">
        <f t="shared" si="113"/>
        <v>12.871287128712872</v>
      </c>
      <c r="T992" s="13">
        <f t="shared" si="114"/>
        <v>0</v>
      </c>
      <c r="U992" s="14">
        <f t="shared" si="115"/>
        <v>22.7</v>
      </c>
      <c r="V992" s="14">
        <f t="shared" si="116"/>
        <v>10.299999999999999</v>
      </c>
      <c r="W992" s="1">
        <f t="shared" si="117"/>
        <v>1</v>
      </c>
      <c r="X992" s="1" t="str">
        <f>IF(Table1[[#This Row],[World Rank]]&lt;=250,"Q1-Elite",IF(Table1[[#This Row],[World Rank]]&lt;=500,"Q2-Strong",IF(Table1[[#This Row],[World Rank]]&lt;=750,"Q3-Developing","Q4-Emerging")))</f>
        <v>Q4-Emerging</v>
      </c>
    </row>
    <row r="993" spans="1:24" x14ac:dyDescent="0.2">
      <c r="A993" s="1">
        <v>992</v>
      </c>
      <c r="B993" s="1" t="s">
        <v>1071</v>
      </c>
      <c r="C993" s="1" t="s">
        <v>427</v>
      </c>
      <c r="D993" s="1" t="s">
        <v>1125</v>
      </c>
      <c r="E993" s="1">
        <v>12</v>
      </c>
      <c r="F993" s="1">
        <v>667</v>
      </c>
      <c r="G993" s="1">
        <v>1001</v>
      </c>
      <c r="H993" s="1">
        <v>304</v>
      </c>
      <c r="I993" s="1">
        <v>815</v>
      </c>
      <c r="J993" s="1">
        <v>1001</v>
      </c>
      <c r="K993" s="1">
        <v>1001</v>
      </c>
      <c r="L993" s="1">
        <v>673</v>
      </c>
      <c r="M993" s="1">
        <v>69.8</v>
      </c>
      <c r="N993" s="1">
        <v>2.9368696000000001</v>
      </c>
      <c r="O993" s="1">
        <v>115.4443356</v>
      </c>
      <c r="P993" s="14">
        <f t="shared" si="111"/>
        <v>0</v>
      </c>
      <c r="Q993" s="13">
        <v>20</v>
      </c>
      <c r="R993" s="16">
        <f t="shared" si="112"/>
        <v>0</v>
      </c>
      <c r="S993" s="14">
        <f t="shared" si="113"/>
        <v>0</v>
      </c>
      <c r="T993" s="13">
        <f t="shared" si="114"/>
        <v>18.600000000000001</v>
      </c>
      <c r="U993" s="14">
        <f t="shared" si="115"/>
        <v>0</v>
      </c>
      <c r="V993" s="14">
        <f t="shared" si="116"/>
        <v>32.800000000000004</v>
      </c>
      <c r="W993" s="1">
        <f t="shared" si="117"/>
        <v>0.89999999999999991</v>
      </c>
      <c r="X993" s="1" t="str">
        <f>IF(Table1[[#This Row],[World Rank]]&lt;=250,"Q1-Elite",IF(Table1[[#This Row],[World Rank]]&lt;=500,"Q2-Strong",IF(Table1[[#This Row],[World Rank]]&lt;=750,"Q3-Developing","Q4-Emerging")))</f>
        <v>Q4-Emerging</v>
      </c>
    </row>
    <row r="994" spans="1:24" x14ac:dyDescent="0.2">
      <c r="A994" s="1">
        <v>993</v>
      </c>
      <c r="B994" s="1" t="s">
        <v>1072</v>
      </c>
      <c r="C994" s="1" t="s">
        <v>15</v>
      </c>
      <c r="D994" s="1" t="s">
        <v>1120</v>
      </c>
      <c r="E994" s="1">
        <v>212</v>
      </c>
      <c r="F994" s="1">
        <v>667</v>
      </c>
      <c r="G994" s="1">
        <v>930</v>
      </c>
      <c r="H994" s="1">
        <v>304</v>
      </c>
      <c r="I994" s="1">
        <v>1001</v>
      </c>
      <c r="J994" s="1">
        <v>989</v>
      </c>
      <c r="K994" s="1">
        <v>1001</v>
      </c>
      <c r="L994" s="1">
        <v>541</v>
      </c>
      <c r="M994" s="1">
        <v>69.8</v>
      </c>
      <c r="N994" s="1">
        <v>39.783730400000003</v>
      </c>
      <c r="O994" s="1">
        <v>-100.445882</v>
      </c>
      <c r="P994" s="14">
        <f t="shared" si="111"/>
        <v>1.2</v>
      </c>
      <c r="Q994" s="13">
        <v>20</v>
      </c>
      <c r="R994" s="16">
        <f t="shared" si="112"/>
        <v>7.1</v>
      </c>
      <c r="S994" s="14">
        <f t="shared" si="113"/>
        <v>0</v>
      </c>
      <c r="T994" s="13">
        <f t="shared" si="114"/>
        <v>0</v>
      </c>
      <c r="U994" s="14">
        <f t="shared" si="115"/>
        <v>0</v>
      </c>
      <c r="V994" s="14">
        <f t="shared" si="116"/>
        <v>46</v>
      </c>
      <c r="W994" s="1">
        <f t="shared" si="117"/>
        <v>0.8</v>
      </c>
      <c r="X994" s="1" t="str">
        <f>IF(Table1[[#This Row],[World Rank]]&lt;=250,"Q1-Elite",IF(Table1[[#This Row],[World Rank]]&lt;=500,"Q2-Strong",IF(Table1[[#This Row],[World Rank]]&lt;=750,"Q3-Developing","Q4-Emerging")))</f>
        <v>Q4-Emerging</v>
      </c>
    </row>
    <row r="995" spans="1:24" x14ac:dyDescent="0.2">
      <c r="A995" s="1">
        <v>994</v>
      </c>
      <c r="B995" s="1" t="s">
        <v>1073</v>
      </c>
      <c r="C995" s="1" t="s">
        <v>15</v>
      </c>
      <c r="D995" s="1" t="s">
        <v>1120</v>
      </c>
      <c r="E995" s="1">
        <v>213</v>
      </c>
      <c r="F995" s="1">
        <v>180</v>
      </c>
      <c r="G995" s="1">
        <v>1001</v>
      </c>
      <c r="H995" s="1">
        <v>304</v>
      </c>
      <c r="I995" s="1">
        <v>1001</v>
      </c>
      <c r="J995" s="1">
        <v>949</v>
      </c>
      <c r="K995" s="1">
        <v>890</v>
      </c>
      <c r="L995" s="1">
        <v>898</v>
      </c>
      <c r="M995" s="1">
        <v>69.8</v>
      </c>
      <c r="N995" s="1">
        <v>39.783730400000003</v>
      </c>
      <c r="O995" s="1">
        <v>-100.445882</v>
      </c>
      <c r="P995" s="14">
        <f t="shared" si="111"/>
        <v>5.2</v>
      </c>
      <c r="Q995" s="13">
        <f>((667 - F995) / 666) * 100</f>
        <v>73.123123123123122</v>
      </c>
      <c r="R995" s="16">
        <f t="shared" si="112"/>
        <v>0</v>
      </c>
      <c r="S995" s="14">
        <f t="shared" si="113"/>
        <v>0</v>
      </c>
      <c r="T995" s="13">
        <f t="shared" si="114"/>
        <v>0</v>
      </c>
      <c r="U995" s="14">
        <f t="shared" si="115"/>
        <v>11.1</v>
      </c>
      <c r="V995" s="14">
        <f t="shared" si="116"/>
        <v>10.299999999999999</v>
      </c>
      <c r="W995" s="1">
        <f t="shared" si="117"/>
        <v>0.70000000000000007</v>
      </c>
      <c r="X995" s="1" t="str">
        <f>IF(Table1[[#This Row],[World Rank]]&lt;=250,"Q1-Elite",IF(Table1[[#This Row],[World Rank]]&lt;=500,"Q2-Strong",IF(Table1[[#This Row],[World Rank]]&lt;=750,"Q3-Developing","Q4-Emerging")))</f>
        <v>Q4-Emerging</v>
      </c>
    </row>
    <row r="996" spans="1:24" x14ac:dyDescent="0.2">
      <c r="A996" s="1">
        <v>995</v>
      </c>
      <c r="B996" s="1" t="s">
        <v>1074</v>
      </c>
      <c r="C996" s="1" t="s">
        <v>1075</v>
      </c>
      <c r="D996" s="1" t="s">
        <v>1125</v>
      </c>
      <c r="E996" s="1">
        <v>1</v>
      </c>
      <c r="F996" s="1">
        <v>667</v>
      </c>
      <c r="G996" s="1">
        <v>512</v>
      </c>
      <c r="H996" s="1">
        <v>304</v>
      </c>
      <c r="I996" s="1">
        <v>883</v>
      </c>
      <c r="J996" s="1">
        <v>816</v>
      </c>
      <c r="K996" s="1">
        <v>1001</v>
      </c>
      <c r="L996" s="1">
        <v>1001</v>
      </c>
      <c r="M996" s="1">
        <v>69.8</v>
      </c>
      <c r="N996" s="1">
        <v>22.189944799999999</v>
      </c>
      <c r="O996" s="1">
        <v>113.5380454</v>
      </c>
      <c r="P996" s="14">
        <f t="shared" si="111"/>
        <v>18.5</v>
      </c>
      <c r="Q996" s="13">
        <v>20</v>
      </c>
      <c r="R996" s="16">
        <f t="shared" si="112"/>
        <v>48.9</v>
      </c>
      <c r="S996" s="14">
        <f t="shared" si="113"/>
        <v>0</v>
      </c>
      <c r="T996" s="13">
        <f t="shared" si="114"/>
        <v>11.799999999999999</v>
      </c>
      <c r="U996" s="14">
        <f t="shared" si="115"/>
        <v>0</v>
      </c>
      <c r="V996" s="14">
        <f t="shared" si="116"/>
        <v>0</v>
      </c>
      <c r="W996" s="1">
        <f t="shared" si="117"/>
        <v>0.6</v>
      </c>
      <c r="X996" s="1" t="str">
        <f>IF(Table1[[#This Row],[World Rank]]&lt;=250,"Q1-Elite",IF(Table1[[#This Row],[World Rank]]&lt;=500,"Q2-Strong",IF(Table1[[#This Row],[World Rank]]&lt;=750,"Q3-Developing","Q4-Emerging")))</f>
        <v>Q4-Emerging</v>
      </c>
    </row>
    <row r="997" spans="1:24" x14ac:dyDescent="0.2">
      <c r="A997" s="1">
        <v>996</v>
      </c>
      <c r="B997" s="1" t="s">
        <v>1076</v>
      </c>
      <c r="C997" s="1" t="s">
        <v>872</v>
      </c>
      <c r="D997" s="1" t="s">
        <v>1125</v>
      </c>
      <c r="E997" s="1">
        <v>3</v>
      </c>
      <c r="F997" s="1">
        <v>667</v>
      </c>
      <c r="G997" s="1">
        <v>1001</v>
      </c>
      <c r="H997" s="1">
        <v>304</v>
      </c>
      <c r="I997" s="1">
        <v>1001</v>
      </c>
      <c r="J997" s="1">
        <v>1001</v>
      </c>
      <c r="K997" s="1">
        <v>464</v>
      </c>
      <c r="L997" s="1">
        <v>673</v>
      </c>
      <c r="M997" s="1">
        <v>69.8</v>
      </c>
      <c r="N997" s="1">
        <v>30.3308401</v>
      </c>
      <c r="O997" s="1">
        <v>71.247499000000005</v>
      </c>
      <c r="P997" s="14">
        <f t="shared" si="111"/>
        <v>0</v>
      </c>
      <c r="Q997" s="13">
        <v>20</v>
      </c>
      <c r="R997" s="16">
        <f t="shared" si="112"/>
        <v>0</v>
      </c>
      <c r="S997" s="14">
        <f t="shared" si="113"/>
        <v>0</v>
      </c>
      <c r="T997" s="13">
        <f t="shared" si="114"/>
        <v>0</v>
      </c>
      <c r="U997" s="14">
        <f t="shared" si="115"/>
        <v>53.7</v>
      </c>
      <c r="V997" s="14">
        <f t="shared" si="116"/>
        <v>32.800000000000004</v>
      </c>
      <c r="W997" s="1">
        <f t="shared" si="117"/>
        <v>0.5</v>
      </c>
      <c r="X997" s="1" t="str">
        <f>IF(Table1[[#This Row],[World Rank]]&lt;=250,"Q1-Elite",IF(Table1[[#This Row],[World Rank]]&lt;=500,"Q2-Strong",IF(Table1[[#This Row],[World Rank]]&lt;=750,"Q3-Developing","Q4-Emerging")))</f>
        <v>Q4-Emerging</v>
      </c>
    </row>
    <row r="998" spans="1:24" x14ac:dyDescent="0.2">
      <c r="A998" s="1">
        <v>997</v>
      </c>
      <c r="B998" s="1" t="s">
        <v>1077</v>
      </c>
      <c r="C998" s="1" t="s">
        <v>478</v>
      </c>
      <c r="D998" s="1" t="s">
        <v>1125</v>
      </c>
      <c r="E998" s="1">
        <v>17</v>
      </c>
      <c r="F998" s="1">
        <v>353</v>
      </c>
      <c r="G998" s="1">
        <v>716</v>
      </c>
      <c r="H998" s="1">
        <v>296</v>
      </c>
      <c r="I998" s="1">
        <v>798</v>
      </c>
      <c r="J998" s="1">
        <v>966</v>
      </c>
      <c r="K998" s="1">
        <v>1001</v>
      </c>
      <c r="L998" s="1">
        <v>1001</v>
      </c>
      <c r="M998" s="1">
        <v>69.8</v>
      </c>
      <c r="N998" s="1">
        <v>22.351114800000001</v>
      </c>
      <c r="O998" s="1">
        <v>78.667742799999999</v>
      </c>
      <c r="P998" s="14">
        <f t="shared" si="111"/>
        <v>3.5000000000000004</v>
      </c>
      <c r="Q998" s="13">
        <f>((667 - F998) / 666) * 100</f>
        <v>47.147147147147145</v>
      </c>
      <c r="R998" s="16">
        <f t="shared" si="112"/>
        <v>28.499999999999996</v>
      </c>
      <c r="S998" s="14">
        <f t="shared" si="113"/>
        <v>2.6402640264026402</v>
      </c>
      <c r="T998" s="13">
        <f t="shared" si="114"/>
        <v>20.3</v>
      </c>
      <c r="U998" s="14">
        <f t="shared" si="115"/>
        <v>0</v>
      </c>
      <c r="V998" s="14">
        <f t="shared" si="116"/>
        <v>0</v>
      </c>
      <c r="W998" s="1">
        <f t="shared" si="117"/>
        <v>0.4</v>
      </c>
      <c r="X998" s="1" t="str">
        <f>IF(Table1[[#This Row],[World Rank]]&lt;=250,"Q1-Elite",IF(Table1[[#This Row],[World Rank]]&lt;=500,"Q2-Strong",IF(Table1[[#This Row],[World Rank]]&lt;=750,"Q3-Developing","Q4-Emerging")))</f>
        <v>Q4-Emerging</v>
      </c>
    </row>
    <row r="999" spans="1:24" x14ac:dyDescent="0.2">
      <c r="A999" s="1">
        <v>998</v>
      </c>
      <c r="B999" s="1" t="s">
        <v>1078</v>
      </c>
      <c r="C999" s="1" t="s">
        <v>28</v>
      </c>
      <c r="D999" s="1" t="s">
        <v>1125</v>
      </c>
      <c r="E999" s="1">
        <v>56</v>
      </c>
      <c r="F999" s="1">
        <v>667</v>
      </c>
      <c r="G999" s="1">
        <v>1001</v>
      </c>
      <c r="H999" s="1">
        <v>304</v>
      </c>
      <c r="I999" s="1">
        <v>1001</v>
      </c>
      <c r="J999" s="1">
        <v>1001</v>
      </c>
      <c r="K999" s="1">
        <v>811</v>
      </c>
      <c r="L999" s="1">
        <v>673</v>
      </c>
      <c r="M999" s="1">
        <v>69.8</v>
      </c>
      <c r="N999" s="1">
        <v>36.5748441</v>
      </c>
      <c r="O999" s="1">
        <v>139.23941790000001</v>
      </c>
      <c r="P999" s="14">
        <f t="shared" si="111"/>
        <v>0</v>
      </c>
      <c r="Q999" s="13">
        <v>20</v>
      </c>
      <c r="R999" s="16">
        <f t="shared" si="112"/>
        <v>0</v>
      </c>
      <c r="S999" s="14">
        <f t="shared" si="113"/>
        <v>0</v>
      </c>
      <c r="T999" s="13">
        <f t="shared" si="114"/>
        <v>0</v>
      </c>
      <c r="U999" s="14">
        <f t="shared" si="115"/>
        <v>19</v>
      </c>
      <c r="V999" s="14">
        <f t="shared" si="116"/>
        <v>32.800000000000004</v>
      </c>
      <c r="W999" s="1">
        <f t="shared" si="117"/>
        <v>0.3</v>
      </c>
      <c r="X999" s="1" t="str">
        <f>IF(Table1[[#This Row],[World Rank]]&lt;=250,"Q1-Elite",IF(Table1[[#This Row],[World Rank]]&lt;=500,"Q2-Strong",IF(Table1[[#This Row],[World Rank]]&lt;=750,"Q3-Developing","Q4-Emerging")))</f>
        <v>Q4-Emerging</v>
      </c>
    </row>
    <row r="1000" spans="1:24" x14ac:dyDescent="0.2">
      <c r="A1000" s="1">
        <v>999</v>
      </c>
      <c r="B1000" s="1" t="s">
        <v>1079</v>
      </c>
      <c r="C1000" s="1" t="s">
        <v>85</v>
      </c>
      <c r="D1000" s="1" t="s">
        <v>1125</v>
      </c>
      <c r="E1000" s="1">
        <v>35</v>
      </c>
      <c r="F1000" s="1">
        <v>667</v>
      </c>
      <c r="G1000" s="1">
        <v>1001</v>
      </c>
      <c r="H1000" s="1">
        <v>304</v>
      </c>
      <c r="I1000" s="1">
        <v>881</v>
      </c>
      <c r="J1000" s="1">
        <v>1001</v>
      </c>
      <c r="K1000" s="1">
        <v>1001</v>
      </c>
      <c r="L1000" s="1">
        <v>898</v>
      </c>
      <c r="M1000" s="1">
        <v>69.8</v>
      </c>
      <c r="N1000" s="1">
        <v>36.638392000000003</v>
      </c>
      <c r="O1000" s="1">
        <v>127.69611879999999</v>
      </c>
      <c r="P1000" s="14">
        <f t="shared" si="111"/>
        <v>0</v>
      </c>
      <c r="Q1000" s="13">
        <v>20</v>
      </c>
      <c r="R1000" s="16">
        <f t="shared" si="112"/>
        <v>0</v>
      </c>
      <c r="S1000" s="14">
        <f t="shared" si="113"/>
        <v>0</v>
      </c>
      <c r="T1000" s="13">
        <f t="shared" si="114"/>
        <v>12</v>
      </c>
      <c r="U1000" s="14">
        <f t="shared" si="115"/>
        <v>0</v>
      </c>
      <c r="V1000" s="14">
        <f t="shared" si="116"/>
        <v>10.299999999999999</v>
      </c>
      <c r="W1000" s="1">
        <f t="shared" si="117"/>
        <v>0.2</v>
      </c>
      <c r="X1000" s="1" t="str">
        <f>IF(Table1[[#This Row],[World Rank]]&lt;=250,"Q1-Elite",IF(Table1[[#This Row],[World Rank]]&lt;=500,"Q2-Strong",IF(Table1[[#This Row],[World Rank]]&lt;=750,"Q3-Developing","Q4-Emerging")))</f>
        <v>Q4-Emerging</v>
      </c>
    </row>
    <row r="1001" spans="1:24" x14ac:dyDescent="0.2">
      <c r="A1001" s="1">
        <v>1000</v>
      </c>
      <c r="B1001" s="1" t="s">
        <v>1080</v>
      </c>
      <c r="C1001" s="1" t="s">
        <v>124</v>
      </c>
      <c r="D1001" s="1" t="s">
        <v>1125</v>
      </c>
      <c r="E1001" s="1">
        <v>108</v>
      </c>
      <c r="F1001" s="1">
        <v>667</v>
      </c>
      <c r="G1001" s="1">
        <v>869</v>
      </c>
      <c r="H1001" s="1">
        <v>304</v>
      </c>
      <c r="I1001" s="1">
        <v>923</v>
      </c>
      <c r="J1001" s="1">
        <v>904</v>
      </c>
      <c r="K1001" s="1">
        <v>889</v>
      </c>
      <c r="L1001" s="1">
        <v>1001</v>
      </c>
      <c r="M1001" s="1">
        <v>69.8</v>
      </c>
      <c r="N1001" s="1">
        <v>30.047992000000001</v>
      </c>
      <c r="O1001" s="1">
        <v>-94.335743300000004</v>
      </c>
      <c r="P1001" s="14">
        <f t="shared" si="111"/>
        <v>9.7000000000000011</v>
      </c>
      <c r="Q1001" s="13">
        <v>20</v>
      </c>
      <c r="R1001" s="16">
        <f t="shared" si="112"/>
        <v>13.200000000000001</v>
      </c>
      <c r="S1001" s="14">
        <f t="shared" si="113"/>
        <v>0</v>
      </c>
      <c r="T1001" s="13">
        <f t="shared" si="114"/>
        <v>7.8</v>
      </c>
      <c r="U1001" s="14">
        <f t="shared" si="115"/>
        <v>11.200000000000001</v>
      </c>
      <c r="V1001" s="14">
        <f t="shared" si="116"/>
        <v>0</v>
      </c>
      <c r="W1001" s="1">
        <f t="shared" si="117"/>
        <v>0.1</v>
      </c>
      <c r="X1001" s="1" t="str">
        <f>IF(Table1[[#This Row],[World Rank]]&lt;=250,"Q1-Elite",IF(Table1[[#This Row],[World Rank]]&lt;=500,"Q2-Strong",IF(Table1[[#This Row],[World Rank]]&lt;=750,"Q3-Developing","Q4-Emerging")))</f>
        <v>Q4-Emerging</v>
      </c>
    </row>
  </sheetData>
  <pageMargins left="0.75" right="0.75" top="1" bottom="1" header="0.5" footer="0.5"/>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01FA3-1E28-2345-B06D-8AE8B08FBCE0}">
  <dimension ref="C3:E14"/>
  <sheetViews>
    <sheetView workbookViewId="0">
      <selection activeCell="J9" sqref="J9"/>
    </sheetView>
  </sheetViews>
  <sheetFormatPr baseColWidth="10" defaultRowHeight="16" x14ac:dyDescent="0.2"/>
  <cols>
    <col min="3" max="3" width="21" customWidth="1"/>
  </cols>
  <sheetData>
    <row r="3" spans="3:5" ht="85" x14ac:dyDescent="0.2">
      <c r="C3" s="3" t="s">
        <v>1081</v>
      </c>
      <c r="D3" s="3" t="s">
        <v>1082</v>
      </c>
      <c r="E3" s="3" t="s">
        <v>1083</v>
      </c>
    </row>
    <row r="5" spans="3:5" ht="85" x14ac:dyDescent="0.2">
      <c r="C5" s="3" t="s">
        <v>1084</v>
      </c>
      <c r="D5" s="3" t="s">
        <v>1085</v>
      </c>
      <c r="E5" t="s">
        <v>1086</v>
      </c>
    </row>
    <row r="8" spans="3:5" ht="119" x14ac:dyDescent="0.2">
      <c r="C8" s="3" t="s">
        <v>1087</v>
      </c>
      <c r="D8" s="3" t="s">
        <v>1088</v>
      </c>
      <c r="E8" s="3" t="s">
        <v>1089</v>
      </c>
    </row>
    <row r="11" spans="3:5" ht="119" x14ac:dyDescent="0.2">
      <c r="C11" s="3" t="s">
        <v>1100</v>
      </c>
      <c r="D11" s="3" t="s">
        <v>1101</v>
      </c>
      <c r="E11" s="4" t="s">
        <v>1090</v>
      </c>
    </row>
    <row r="14" spans="3:5" ht="170" x14ac:dyDescent="0.2">
      <c r="C14" s="3" t="s">
        <v>1091</v>
      </c>
      <c r="D14" s="3" t="s">
        <v>1092</v>
      </c>
      <c r="E14" s="3" t="s">
        <v>1093</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CE1A8-F59E-5748-A38D-9A30BDAA22BB}">
  <dimension ref="A3:AK2005"/>
  <sheetViews>
    <sheetView topLeftCell="X1" zoomScaleNormal="100" workbookViewId="0">
      <selection activeCell="AC5" sqref="AC5"/>
    </sheetView>
  </sheetViews>
  <sheetFormatPr baseColWidth="10" defaultRowHeight="16" x14ac:dyDescent="0.2"/>
  <cols>
    <col min="1" max="1" width="14.33203125" bestFit="1" customWidth="1"/>
    <col min="2" max="2" width="17" bestFit="1" customWidth="1"/>
    <col min="9" max="9" width="13.1640625" bestFit="1" customWidth="1"/>
    <col min="10" max="10" width="15.1640625" bestFit="1" customWidth="1"/>
    <col min="11" max="11" width="14.33203125" bestFit="1" customWidth="1"/>
    <col min="12" max="12" width="17.33203125" customWidth="1"/>
    <col min="14" max="14" width="31" bestFit="1" customWidth="1"/>
    <col min="15" max="15" width="32.1640625" bestFit="1" customWidth="1"/>
    <col min="16" max="16" width="12.33203125" customWidth="1"/>
    <col min="17" max="17" width="11.6640625" customWidth="1"/>
    <col min="20" max="20" width="13.1640625" bestFit="1" customWidth="1"/>
    <col min="21" max="21" width="22.83203125" bestFit="1" customWidth="1"/>
    <col min="22" max="22" width="23.5" bestFit="1" customWidth="1"/>
    <col min="23" max="23" width="19.83203125" bestFit="1" customWidth="1"/>
    <col min="24" max="24" width="19.33203125" customWidth="1"/>
    <col min="25" max="25" width="20.5" customWidth="1"/>
    <col min="27" max="27" width="13.1640625" bestFit="1" customWidth="1"/>
    <col min="28" max="28" width="22.33203125" bestFit="1" customWidth="1"/>
    <col min="29" max="29" width="33" bestFit="1" customWidth="1"/>
    <col min="30" max="30" width="12.83203125" customWidth="1"/>
    <col min="31" max="31" width="24.83203125" customWidth="1"/>
    <col min="32" max="32" width="34.6640625" customWidth="1"/>
    <col min="34" max="34" width="17.83203125" bestFit="1" customWidth="1"/>
    <col min="36" max="36" width="62.6640625" bestFit="1" customWidth="1"/>
    <col min="37" max="37" width="14.6640625" bestFit="1" customWidth="1"/>
    <col min="38" max="38" width="14.83203125" bestFit="1" customWidth="1"/>
  </cols>
  <sheetData>
    <row r="3" spans="1:37" x14ac:dyDescent="0.2">
      <c r="A3" s="5" t="s">
        <v>1094</v>
      </c>
      <c r="B3" t="s">
        <v>1096</v>
      </c>
      <c r="I3" s="5" t="s">
        <v>1103</v>
      </c>
      <c r="J3" t="s">
        <v>1097</v>
      </c>
      <c r="N3" s="5" t="s">
        <v>1094</v>
      </c>
      <c r="O3" t="s">
        <v>1113</v>
      </c>
      <c r="AA3" s="5" t="s">
        <v>1094</v>
      </c>
      <c r="AB3" t="s">
        <v>1116</v>
      </c>
      <c r="AC3" t="s">
        <v>1118</v>
      </c>
      <c r="AG3" s="8" t="s">
        <v>1094</v>
      </c>
      <c r="AH3" s="8" t="s">
        <v>1096</v>
      </c>
    </row>
    <row r="4" spans="1:37" x14ac:dyDescent="0.2">
      <c r="A4" s="6" t="s">
        <v>15</v>
      </c>
      <c r="B4" s="25">
        <v>213</v>
      </c>
      <c r="C4" t="s">
        <v>1103</v>
      </c>
      <c r="D4" t="s">
        <v>1104</v>
      </c>
      <c r="I4" s="6" t="s">
        <v>1123</v>
      </c>
      <c r="J4" s="13">
        <v>72.767741935483869</v>
      </c>
      <c r="K4" t="s">
        <v>1103</v>
      </c>
      <c r="L4" t="s">
        <v>1105</v>
      </c>
      <c r="N4" s="6" t="s">
        <v>14</v>
      </c>
      <c r="O4" s="25">
        <v>100</v>
      </c>
      <c r="T4" s="5" t="s">
        <v>1094</v>
      </c>
      <c r="U4" t="s">
        <v>1114</v>
      </c>
      <c r="V4" t="s">
        <v>1115</v>
      </c>
      <c r="AA4" s="6" t="s">
        <v>1127</v>
      </c>
      <c r="AB4" s="25">
        <v>52.964400000000005</v>
      </c>
      <c r="AC4" s="13">
        <v>56.446366366366348</v>
      </c>
      <c r="AD4" t="s">
        <v>1094</v>
      </c>
      <c r="AE4" t="s">
        <v>1131</v>
      </c>
      <c r="AF4" t="s">
        <v>1118</v>
      </c>
      <c r="AG4" s="9" t="s">
        <v>15</v>
      </c>
      <c r="AH4" s="10">
        <v>213</v>
      </c>
      <c r="AJ4" s="5" t="s">
        <v>1094</v>
      </c>
      <c r="AK4" t="s">
        <v>1102</v>
      </c>
    </row>
    <row r="5" spans="1:37" x14ac:dyDescent="0.2">
      <c r="A5" s="6" t="s">
        <v>124</v>
      </c>
      <c r="B5" s="25">
        <v>108</v>
      </c>
      <c r="C5" t="str">
        <f t="shared" ref="C5:C14" si="0">A4</f>
        <v>USA</v>
      </c>
      <c r="D5">
        <f>GETPIVOTDATA("Institution",$A$3,"Location","USA")</f>
        <v>213</v>
      </c>
      <c r="I5" s="6" t="s">
        <v>1122</v>
      </c>
      <c r="J5" s="13">
        <v>72.969230769230762</v>
      </c>
      <c r="K5" s="6" t="str">
        <f t="shared" ref="K5:L10" si="1">I4</f>
        <v>South America</v>
      </c>
      <c r="L5" s="13">
        <f t="shared" si="1"/>
        <v>72.767741935483869</v>
      </c>
      <c r="N5" s="6" t="s">
        <v>33</v>
      </c>
      <c r="O5" s="25">
        <v>99.9</v>
      </c>
      <c r="T5" s="6" t="s">
        <v>1127</v>
      </c>
      <c r="U5" s="25">
        <v>86.243200000000044</v>
      </c>
      <c r="V5" s="25">
        <v>86.552000000000035</v>
      </c>
      <c r="W5" t="s">
        <v>1126</v>
      </c>
      <c r="X5" t="s">
        <v>1132</v>
      </c>
      <c r="Y5" t="s">
        <v>1133</v>
      </c>
      <c r="AA5" s="6" t="s">
        <v>1128</v>
      </c>
      <c r="AB5" s="25">
        <v>26.7348</v>
      </c>
      <c r="AC5" s="13">
        <v>28.124324324324316</v>
      </c>
      <c r="AD5" t="str">
        <f t="shared" ref="AD5:AF8" si="2">AA4</f>
        <v>Q1-Elite</v>
      </c>
      <c r="AE5">
        <f t="shared" si="2"/>
        <v>52.964400000000005</v>
      </c>
      <c r="AF5" s="13">
        <f t="shared" si="2"/>
        <v>56.446366366366348</v>
      </c>
      <c r="AG5" s="9" t="s">
        <v>124</v>
      </c>
      <c r="AH5" s="10">
        <v>108</v>
      </c>
      <c r="AJ5" s="6" t="s">
        <v>656</v>
      </c>
      <c r="AK5" s="25">
        <v>1001</v>
      </c>
    </row>
    <row r="6" spans="1:37" x14ac:dyDescent="0.2">
      <c r="A6" s="6" t="s">
        <v>19</v>
      </c>
      <c r="B6" s="25">
        <v>62</v>
      </c>
      <c r="C6" t="str">
        <f t="shared" si="0"/>
        <v>China</v>
      </c>
      <c r="D6">
        <f>GETPIVOTDATA("Institution",$A$3,"Location","China")</f>
        <v>108</v>
      </c>
      <c r="I6" s="6" t="s">
        <v>1125</v>
      </c>
      <c r="J6" s="13">
        <v>73.226027397260268</v>
      </c>
      <c r="K6" s="6" t="str">
        <f t="shared" si="1"/>
        <v>Africa</v>
      </c>
      <c r="L6" s="13">
        <f t="shared" si="1"/>
        <v>72.969230769230762</v>
      </c>
      <c r="N6" s="6" t="s">
        <v>35</v>
      </c>
      <c r="O6" s="25">
        <v>99.8</v>
      </c>
      <c r="T6" s="6" t="s">
        <v>1128</v>
      </c>
      <c r="U6" s="25">
        <v>58.540000000000006</v>
      </c>
      <c r="V6" s="25">
        <v>58.034800000000004</v>
      </c>
      <c r="W6" t="str">
        <f t="shared" ref="W6:Y9" si="3">T5</f>
        <v>Q1-Elite</v>
      </c>
      <c r="X6">
        <f t="shared" si="3"/>
        <v>86.243200000000044</v>
      </c>
      <c r="Y6">
        <f t="shared" si="3"/>
        <v>86.552000000000035</v>
      </c>
      <c r="AA6" s="6" t="s">
        <v>1129</v>
      </c>
      <c r="AB6" s="25">
        <v>15.803199999999999</v>
      </c>
      <c r="AC6" s="13">
        <v>25.328528528528533</v>
      </c>
      <c r="AD6" t="str">
        <f t="shared" si="2"/>
        <v>Q2-Strong</v>
      </c>
      <c r="AE6">
        <f t="shared" si="2"/>
        <v>26.7348</v>
      </c>
      <c r="AF6" s="13">
        <f t="shared" si="2"/>
        <v>28.124324324324316</v>
      </c>
      <c r="AG6" s="9" t="s">
        <v>19</v>
      </c>
      <c r="AH6" s="10">
        <v>62</v>
      </c>
      <c r="AJ6" s="7">
        <v>590</v>
      </c>
      <c r="AK6" s="25">
        <v>1001</v>
      </c>
    </row>
    <row r="7" spans="1:37" x14ac:dyDescent="0.2">
      <c r="A7" s="6" t="s">
        <v>48</v>
      </c>
      <c r="B7" s="25">
        <v>58</v>
      </c>
      <c r="C7" t="str">
        <f t="shared" si="0"/>
        <v>United Kingdom</v>
      </c>
      <c r="D7" s="1">
        <f>GETPIVOTDATA("Institution",$A$3,"Location","United Kingdom")</f>
        <v>62</v>
      </c>
      <c r="E7" s="1"/>
      <c r="F7" s="1"/>
      <c r="G7" s="1"/>
      <c r="I7" s="6" t="s">
        <v>1124</v>
      </c>
      <c r="J7" s="13">
        <v>75.115424164524441</v>
      </c>
      <c r="K7" s="6" t="str">
        <f t="shared" si="1"/>
        <v>Asia</v>
      </c>
      <c r="L7" s="13">
        <f t="shared" si="1"/>
        <v>73.226027397260268</v>
      </c>
      <c r="N7" s="6" t="s">
        <v>16</v>
      </c>
      <c r="O7" s="25">
        <v>99.7</v>
      </c>
      <c r="T7" s="6" t="s">
        <v>1129</v>
      </c>
      <c r="U7" s="25">
        <v>35.685600000000029</v>
      </c>
      <c r="V7" s="25">
        <v>30.536000000000016</v>
      </c>
      <c r="W7" t="str">
        <f t="shared" si="3"/>
        <v>Q2-Strong</v>
      </c>
      <c r="X7">
        <f t="shared" si="3"/>
        <v>58.540000000000006</v>
      </c>
      <c r="Y7">
        <f t="shared" si="3"/>
        <v>58.034800000000004</v>
      </c>
      <c r="AA7" s="6" t="s">
        <v>1130</v>
      </c>
      <c r="AB7" s="25">
        <v>14.286400000000002</v>
      </c>
      <c r="AC7" s="13">
        <v>23.875435435435424</v>
      </c>
      <c r="AD7" t="str">
        <f t="shared" si="2"/>
        <v>Q3-Developing</v>
      </c>
      <c r="AE7">
        <f t="shared" si="2"/>
        <v>15.803199999999999</v>
      </c>
      <c r="AF7" s="13">
        <f t="shared" si="2"/>
        <v>25.328528528528533</v>
      </c>
      <c r="AG7" s="9" t="s">
        <v>48</v>
      </c>
      <c r="AH7" s="10">
        <v>58</v>
      </c>
      <c r="AJ7" s="6" t="s">
        <v>893</v>
      </c>
      <c r="AK7" s="25">
        <v>898</v>
      </c>
    </row>
    <row r="8" spans="1:37" x14ac:dyDescent="0.2">
      <c r="A8" s="6" t="s">
        <v>28</v>
      </c>
      <c r="B8" s="25">
        <v>56</v>
      </c>
      <c r="C8" t="str">
        <f t="shared" si="0"/>
        <v>France</v>
      </c>
      <c r="D8">
        <f>GETPIVOTDATA("Institution",$A$3,"Location","France")</f>
        <v>58</v>
      </c>
      <c r="I8" s="6" t="s">
        <v>1121</v>
      </c>
      <c r="J8" s="13">
        <v>76.209999999999994</v>
      </c>
      <c r="K8" s="6" t="str">
        <f t="shared" si="1"/>
        <v>Europe</v>
      </c>
      <c r="L8" s="13">
        <f t="shared" si="1"/>
        <v>75.115424164524441</v>
      </c>
      <c r="N8" s="6" t="s">
        <v>20</v>
      </c>
      <c r="O8" s="25">
        <v>99.6</v>
      </c>
      <c r="T8" s="6" t="s">
        <v>1130</v>
      </c>
      <c r="U8" s="25">
        <v>19.467600000000058</v>
      </c>
      <c r="V8" s="25">
        <v>13.614799999999997</v>
      </c>
      <c r="W8" t="str">
        <f t="shared" si="3"/>
        <v>Q3-Developing</v>
      </c>
      <c r="X8">
        <f t="shared" si="3"/>
        <v>35.685600000000029</v>
      </c>
      <c r="Y8">
        <f t="shared" si="3"/>
        <v>30.536000000000016</v>
      </c>
      <c r="AD8" t="str">
        <f t="shared" si="2"/>
        <v>Q4-Emerging</v>
      </c>
      <c r="AE8">
        <f t="shared" si="2"/>
        <v>14.286400000000002</v>
      </c>
      <c r="AF8" s="13">
        <f t="shared" si="2"/>
        <v>23.875435435435424</v>
      </c>
      <c r="AG8" s="9" t="s">
        <v>28</v>
      </c>
      <c r="AH8" s="10">
        <v>56</v>
      </c>
      <c r="AJ8" s="7">
        <v>819</v>
      </c>
      <c r="AK8" s="25">
        <v>898</v>
      </c>
    </row>
    <row r="9" spans="1:37" x14ac:dyDescent="0.2">
      <c r="A9" s="6" t="s">
        <v>68</v>
      </c>
      <c r="B9" s="25">
        <v>54</v>
      </c>
      <c r="C9" t="str">
        <f t="shared" si="0"/>
        <v>Japan</v>
      </c>
      <c r="D9">
        <f>GETPIVOTDATA("Institution",$A$3,"Location","Japan")</f>
        <v>56</v>
      </c>
      <c r="I9" s="6" t="s">
        <v>1120</v>
      </c>
      <c r="J9" s="13">
        <v>77.3130612244898</v>
      </c>
      <c r="K9" s="6" t="str">
        <f t="shared" si="1"/>
        <v>Oceania</v>
      </c>
      <c r="L9" s="13">
        <f t="shared" si="1"/>
        <v>76.209999999999994</v>
      </c>
      <c r="N9" s="6" t="s">
        <v>32</v>
      </c>
      <c r="O9" s="25">
        <v>99.5</v>
      </c>
      <c r="W9" t="str">
        <f t="shared" si="3"/>
        <v>Q4-Emerging</v>
      </c>
      <c r="X9">
        <f t="shared" si="3"/>
        <v>19.467600000000058</v>
      </c>
      <c r="Y9">
        <f t="shared" si="3"/>
        <v>13.614799999999997</v>
      </c>
      <c r="AG9" s="9" t="s">
        <v>68</v>
      </c>
      <c r="AH9" s="10">
        <v>54</v>
      </c>
      <c r="AJ9" s="6" t="s">
        <v>195</v>
      </c>
      <c r="AK9" s="25">
        <v>304</v>
      </c>
    </row>
    <row r="10" spans="1:37" x14ac:dyDescent="0.2">
      <c r="A10" s="6" t="s">
        <v>93</v>
      </c>
      <c r="B10" s="25">
        <v>45</v>
      </c>
      <c r="C10" t="str">
        <f t="shared" si="0"/>
        <v>Germany</v>
      </c>
      <c r="D10">
        <f>GETPIVOTDATA("Institution",$A$3,"Location","Germany")</f>
        <v>54</v>
      </c>
      <c r="K10" s="6" t="str">
        <f t="shared" si="1"/>
        <v>North America</v>
      </c>
      <c r="L10" s="13">
        <f t="shared" si="1"/>
        <v>77.3130612244898</v>
      </c>
      <c r="N10" s="6" t="s">
        <v>38</v>
      </c>
      <c r="O10" s="25">
        <v>99.4</v>
      </c>
      <c r="AG10" s="9" t="s">
        <v>93</v>
      </c>
      <c r="AH10" s="10">
        <v>45</v>
      </c>
      <c r="AJ10" s="7">
        <v>157</v>
      </c>
      <c r="AK10" s="25">
        <v>304</v>
      </c>
    </row>
    <row r="11" spans="1:37" x14ac:dyDescent="0.2">
      <c r="A11" s="6" t="s">
        <v>118</v>
      </c>
      <c r="B11" s="25">
        <v>38</v>
      </c>
      <c r="C11" t="str">
        <f t="shared" si="0"/>
        <v>Italy</v>
      </c>
      <c r="D11">
        <f>GETPIVOTDATA("Institution",$A$3,"Location","Italy")</f>
        <v>45</v>
      </c>
      <c r="K11" s="6"/>
      <c r="L11" s="6"/>
      <c r="N11" s="6" t="s">
        <v>18</v>
      </c>
      <c r="O11" s="25">
        <v>99.3</v>
      </c>
      <c r="AG11" s="9" t="s">
        <v>118</v>
      </c>
      <c r="AH11" s="10">
        <v>38</v>
      </c>
      <c r="AJ11" s="6" t="s">
        <v>1022</v>
      </c>
      <c r="AK11" s="25">
        <v>898</v>
      </c>
    </row>
    <row r="12" spans="1:37" x14ac:dyDescent="0.2">
      <c r="A12" s="6" t="s">
        <v>85</v>
      </c>
      <c r="B12" s="25">
        <v>35</v>
      </c>
      <c r="C12" t="str">
        <f t="shared" si="0"/>
        <v>Spain</v>
      </c>
      <c r="D12">
        <f>GETPIVOTDATA("Institution",$A$3,"Location","Spain")</f>
        <v>38</v>
      </c>
      <c r="K12" s="6"/>
      <c r="L12" s="13"/>
      <c r="N12" s="6" t="s">
        <v>36</v>
      </c>
      <c r="O12" s="25">
        <v>99.2</v>
      </c>
      <c r="AG12" s="9" t="s">
        <v>85</v>
      </c>
      <c r="AH12" s="10">
        <v>35</v>
      </c>
      <c r="AJ12" s="7">
        <v>944</v>
      </c>
      <c r="AK12" s="25">
        <v>898</v>
      </c>
    </row>
    <row r="13" spans="1:37" x14ac:dyDescent="0.2">
      <c r="A13" s="6" t="s">
        <v>34</v>
      </c>
      <c r="B13" s="25">
        <v>28</v>
      </c>
      <c r="C13" t="str">
        <f t="shared" si="0"/>
        <v>South Korea</v>
      </c>
      <c r="D13">
        <f>GETPIVOTDATA("Institution",$A$3,"Location","South Korea")</f>
        <v>35</v>
      </c>
      <c r="K13" s="6"/>
      <c r="L13" s="13"/>
      <c r="N13" s="6" t="s">
        <v>31</v>
      </c>
      <c r="O13" s="25">
        <v>99.1</v>
      </c>
      <c r="AG13" s="9" t="s">
        <v>34</v>
      </c>
      <c r="AH13" s="10">
        <v>28</v>
      </c>
      <c r="AJ13" s="6" t="s">
        <v>1052</v>
      </c>
      <c r="AK13" s="25">
        <v>1001</v>
      </c>
    </row>
    <row r="14" spans="1:37" x14ac:dyDescent="0.2">
      <c r="A14" s="6" t="s">
        <v>81</v>
      </c>
      <c r="B14" s="25">
        <v>25</v>
      </c>
      <c r="C14" t="str">
        <f t="shared" si="0"/>
        <v>Canada</v>
      </c>
      <c r="D14">
        <f>GETPIVOTDATA("Institution",$A$3,"Location","Canada")</f>
        <v>28</v>
      </c>
      <c r="K14" s="6"/>
      <c r="L14" s="13"/>
      <c r="AG14" s="11" t="s">
        <v>1095</v>
      </c>
      <c r="AH14" s="12">
        <v>697</v>
      </c>
      <c r="AJ14" s="7">
        <v>974</v>
      </c>
      <c r="AK14" s="25">
        <v>1001</v>
      </c>
    </row>
    <row r="15" spans="1:37" x14ac:dyDescent="0.2">
      <c r="A15" s="6" t="s">
        <v>107</v>
      </c>
      <c r="B15" s="25">
        <v>20</v>
      </c>
      <c r="K15" s="6"/>
      <c r="L15" s="13"/>
      <c r="AJ15" s="6" t="s">
        <v>444</v>
      </c>
      <c r="AK15" s="25">
        <v>275</v>
      </c>
    </row>
    <row r="16" spans="1:37" x14ac:dyDescent="0.2">
      <c r="A16" s="6" t="s">
        <v>478</v>
      </c>
      <c r="B16" s="25">
        <v>17</v>
      </c>
      <c r="K16" s="6"/>
      <c r="L16" s="13"/>
      <c r="AJ16" s="7">
        <v>388</v>
      </c>
      <c r="AK16" s="25">
        <v>275</v>
      </c>
    </row>
    <row r="17" spans="1:37" x14ac:dyDescent="0.2">
      <c r="A17" s="6" t="s">
        <v>145</v>
      </c>
      <c r="B17" s="25">
        <v>17</v>
      </c>
      <c r="K17" s="6"/>
      <c r="L17" s="13"/>
      <c r="AJ17" s="6" t="s">
        <v>264</v>
      </c>
      <c r="AK17" s="25">
        <v>363</v>
      </c>
    </row>
    <row r="18" spans="1:37" x14ac:dyDescent="0.2">
      <c r="A18" s="6" t="s">
        <v>591</v>
      </c>
      <c r="B18" s="25">
        <v>13</v>
      </c>
      <c r="K18" s="6"/>
      <c r="L18" s="13"/>
      <c r="AJ18" s="7">
        <v>222</v>
      </c>
      <c r="AK18" s="25">
        <v>363</v>
      </c>
    </row>
    <row r="19" spans="1:37" x14ac:dyDescent="0.2">
      <c r="A19" s="6" t="s">
        <v>99</v>
      </c>
      <c r="B19" s="25">
        <v>13</v>
      </c>
      <c r="K19" s="6"/>
      <c r="L19" s="13"/>
      <c r="AJ19" s="6" t="s">
        <v>892</v>
      </c>
      <c r="AK19" s="25">
        <v>673</v>
      </c>
    </row>
    <row r="20" spans="1:37" x14ac:dyDescent="0.2">
      <c r="A20" s="6" t="s">
        <v>72</v>
      </c>
      <c r="B20" s="25">
        <v>12</v>
      </c>
      <c r="K20" s="6"/>
      <c r="L20" s="13"/>
      <c r="AJ20" s="7">
        <v>818</v>
      </c>
      <c r="AK20" s="25">
        <v>673</v>
      </c>
    </row>
    <row r="21" spans="1:37" x14ac:dyDescent="0.2">
      <c r="A21" s="6" t="s">
        <v>427</v>
      </c>
      <c r="B21" s="25">
        <v>12</v>
      </c>
      <c r="K21" s="6"/>
      <c r="L21" s="13"/>
      <c r="AJ21" s="6" t="s">
        <v>663</v>
      </c>
      <c r="AK21" s="25">
        <v>541</v>
      </c>
    </row>
    <row r="22" spans="1:37" x14ac:dyDescent="0.2">
      <c r="A22" s="6" t="s">
        <v>212</v>
      </c>
      <c r="B22" s="25">
        <v>11</v>
      </c>
      <c r="K22" s="6"/>
      <c r="L22" s="13"/>
      <c r="AJ22" s="7">
        <v>597</v>
      </c>
      <c r="AK22" s="25">
        <v>541</v>
      </c>
    </row>
    <row r="23" spans="1:37" x14ac:dyDescent="0.2">
      <c r="A23" s="6" t="s">
        <v>307</v>
      </c>
      <c r="B23" s="25">
        <v>10</v>
      </c>
      <c r="K23" s="6"/>
      <c r="L23" s="13"/>
      <c r="AJ23" s="6" t="s">
        <v>866</v>
      </c>
      <c r="AK23" s="25">
        <v>1001</v>
      </c>
    </row>
    <row r="24" spans="1:37" x14ac:dyDescent="0.2">
      <c r="A24" s="6" t="s">
        <v>46</v>
      </c>
      <c r="B24" s="25">
        <v>9</v>
      </c>
      <c r="K24" s="6"/>
      <c r="L24" s="13"/>
      <c r="AJ24" s="7">
        <v>794</v>
      </c>
      <c r="AK24" s="25">
        <v>1001</v>
      </c>
    </row>
    <row r="25" spans="1:37" x14ac:dyDescent="0.2">
      <c r="A25" s="6" t="s">
        <v>126</v>
      </c>
      <c r="B25" s="25">
        <v>9</v>
      </c>
      <c r="K25" s="6"/>
      <c r="L25" s="13"/>
      <c r="AJ25" s="6" t="s">
        <v>235</v>
      </c>
      <c r="AK25" s="25">
        <v>151</v>
      </c>
    </row>
    <row r="26" spans="1:37" x14ac:dyDescent="0.2">
      <c r="A26" s="6" t="s">
        <v>139</v>
      </c>
      <c r="B26" s="25">
        <v>9</v>
      </c>
      <c r="K26" s="6"/>
      <c r="L26" s="13"/>
      <c r="AJ26" s="7">
        <v>195</v>
      </c>
      <c r="AK26" s="25">
        <v>151</v>
      </c>
    </row>
    <row r="27" spans="1:37" x14ac:dyDescent="0.2">
      <c r="A27" s="6" t="s">
        <v>266</v>
      </c>
      <c r="B27" s="25">
        <v>7</v>
      </c>
      <c r="K27" s="6"/>
      <c r="L27" s="13"/>
      <c r="AJ27" s="6" t="s">
        <v>970</v>
      </c>
      <c r="AK27" s="25">
        <v>1001</v>
      </c>
    </row>
    <row r="28" spans="1:37" x14ac:dyDescent="0.2">
      <c r="A28" s="6" t="s">
        <v>269</v>
      </c>
      <c r="B28" s="25">
        <v>7</v>
      </c>
      <c r="K28" s="6"/>
      <c r="L28" s="13"/>
      <c r="AJ28" s="7">
        <v>895</v>
      </c>
      <c r="AK28" s="25">
        <v>1001</v>
      </c>
    </row>
    <row r="29" spans="1:37" x14ac:dyDescent="0.2">
      <c r="A29" s="6" t="s">
        <v>66</v>
      </c>
      <c r="B29" s="25">
        <v>7</v>
      </c>
      <c r="K29" s="6"/>
      <c r="L29" s="13"/>
      <c r="AJ29" s="6" t="s">
        <v>976</v>
      </c>
      <c r="AK29" s="25">
        <v>898</v>
      </c>
    </row>
    <row r="30" spans="1:37" x14ac:dyDescent="0.2">
      <c r="A30" s="6" t="s">
        <v>354</v>
      </c>
      <c r="B30" s="25">
        <v>6</v>
      </c>
      <c r="K30" s="6"/>
      <c r="L30" s="13"/>
      <c r="AJ30" s="7">
        <v>901</v>
      </c>
      <c r="AK30" s="25">
        <v>898</v>
      </c>
    </row>
    <row r="31" spans="1:37" x14ac:dyDescent="0.2">
      <c r="A31" s="6" t="s">
        <v>470</v>
      </c>
      <c r="B31" s="25">
        <v>6</v>
      </c>
      <c r="K31" s="6"/>
      <c r="L31" s="13"/>
      <c r="AJ31" s="6" t="s">
        <v>973</v>
      </c>
      <c r="AK31" s="25">
        <v>898</v>
      </c>
    </row>
    <row r="32" spans="1:37" x14ac:dyDescent="0.2">
      <c r="A32" s="6" t="s">
        <v>262</v>
      </c>
      <c r="B32" s="25">
        <v>6</v>
      </c>
      <c r="K32" s="6"/>
      <c r="L32" s="13"/>
      <c r="AJ32" s="7">
        <v>898</v>
      </c>
      <c r="AK32" s="25">
        <v>898</v>
      </c>
    </row>
    <row r="33" spans="1:37" x14ac:dyDescent="0.2">
      <c r="A33" s="6" t="s">
        <v>210</v>
      </c>
      <c r="B33" s="25">
        <v>6</v>
      </c>
      <c r="K33" s="6"/>
      <c r="L33" s="13"/>
      <c r="AJ33" s="6" t="s">
        <v>26</v>
      </c>
      <c r="AK33" s="25">
        <v>31</v>
      </c>
    </row>
    <row r="34" spans="1:37" x14ac:dyDescent="0.2">
      <c r="A34" s="6" t="s">
        <v>164</v>
      </c>
      <c r="B34" s="25">
        <v>5</v>
      </c>
      <c r="K34" s="6"/>
      <c r="L34" s="13"/>
      <c r="AJ34" s="7">
        <v>11</v>
      </c>
      <c r="AK34" s="25">
        <v>31</v>
      </c>
    </row>
    <row r="35" spans="1:37" x14ac:dyDescent="0.2">
      <c r="A35" s="6" t="s">
        <v>281</v>
      </c>
      <c r="B35" s="25">
        <v>5</v>
      </c>
      <c r="K35" s="6"/>
      <c r="L35" s="13"/>
      <c r="AJ35" s="6" t="s">
        <v>789</v>
      </c>
      <c r="AK35" s="25">
        <v>1001</v>
      </c>
    </row>
    <row r="36" spans="1:37" x14ac:dyDescent="0.2">
      <c r="A36" s="6" t="s">
        <v>244</v>
      </c>
      <c r="B36" s="25">
        <v>5</v>
      </c>
      <c r="K36" s="6"/>
      <c r="L36" s="13"/>
      <c r="AJ36" s="7">
        <v>722</v>
      </c>
      <c r="AK36" s="25">
        <v>1001</v>
      </c>
    </row>
    <row r="37" spans="1:37" x14ac:dyDescent="0.2">
      <c r="A37" s="6" t="s">
        <v>510</v>
      </c>
      <c r="B37" s="25">
        <v>5</v>
      </c>
      <c r="K37" s="6"/>
      <c r="L37" s="13"/>
      <c r="AJ37" s="6" t="s">
        <v>1065</v>
      </c>
      <c r="AK37" s="25">
        <v>1001</v>
      </c>
    </row>
    <row r="38" spans="1:37" x14ac:dyDescent="0.2">
      <c r="A38" s="6" t="s">
        <v>103</v>
      </c>
      <c r="B38" s="25">
        <v>5</v>
      </c>
      <c r="K38" s="6"/>
      <c r="L38" s="13"/>
      <c r="AJ38" s="7">
        <v>987</v>
      </c>
      <c r="AK38" s="25">
        <v>1001</v>
      </c>
    </row>
    <row r="39" spans="1:37" x14ac:dyDescent="0.2">
      <c r="A39" s="6" t="s">
        <v>59</v>
      </c>
      <c r="B39" s="25">
        <v>5</v>
      </c>
      <c r="K39" s="6"/>
      <c r="L39" s="13"/>
      <c r="AJ39" s="6" t="s">
        <v>423</v>
      </c>
      <c r="AK39" s="25">
        <v>898</v>
      </c>
    </row>
    <row r="40" spans="1:37" x14ac:dyDescent="0.2">
      <c r="A40" s="6" t="s">
        <v>304</v>
      </c>
      <c r="B40" s="25">
        <v>4</v>
      </c>
      <c r="K40" s="6"/>
      <c r="L40" s="13"/>
      <c r="AJ40" s="7">
        <v>369</v>
      </c>
      <c r="AK40" s="25">
        <v>898</v>
      </c>
    </row>
    <row r="41" spans="1:37" x14ac:dyDescent="0.2">
      <c r="A41" s="6" t="s">
        <v>373</v>
      </c>
      <c r="B41" s="25">
        <v>4</v>
      </c>
      <c r="K41" s="6"/>
      <c r="L41" s="13"/>
      <c r="AJ41" s="6" t="s">
        <v>312</v>
      </c>
      <c r="AK41" s="25">
        <v>327</v>
      </c>
    </row>
    <row r="42" spans="1:37" x14ac:dyDescent="0.2">
      <c r="A42" s="6" t="s">
        <v>376</v>
      </c>
      <c r="B42" s="25">
        <v>4</v>
      </c>
      <c r="K42" s="6"/>
      <c r="L42" s="13"/>
      <c r="AJ42" s="7">
        <v>265</v>
      </c>
      <c r="AK42" s="25">
        <v>327</v>
      </c>
    </row>
    <row r="43" spans="1:37" x14ac:dyDescent="0.2">
      <c r="A43" s="6" t="s">
        <v>533</v>
      </c>
      <c r="B43" s="25">
        <v>4</v>
      </c>
      <c r="K43" s="6"/>
      <c r="L43" s="13"/>
      <c r="AJ43" s="6" t="s">
        <v>712</v>
      </c>
      <c r="AK43" s="25">
        <v>541</v>
      </c>
    </row>
    <row r="44" spans="1:37" x14ac:dyDescent="0.2">
      <c r="A44" s="6" t="s">
        <v>512</v>
      </c>
      <c r="B44" s="25">
        <v>4</v>
      </c>
      <c r="K44" s="6"/>
      <c r="L44" s="13"/>
      <c r="AJ44" s="7">
        <v>646</v>
      </c>
      <c r="AK44" s="25">
        <v>541</v>
      </c>
    </row>
    <row r="45" spans="1:37" x14ac:dyDescent="0.2">
      <c r="A45" s="6" t="s">
        <v>836</v>
      </c>
      <c r="B45" s="25">
        <v>3</v>
      </c>
      <c r="K45" s="6"/>
      <c r="L45" s="13"/>
      <c r="AJ45" s="6" t="s">
        <v>386</v>
      </c>
      <c r="AK45" s="25">
        <v>898</v>
      </c>
    </row>
    <row r="46" spans="1:37" x14ac:dyDescent="0.2">
      <c r="A46" s="6" t="s">
        <v>876</v>
      </c>
      <c r="B46" s="25">
        <v>3</v>
      </c>
      <c r="K46" s="6"/>
      <c r="L46" s="13"/>
      <c r="AJ46" s="7">
        <v>335</v>
      </c>
      <c r="AK46" s="25">
        <v>898</v>
      </c>
    </row>
    <row r="47" spans="1:37" x14ac:dyDescent="0.2">
      <c r="A47" s="6" t="s">
        <v>872</v>
      </c>
      <c r="B47" s="25">
        <v>3</v>
      </c>
      <c r="K47" s="6"/>
      <c r="L47" s="13"/>
      <c r="AJ47" s="6" t="s">
        <v>918</v>
      </c>
      <c r="AK47" s="25">
        <v>898</v>
      </c>
    </row>
    <row r="48" spans="1:37" x14ac:dyDescent="0.2">
      <c r="A48" s="6" t="s">
        <v>341</v>
      </c>
      <c r="B48" s="25">
        <v>3</v>
      </c>
      <c r="K48" s="6"/>
      <c r="L48" s="13"/>
      <c r="AJ48" s="7">
        <v>844</v>
      </c>
      <c r="AK48" s="25">
        <v>898</v>
      </c>
    </row>
    <row r="49" spans="1:37" x14ac:dyDescent="0.2">
      <c r="A49" s="6" t="s">
        <v>425</v>
      </c>
      <c r="B49" s="25">
        <v>2</v>
      </c>
      <c r="K49" s="6"/>
      <c r="L49" s="13"/>
      <c r="AJ49" s="6" t="s">
        <v>238</v>
      </c>
      <c r="AK49" s="25">
        <v>167</v>
      </c>
    </row>
    <row r="50" spans="1:37" x14ac:dyDescent="0.2">
      <c r="A50" s="6" t="s">
        <v>137</v>
      </c>
      <c r="B50" s="25">
        <v>2</v>
      </c>
      <c r="K50" s="6"/>
      <c r="L50" s="13"/>
      <c r="AJ50" s="7">
        <v>198</v>
      </c>
      <c r="AK50" s="25">
        <v>167</v>
      </c>
    </row>
    <row r="51" spans="1:37" x14ac:dyDescent="0.2">
      <c r="A51" s="6" t="s">
        <v>524</v>
      </c>
      <c r="B51" s="25">
        <v>2</v>
      </c>
      <c r="K51" s="6"/>
      <c r="L51" s="13"/>
      <c r="AJ51" s="6" t="s">
        <v>630</v>
      </c>
      <c r="AK51" s="25">
        <v>673</v>
      </c>
    </row>
    <row r="52" spans="1:37" x14ac:dyDescent="0.2">
      <c r="A52" s="6" t="s">
        <v>956</v>
      </c>
      <c r="B52" s="25">
        <v>1</v>
      </c>
      <c r="K52" s="6"/>
      <c r="L52" s="13"/>
      <c r="AJ52" s="7">
        <v>564</v>
      </c>
      <c r="AK52" s="25">
        <v>673</v>
      </c>
    </row>
    <row r="53" spans="1:37" x14ac:dyDescent="0.2">
      <c r="A53" s="6" t="s">
        <v>842</v>
      </c>
      <c r="B53" s="25">
        <v>1</v>
      </c>
      <c r="K53" s="6"/>
      <c r="L53" s="13"/>
      <c r="AJ53" s="6" t="s">
        <v>542</v>
      </c>
      <c r="AK53" s="25">
        <v>460</v>
      </c>
    </row>
    <row r="54" spans="1:37" x14ac:dyDescent="0.2">
      <c r="A54" s="6" t="s">
        <v>986</v>
      </c>
      <c r="B54" s="25">
        <v>1</v>
      </c>
      <c r="K54" s="6"/>
      <c r="L54" s="13"/>
      <c r="AJ54" s="7">
        <v>478</v>
      </c>
      <c r="AK54" s="25">
        <v>460</v>
      </c>
    </row>
    <row r="55" spans="1:37" x14ac:dyDescent="0.2">
      <c r="A55" s="6" t="s">
        <v>981</v>
      </c>
      <c r="B55" s="25">
        <v>1</v>
      </c>
      <c r="K55" s="6"/>
      <c r="L55" s="13"/>
      <c r="AJ55" s="6" t="s">
        <v>945</v>
      </c>
      <c r="AK55" s="25">
        <v>898</v>
      </c>
    </row>
    <row r="56" spans="1:37" x14ac:dyDescent="0.2">
      <c r="A56" s="6" t="s">
        <v>855</v>
      </c>
      <c r="B56" s="25">
        <v>1</v>
      </c>
      <c r="K56" s="6"/>
      <c r="L56" s="13"/>
      <c r="AJ56" s="7">
        <v>871</v>
      </c>
      <c r="AK56" s="25">
        <v>898</v>
      </c>
    </row>
    <row r="57" spans="1:37" x14ac:dyDescent="0.2">
      <c r="A57" s="6" t="s">
        <v>1070</v>
      </c>
      <c r="B57" s="25">
        <v>1</v>
      </c>
      <c r="K57" s="6"/>
      <c r="L57" s="13"/>
      <c r="AJ57" s="6" t="s">
        <v>878</v>
      </c>
      <c r="AK57" s="25">
        <v>898</v>
      </c>
    </row>
    <row r="58" spans="1:37" x14ac:dyDescent="0.2">
      <c r="A58" s="6" t="s">
        <v>395</v>
      </c>
      <c r="B58" s="25">
        <v>1</v>
      </c>
      <c r="K58" s="6"/>
      <c r="L58" s="13"/>
      <c r="AJ58" s="7">
        <v>804</v>
      </c>
      <c r="AK58" s="25">
        <v>898</v>
      </c>
    </row>
    <row r="59" spans="1:37" x14ac:dyDescent="0.2">
      <c r="A59" s="6" t="s">
        <v>793</v>
      </c>
      <c r="B59" s="25">
        <v>1</v>
      </c>
      <c r="K59" s="6"/>
      <c r="L59" s="13"/>
      <c r="AJ59" s="6" t="s">
        <v>65</v>
      </c>
      <c r="AK59" s="25">
        <v>254</v>
      </c>
    </row>
    <row r="60" spans="1:37" x14ac:dyDescent="0.2">
      <c r="A60" s="6" t="s">
        <v>740</v>
      </c>
      <c r="B60" s="25">
        <v>1</v>
      </c>
      <c r="K60" s="6"/>
      <c r="L60" s="13"/>
      <c r="AJ60" s="7">
        <v>45</v>
      </c>
      <c r="AK60" s="25">
        <v>254</v>
      </c>
    </row>
    <row r="61" spans="1:37" x14ac:dyDescent="0.2">
      <c r="A61" s="6" t="s">
        <v>555</v>
      </c>
      <c r="B61" s="25">
        <v>1</v>
      </c>
      <c r="K61" s="6"/>
      <c r="L61" s="13"/>
      <c r="AJ61" s="6" t="s">
        <v>298</v>
      </c>
      <c r="AK61" s="25">
        <v>163</v>
      </c>
    </row>
    <row r="62" spans="1:37" x14ac:dyDescent="0.2">
      <c r="A62" s="6" t="s">
        <v>540</v>
      </c>
      <c r="B62" s="25">
        <v>1</v>
      </c>
      <c r="K62" s="6"/>
      <c r="L62" s="13"/>
      <c r="AJ62" s="7">
        <v>253</v>
      </c>
      <c r="AK62" s="25">
        <v>163</v>
      </c>
    </row>
    <row r="63" spans="1:37" x14ac:dyDescent="0.2">
      <c r="A63" s="6" t="s">
        <v>1075</v>
      </c>
      <c r="B63" s="25">
        <v>1</v>
      </c>
      <c r="K63" s="6"/>
      <c r="L63" s="13"/>
      <c r="AJ63" s="6" t="s">
        <v>55</v>
      </c>
      <c r="AK63" s="25">
        <v>22</v>
      </c>
    </row>
    <row r="64" spans="1:37" x14ac:dyDescent="0.2">
      <c r="A64" s="6" t="s">
        <v>817</v>
      </c>
      <c r="B64" s="25">
        <v>1</v>
      </c>
      <c r="K64" s="6"/>
      <c r="L64" s="13"/>
      <c r="AJ64" s="7">
        <v>36</v>
      </c>
      <c r="AK64" s="25">
        <v>22</v>
      </c>
    </row>
    <row r="65" spans="11:37" x14ac:dyDescent="0.2">
      <c r="K65" s="6"/>
      <c r="L65" s="13"/>
      <c r="AJ65" s="6" t="s">
        <v>324</v>
      </c>
      <c r="AK65" s="25">
        <v>460</v>
      </c>
    </row>
    <row r="66" spans="11:37" x14ac:dyDescent="0.2">
      <c r="AJ66" s="7">
        <v>277</v>
      </c>
      <c r="AK66" s="25">
        <v>460</v>
      </c>
    </row>
    <row r="67" spans="11:37" x14ac:dyDescent="0.2">
      <c r="AJ67" s="6" t="s">
        <v>351</v>
      </c>
      <c r="AK67" s="25">
        <v>541</v>
      </c>
    </row>
    <row r="68" spans="11:37" x14ac:dyDescent="0.2">
      <c r="AJ68" s="7">
        <v>303</v>
      </c>
      <c r="AK68" s="25">
        <v>541</v>
      </c>
    </row>
    <row r="69" spans="11:37" x14ac:dyDescent="0.2">
      <c r="AJ69" s="6" t="s">
        <v>642</v>
      </c>
      <c r="AK69" s="25">
        <v>304</v>
      </c>
    </row>
    <row r="70" spans="11:37" x14ac:dyDescent="0.2">
      <c r="AJ70" s="7">
        <v>576</v>
      </c>
      <c r="AK70" s="25">
        <v>304</v>
      </c>
    </row>
    <row r="71" spans="11:37" x14ac:dyDescent="0.2">
      <c r="AJ71" s="6" t="s">
        <v>284</v>
      </c>
      <c r="AK71" s="25">
        <v>167</v>
      </c>
    </row>
    <row r="72" spans="11:37" x14ac:dyDescent="0.2">
      <c r="AJ72" s="7">
        <v>239</v>
      </c>
      <c r="AK72" s="25">
        <v>167</v>
      </c>
    </row>
    <row r="73" spans="11:37" x14ac:dyDescent="0.2">
      <c r="AJ73" s="6" t="s">
        <v>206</v>
      </c>
      <c r="AK73" s="25">
        <v>129</v>
      </c>
    </row>
    <row r="74" spans="11:37" x14ac:dyDescent="0.2">
      <c r="AJ74" s="7">
        <v>168</v>
      </c>
      <c r="AK74" s="25">
        <v>129</v>
      </c>
    </row>
    <row r="75" spans="11:37" x14ac:dyDescent="0.2">
      <c r="AJ75" s="6" t="s">
        <v>165</v>
      </c>
      <c r="AK75" s="25">
        <v>44</v>
      </c>
    </row>
    <row r="76" spans="11:37" x14ac:dyDescent="0.2">
      <c r="AJ76" s="7">
        <v>127</v>
      </c>
      <c r="AK76" s="25">
        <v>44</v>
      </c>
    </row>
    <row r="77" spans="11:37" x14ac:dyDescent="0.2">
      <c r="AJ77" s="6" t="s">
        <v>370</v>
      </c>
      <c r="AK77" s="25">
        <v>304</v>
      </c>
    </row>
    <row r="78" spans="11:37" x14ac:dyDescent="0.2">
      <c r="AJ78" s="7">
        <v>321</v>
      </c>
      <c r="AK78" s="25">
        <v>304</v>
      </c>
    </row>
    <row r="79" spans="11:37" x14ac:dyDescent="0.2">
      <c r="AJ79" s="6" t="s">
        <v>501</v>
      </c>
      <c r="AK79" s="25">
        <v>460</v>
      </c>
    </row>
    <row r="80" spans="11:37" x14ac:dyDescent="0.2">
      <c r="AJ80" s="7">
        <v>443</v>
      </c>
      <c r="AK80" s="25">
        <v>460</v>
      </c>
    </row>
    <row r="81" spans="36:37" x14ac:dyDescent="0.2">
      <c r="AJ81" s="6" t="s">
        <v>322</v>
      </c>
      <c r="AK81" s="25">
        <v>363</v>
      </c>
    </row>
    <row r="82" spans="36:37" x14ac:dyDescent="0.2">
      <c r="AJ82" s="7">
        <v>275</v>
      </c>
      <c r="AK82" s="25">
        <v>363</v>
      </c>
    </row>
    <row r="83" spans="36:37" x14ac:dyDescent="0.2">
      <c r="AJ83" s="6" t="s">
        <v>291</v>
      </c>
      <c r="AK83" s="25">
        <v>304</v>
      </c>
    </row>
    <row r="84" spans="36:37" x14ac:dyDescent="0.2">
      <c r="AJ84" s="7">
        <v>246</v>
      </c>
      <c r="AK84" s="25">
        <v>304</v>
      </c>
    </row>
    <row r="85" spans="36:37" x14ac:dyDescent="0.2">
      <c r="AJ85" s="6" t="s">
        <v>816</v>
      </c>
      <c r="AK85" s="25">
        <v>673</v>
      </c>
    </row>
    <row r="86" spans="36:37" x14ac:dyDescent="0.2">
      <c r="AJ86" s="7">
        <v>748</v>
      </c>
      <c r="AK86" s="25">
        <v>673</v>
      </c>
    </row>
    <row r="87" spans="36:37" x14ac:dyDescent="0.2">
      <c r="AJ87" s="6" t="s">
        <v>641</v>
      </c>
      <c r="AK87" s="25">
        <v>541</v>
      </c>
    </row>
    <row r="88" spans="36:37" x14ac:dyDescent="0.2">
      <c r="AJ88" s="7">
        <v>575</v>
      </c>
      <c r="AK88" s="25">
        <v>541</v>
      </c>
    </row>
    <row r="89" spans="36:37" x14ac:dyDescent="0.2">
      <c r="AJ89" s="6" t="s">
        <v>359</v>
      </c>
      <c r="AK89" s="25">
        <v>240</v>
      </c>
    </row>
    <row r="90" spans="36:37" x14ac:dyDescent="0.2">
      <c r="AJ90" s="7">
        <v>310</v>
      </c>
      <c r="AK90" s="25">
        <v>240</v>
      </c>
    </row>
    <row r="91" spans="36:37" x14ac:dyDescent="0.2">
      <c r="AJ91" s="6" t="s">
        <v>89</v>
      </c>
      <c r="AK91" s="25">
        <v>45</v>
      </c>
    </row>
    <row r="92" spans="36:37" x14ac:dyDescent="0.2">
      <c r="AJ92" s="7">
        <v>64</v>
      </c>
      <c r="AK92" s="25">
        <v>45</v>
      </c>
    </row>
    <row r="93" spans="36:37" x14ac:dyDescent="0.2">
      <c r="AJ93" s="6" t="s">
        <v>98</v>
      </c>
      <c r="AK93" s="25">
        <v>66</v>
      </c>
    </row>
    <row r="94" spans="36:37" x14ac:dyDescent="0.2">
      <c r="AJ94" s="7">
        <v>72</v>
      </c>
      <c r="AK94" s="25">
        <v>66</v>
      </c>
    </row>
    <row r="95" spans="36:37" x14ac:dyDescent="0.2">
      <c r="AJ95" s="6" t="s">
        <v>582</v>
      </c>
      <c r="AK95" s="25">
        <v>363</v>
      </c>
    </row>
    <row r="96" spans="36:37" x14ac:dyDescent="0.2">
      <c r="AJ96" s="7">
        <v>517</v>
      </c>
      <c r="AK96" s="25">
        <v>363</v>
      </c>
    </row>
    <row r="97" spans="36:37" x14ac:dyDescent="0.2">
      <c r="AJ97" s="6" t="s">
        <v>116</v>
      </c>
      <c r="AK97" s="25">
        <v>114</v>
      </c>
    </row>
    <row r="98" spans="36:37" x14ac:dyDescent="0.2">
      <c r="AJ98" s="7">
        <v>86</v>
      </c>
      <c r="AK98" s="25">
        <v>114</v>
      </c>
    </row>
    <row r="99" spans="36:37" x14ac:dyDescent="0.2">
      <c r="AJ99" s="6" t="s">
        <v>821</v>
      </c>
      <c r="AK99" s="25">
        <v>541</v>
      </c>
    </row>
    <row r="100" spans="36:37" x14ac:dyDescent="0.2">
      <c r="AJ100" s="7">
        <v>752</v>
      </c>
      <c r="AK100" s="25">
        <v>541</v>
      </c>
    </row>
    <row r="101" spans="36:37" x14ac:dyDescent="0.2">
      <c r="AJ101" s="6" t="s">
        <v>1001</v>
      </c>
      <c r="AK101" s="25">
        <v>1001</v>
      </c>
    </row>
    <row r="102" spans="36:37" x14ac:dyDescent="0.2">
      <c r="AJ102" s="7">
        <v>923</v>
      </c>
      <c r="AK102" s="25">
        <v>1001</v>
      </c>
    </row>
    <row r="103" spans="36:37" x14ac:dyDescent="0.2">
      <c r="AJ103" s="6" t="s">
        <v>95</v>
      </c>
      <c r="AK103" s="25">
        <v>51</v>
      </c>
    </row>
    <row r="104" spans="36:37" x14ac:dyDescent="0.2">
      <c r="AJ104" s="7">
        <v>69</v>
      </c>
      <c r="AK104" s="25">
        <v>51</v>
      </c>
    </row>
    <row r="105" spans="36:37" x14ac:dyDescent="0.2">
      <c r="AJ105" s="6" t="s">
        <v>507</v>
      </c>
      <c r="AK105" s="25">
        <v>541</v>
      </c>
    </row>
    <row r="106" spans="36:37" x14ac:dyDescent="0.2">
      <c r="AJ106" s="7">
        <v>449</v>
      </c>
      <c r="AK106" s="25">
        <v>541</v>
      </c>
    </row>
    <row r="107" spans="36:37" x14ac:dyDescent="0.2">
      <c r="AJ107" s="6" t="s">
        <v>523</v>
      </c>
      <c r="AK107" s="25">
        <v>460</v>
      </c>
    </row>
    <row r="108" spans="36:37" x14ac:dyDescent="0.2">
      <c r="AJ108" s="7">
        <v>463</v>
      </c>
      <c r="AK108" s="25">
        <v>460</v>
      </c>
    </row>
    <row r="109" spans="36:37" x14ac:dyDescent="0.2">
      <c r="AJ109" s="6" t="s">
        <v>326</v>
      </c>
      <c r="AK109" s="25">
        <v>174</v>
      </c>
    </row>
    <row r="110" spans="36:37" x14ac:dyDescent="0.2">
      <c r="AJ110" s="7">
        <v>279</v>
      </c>
      <c r="AK110" s="25">
        <v>174</v>
      </c>
    </row>
    <row r="111" spans="36:37" x14ac:dyDescent="0.2">
      <c r="AJ111" s="6" t="s">
        <v>564</v>
      </c>
      <c r="AK111" s="25">
        <v>363</v>
      </c>
    </row>
    <row r="112" spans="36:37" x14ac:dyDescent="0.2">
      <c r="AJ112" s="7">
        <v>499</v>
      </c>
      <c r="AK112" s="25">
        <v>363</v>
      </c>
    </row>
    <row r="113" spans="36:37" x14ac:dyDescent="0.2">
      <c r="AJ113" s="6" t="s">
        <v>913</v>
      </c>
      <c r="AK113" s="25">
        <v>460</v>
      </c>
    </row>
    <row r="114" spans="36:37" x14ac:dyDescent="0.2">
      <c r="AJ114" s="7">
        <v>839</v>
      </c>
      <c r="AK114" s="25">
        <v>460</v>
      </c>
    </row>
    <row r="115" spans="36:37" x14ac:dyDescent="0.2">
      <c r="AJ115" s="6" t="s">
        <v>847</v>
      </c>
      <c r="AK115" s="25">
        <v>673</v>
      </c>
    </row>
    <row r="116" spans="36:37" x14ac:dyDescent="0.2">
      <c r="AJ116" s="7">
        <v>776</v>
      </c>
      <c r="AK116" s="25">
        <v>673</v>
      </c>
    </row>
    <row r="117" spans="36:37" x14ac:dyDescent="0.2">
      <c r="AJ117" s="6" t="s">
        <v>453</v>
      </c>
      <c r="AK117" s="25">
        <v>363</v>
      </c>
    </row>
    <row r="118" spans="36:37" x14ac:dyDescent="0.2">
      <c r="AJ118" s="7">
        <v>397</v>
      </c>
      <c r="AK118" s="25">
        <v>363</v>
      </c>
    </row>
    <row r="119" spans="36:37" x14ac:dyDescent="0.2">
      <c r="AJ119" s="6" t="s">
        <v>638</v>
      </c>
      <c r="AK119" s="25">
        <v>673</v>
      </c>
    </row>
    <row r="120" spans="36:37" x14ac:dyDescent="0.2">
      <c r="AJ120" s="7">
        <v>572</v>
      </c>
      <c r="AK120" s="25">
        <v>673</v>
      </c>
    </row>
    <row r="121" spans="36:37" x14ac:dyDescent="0.2">
      <c r="AJ121" s="6" t="s">
        <v>44</v>
      </c>
      <c r="AK121" s="25">
        <v>15</v>
      </c>
    </row>
    <row r="122" spans="36:37" x14ac:dyDescent="0.2">
      <c r="AJ122" s="7">
        <v>27</v>
      </c>
      <c r="AK122" s="25">
        <v>15</v>
      </c>
    </row>
    <row r="123" spans="36:37" x14ac:dyDescent="0.2">
      <c r="AJ123" s="6" t="s">
        <v>1030</v>
      </c>
      <c r="AK123" s="25">
        <v>1001</v>
      </c>
    </row>
    <row r="124" spans="36:37" x14ac:dyDescent="0.2">
      <c r="AJ124" s="7">
        <v>952</v>
      </c>
      <c r="AK124" s="25">
        <v>1001</v>
      </c>
    </row>
    <row r="125" spans="36:37" x14ac:dyDescent="0.2">
      <c r="AJ125" s="6" t="s">
        <v>923</v>
      </c>
      <c r="AK125" s="25">
        <v>1001</v>
      </c>
    </row>
    <row r="126" spans="36:37" x14ac:dyDescent="0.2">
      <c r="AJ126" s="7">
        <v>849</v>
      </c>
      <c r="AK126" s="25">
        <v>1001</v>
      </c>
    </row>
    <row r="127" spans="36:37" x14ac:dyDescent="0.2">
      <c r="AJ127" s="6" t="s">
        <v>183</v>
      </c>
      <c r="AK127" s="25">
        <v>121</v>
      </c>
    </row>
    <row r="128" spans="36:37" x14ac:dyDescent="0.2">
      <c r="AJ128" s="7">
        <v>145</v>
      </c>
      <c r="AK128" s="25">
        <v>121</v>
      </c>
    </row>
    <row r="129" spans="36:37" x14ac:dyDescent="0.2">
      <c r="AJ129" s="6" t="s">
        <v>315</v>
      </c>
      <c r="AK129" s="25">
        <v>275</v>
      </c>
    </row>
    <row r="130" spans="36:37" x14ac:dyDescent="0.2">
      <c r="AJ130" s="7">
        <v>268</v>
      </c>
      <c r="AK130" s="25">
        <v>275</v>
      </c>
    </row>
    <row r="131" spans="36:37" x14ac:dyDescent="0.2">
      <c r="AJ131" s="6" t="s">
        <v>36</v>
      </c>
      <c r="AK131" s="25">
        <v>9</v>
      </c>
    </row>
    <row r="132" spans="36:37" x14ac:dyDescent="0.2">
      <c r="AJ132" s="7">
        <v>19</v>
      </c>
      <c r="AK132" s="25">
        <v>9</v>
      </c>
    </row>
    <row r="133" spans="36:37" x14ac:dyDescent="0.2">
      <c r="AJ133" s="6" t="s">
        <v>201</v>
      </c>
      <c r="AK133" s="25">
        <v>151</v>
      </c>
    </row>
    <row r="134" spans="36:37" x14ac:dyDescent="0.2">
      <c r="AJ134" s="7">
        <v>163</v>
      </c>
      <c r="AK134" s="25">
        <v>151</v>
      </c>
    </row>
    <row r="135" spans="36:37" x14ac:dyDescent="0.2">
      <c r="AJ135" s="6" t="s">
        <v>306</v>
      </c>
      <c r="AK135" s="25">
        <v>275</v>
      </c>
    </row>
    <row r="136" spans="36:37" x14ac:dyDescent="0.2">
      <c r="AJ136" s="7">
        <v>260</v>
      </c>
      <c r="AK136" s="25">
        <v>275</v>
      </c>
    </row>
    <row r="137" spans="36:37" x14ac:dyDescent="0.2">
      <c r="AJ137" s="6" t="s">
        <v>255</v>
      </c>
      <c r="AK137" s="25">
        <v>240</v>
      </c>
    </row>
    <row r="138" spans="36:37" x14ac:dyDescent="0.2">
      <c r="AJ138" s="7">
        <v>214</v>
      </c>
      <c r="AK138" s="25">
        <v>240</v>
      </c>
    </row>
    <row r="139" spans="36:37" x14ac:dyDescent="0.2">
      <c r="AJ139" s="6" t="s">
        <v>109</v>
      </c>
      <c r="AK139" s="25">
        <v>85</v>
      </c>
    </row>
    <row r="140" spans="36:37" x14ac:dyDescent="0.2">
      <c r="AJ140" s="7">
        <v>79</v>
      </c>
      <c r="AK140" s="25">
        <v>85</v>
      </c>
    </row>
    <row r="141" spans="36:37" x14ac:dyDescent="0.2">
      <c r="AJ141" s="6" t="s">
        <v>799</v>
      </c>
      <c r="AK141" s="25">
        <v>898</v>
      </c>
    </row>
    <row r="142" spans="36:37" x14ac:dyDescent="0.2">
      <c r="AJ142" s="7">
        <v>731</v>
      </c>
      <c r="AK142" s="25">
        <v>898</v>
      </c>
    </row>
    <row r="143" spans="36:37" x14ac:dyDescent="0.2">
      <c r="AJ143" s="6" t="s">
        <v>211</v>
      </c>
      <c r="AK143" s="25">
        <v>174</v>
      </c>
    </row>
    <row r="144" spans="36:37" x14ac:dyDescent="0.2">
      <c r="AJ144" s="7">
        <v>172</v>
      </c>
      <c r="AK144" s="25">
        <v>174</v>
      </c>
    </row>
    <row r="145" spans="36:37" x14ac:dyDescent="0.2">
      <c r="AJ145" s="6" t="s">
        <v>417</v>
      </c>
      <c r="AK145" s="25">
        <v>275</v>
      </c>
    </row>
    <row r="146" spans="36:37" x14ac:dyDescent="0.2">
      <c r="AJ146" s="7">
        <v>363</v>
      </c>
      <c r="AK146" s="25">
        <v>275</v>
      </c>
    </row>
    <row r="147" spans="36:37" x14ac:dyDescent="0.2">
      <c r="AJ147" s="6" t="s">
        <v>972</v>
      </c>
      <c r="AK147" s="25">
        <v>898</v>
      </c>
    </row>
    <row r="148" spans="36:37" x14ac:dyDescent="0.2">
      <c r="AJ148" s="7">
        <v>897</v>
      </c>
      <c r="AK148" s="25">
        <v>898</v>
      </c>
    </row>
    <row r="149" spans="36:37" x14ac:dyDescent="0.2">
      <c r="AJ149" s="6" t="s">
        <v>531</v>
      </c>
      <c r="AK149" s="25">
        <v>275</v>
      </c>
    </row>
    <row r="150" spans="36:37" x14ac:dyDescent="0.2">
      <c r="AJ150" s="7">
        <v>470</v>
      </c>
      <c r="AK150" s="25">
        <v>275</v>
      </c>
    </row>
    <row r="151" spans="36:37" x14ac:dyDescent="0.2">
      <c r="AJ151" s="6" t="s">
        <v>432</v>
      </c>
      <c r="AK151" s="25">
        <v>304</v>
      </c>
    </row>
    <row r="152" spans="36:37" x14ac:dyDescent="0.2">
      <c r="AJ152" s="7">
        <v>376</v>
      </c>
      <c r="AK152" s="25">
        <v>304</v>
      </c>
    </row>
    <row r="153" spans="36:37" x14ac:dyDescent="0.2">
      <c r="AJ153" s="6" t="s">
        <v>943</v>
      </c>
      <c r="AK153" s="25">
        <v>1001</v>
      </c>
    </row>
    <row r="154" spans="36:37" x14ac:dyDescent="0.2">
      <c r="AJ154" s="7">
        <v>869</v>
      </c>
      <c r="AK154" s="25">
        <v>1001</v>
      </c>
    </row>
    <row r="155" spans="36:37" x14ac:dyDescent="0.2">
      <c r="AJ155" s="6" t="s">
        <v>318</v>
      </c>
      <c r="AK155" s="25">
        <v>174</v>
      </c>
    </row>
    <row r="156" spans="36:37" x14ac:dyDescent="0.2">
      <c r="AJ156" s="7">
        <v>271</v>
      </c>
      <c r="AK156" s="25">
        <v>174</v>
      </c>
    </row>
    <row r="157" spans="36:37" x14ac:dyDescent="0.2">
      <c r="AJ157" s="6" t="s">
        <v>113</v>
      </c>
      <c r="AK157" s="25">
        <v>93</v>
      </c>
    </row>
    <row r="158" spans="36:37" x14ac:dyDescent="0.2">
      <c r="AJ158" s="7">
        <v>83</v>
      </c>
      <c r="AK158" s="25">
        <v>93</v>
      </c>
    </row>
    <row r="159" spans="36:37" x14ac:dyDescent="0.2">
      <c r="AJ159" s="6" t="s">
        <v>502</v>
      </c>
      <c r="AK159" s="25">
        <v>673</v>
      </c>
    </row>
    <row r="160" spans="36:37" x14ac:dyDescent="0.2">
      <c r="AJ160" s="7">
        <v>444</v>
      </c>
      <c r="AK160" s="25">
        <v>673</v>
      </c>
    </row>
    <row r="161" spans="36:37" x14ac:dyDescent="0.2">
      <c r="AJ161" s="6" t="s">
        <v>696</v>
      </c>
      <c r="AK161" s="25">
        <v>673</v>
      </c>
    </row>
    <row r="162" spans="36:37" x14ac:dyDescent="0.2">
      <c r="AJ162" s="7">
        <v>630</v>
      </c>
      <c r="AK162" s="25">
        <v>673</v>
      </c>
    </row>
    <row r="163" spans="36:37" x14ac:dyDescent="0.2">
      <c r="AJ163" s="6" t="s">
        <v>451</v>
      </c>
      <c r="AK163" s="25">
        <v>275</v>
      </c>
    </row>
    <row r="164" spans="36:37" x14ac:dyDescent="0.2">
      <c r="AJ164" s="7">
        <v>395</v>
      </c>
      <c r="AK164" s="25">
        <v>275</v>
      </c>
    </row>
    <row r="165" spans="36:37" x14ac:dyDescent="0.2">
      <c r="AJ165" s="6" t="s">
        <v>390</v>
      </c>
      <c r="AK165" s="25">
        <v>363</v>
      </c>
    </row>
    <row r="166" spans="36:37" x14ac:dyDescent="0.2">
      <c r="AJ166" s="7">
        <v>339</v>
      </c>
      <c r="AK166" s="25">
        <v>363</v>
      </c>
    </row>
    <row r="167" spans="36:37" x14ac:dyDescent="0.2">
      <c r="AJ167" s="6" t="s">
        <v>249</v>
      </c>
      <c r="AK167" s="25">
        <v>200</v>
      </c>
    </row>
    <row r="168" spans="36:37" x14ac:dyDescent="0.2">
      <c r="AJ168" s="7">
        <v>208</v>
      </c>
      <c r="AK168" s="25">
        <v>200</v>
      </c>
    </row>
    <row r="169" spans="36:37" x14ac:dyDescent="0.2">
      <c r="AJ169" s="6" t="s">
        <v>283</v>
      </c>
      <c r="AK169" s="25">
        <v>405</v>
      </c>
    </row>
    <row r="170" spans="36:37" x14ac:dyDescent="0.2">
      <c r="AJ170" s="7">
        <v>238</v>
      </c>
      <c r="AK170" s="25">
        <v>405</v>
      </c>
    </row>
    <row r="171" spans="36:37" x14ac:dyDescent="0.2">
      <c r="AJ171" s="6" t="s">
        <v>553</v>
      </c>
      <c r="AK171" s="25">
        <v>541</v>
      </c>
    </row>
    <row r="172" spans="36:37" x14ac:dyDescent="0.2">
      <c r="AJ172" s="7">
        <v>489</v>
      </c>
      <c r="AK172" s="25">
        <v>541</v>
      </c>
    </row>
    <row r="173" spans="36:37" x14ac:dyDescent="0.2">
      <c r="AJ173" s="6" t="s">
        <v>448</v>
      </c>
      <c r="AK173" s="25">
        <v>254</v>
      </c>
    </row>
    <row r="174" spans="36:37" x14ac:dyDescent="0.2">
      <c r="AJ174" s="7">
        <v>392</v>
      </c>
      <c r="AK174" s="25">
        <v>254</v>
      </c>
    </row>
    <row r="175" spans="36:37" x14ac:dyDescent="0.2">
      <c r="AJ175" s="6" t="s">
        <v>543</v>
      </c>
      <c r="AK175" s="25">
        <v>405</v>
      </c>
    </row>
    <row r="176" spans="36:37" x14ac:dyDescent="0.2">
      <c r="AJ176" s="7">
        <v>479</v>
      </c>
      <c r="AK176" s="25">
        <v>405</v>
      </c>
    </row>
    <row r="177" spans="36:37" x14ac:dyDescent="0.2">
      <c r="AJ177" s="6" t="s">
        <v>919</v>
      </c>
      <c r="AK177" s="25">
        <v>898</v>
      </c>
    </row>
    <row r="178" spans="36:37" x14ac:dyDescent="0.2">
      <c r="AJ178" s="7">
        <v>845</v>
      </c>
      <c r="AK178" s="25">
        <v>898</v>
      </c>
    </row>
    <row r="179" spans="36:37" x14ac:dyDescent="0.2">
      <c r="AJ179" s="6" t="s">
        <v>879</v>
      </c>
      <c r="AK179" s="25">
        <v>1001</v>
      </c>
    </row>
    <row r="180" spans="36:37" x14ac:dyDescent="0.2">
      <c r="AJ180" s="7">
        <v>805</v>
      </c>
      <c r="AK180" s="25">
        <v>1001</v>
      </c>
    </row>
    <row r="181" spans="36:37" x14ac:dyDescent="0.2">
      <c r="AJ181" s="6" t="s">
        <v>33</v>
      </c>
      <c r="AK181" s="25">
        <v>7</v>
      </c>
    </row>
    <row r="182" spans="36:37" x14ac:dyDescent="0.2">
      <c r="AJ182" s="7">
        <v>17</v>
      </c>
      <c r="AK182" s="25">
        <v>7</v>
      </c>
    </row>
    <row r="183" spans="36:37" x14ac:dyDescent="0.2">
      <c r="AJ183" s="6" t="s">
        <v>834</v>
      </c>
      <c r="AK183" s="25">
        <v>898</v>
      </c>
    </row>
    <row r="184" spans="36:37" x14ac:dyDescent="0.2">
      <c r="AJ184" s="7">
        <v>765</v>
      </c>
      <c r="AK184" s="25">
        <v>898</v>
      </c>
    </row>
    <row r="185" spans="36:37" x14ac:dyDescent="0.2">
      <c r="AJ185" s="6" t="s">
        <v>27</v>
      </c>
      <c r="AK185" s="25">
        <v>29</v>
      </c>
    </row>
    <row r="186" spans="36:37" x14ac:dyDescent="0.2">
      <c r="AJ186" s="7">
        <v>12</v>
      </c>
      <c r="AK186" s="25">
        <v>29</v>
      </c>
    </row>
    <row r="187" spans="36:37" x14ac:dyDescent="0.2">
      <c r="AJ187" s="6" t="s">
        <v>274</v>
      </c>
      <c r="AK187" s="25">
        <v>304</v>
      </c>
    </row>
    <row r="188" spans="36:37" x14ac:dyDescent="0.2">
      <c r="AJ188" s="7">
        <v>230</v>
      </c>
      <c r="AK188" s="25">
        <v>304</v>
      </c>
    </row>
    <row r="189" spans="36:37" x14ac:dyDescent="0.2">
      <c r="AJ189" s="6" t="s">
        <v>792</v>
      </c>
      <c r="AK189" s="25">
        <v>460</v>
      </c>
    </row>
    <row r="190" spans="36:37" x14ac:dyDescent="0.2">
      <c r="AJ190" s="7">
        <v>725</v>
      </c>
      <c r="AK190" s="25">
        <v>460</v>
      </c>
    </row>
    <row r="191" spans="36:37" x14ac:dyDescent="0.2">
      <c r="AJ191" s="6" t="s">
        <v>413</v>
      </c>
      <c r="AK191" s="25">
        <v>541</v>
      </c>
    </row>
    <row r="192" spans="36:37" x14ac:dyDescent="0.2">
      <c r="AJ192" s="7">
        <v>359</v>
      </c>
      <c r="AK192" s="25">
        <v>541</v>
      </c>
    </row>
    <row r="193" spans="36:37" x14ac:dyDescent="0.2">
      <c r="AJ193" s="6" t="s">
        <v>894</v>
      </c>
      <c r="AK193" s="25">
        <v>898</v>
      </c>
    </row>
    <row r="194" spans="36:37" x14ac:dyDescent="0.2">
      <c r="AJ194" s="7">
        <v>820</v>
      </c>
      <c r="AK194" s="25">
        <v>898</v>
      </c>
    </row>
    <row r="195" spans="36:37" x14ac:dyDescent="0.2">
      <c r="AJ195" s="6" t="s">
        <v>880</v>
      </c>
      <c r="AK195" s="25">
        <v>541</v>
      </c>
    </row>
    <row r="196" spans="36:37" x14ac:dyDescent="0.2">
      <c r="AJ196" s="7">
        <v>806</v>
      </c>
      <c r="AK196" s="25">
        <v>541</v>
      </c>
    </row>
    <row r="197" spans="36:37" x14ac:dyDescent="0.2">
      <c r="AJ197" s="6" t="s">
        <v>91</v>
      </c>
      <c r="AK197" s="25">
        <v>187</v>
      </c>
    </row>
    <row r="198" spans="36:37" x14ac:dyDescent="0.2">
      <c r="AJ198" s="7">
        <v>66</v>
      </c>
      <c r="AK198" s="25">
        <v>187</v>
      </c>
    </row>
    <row r="199" spans="36:37" x14ac:dyDescent="0.2">
      <c r="AJ199" s="6" t="s">
        <v>828</v>
      </c>
      <c r="AK199" s="25">
        <v>405</v>
      </c>
    </row>
    <row r="200" spans="36:37" x14ac:dyDescent="0.2">
      <c r="AJ200" s="7">
        <v>759</v>
      </c>
      <c r="AK200" s="25">
        <v>405</v>
      </c>
    </row>
    <row r="201" spans="36:37" x14ac:dyDescent="0.2">
      <c r="AJ201" s="6" t="s">
        <v>530</v>
      </c>
      <c r="AK201" s="25">
        <v>405</v>
      </c>
    </row>
    <row r="202" spans="36:37" x14ac:dyDescent="0.2">
      <c r="AJ202" s="7">
        <v>469</v>
      </c>
      <c r="AK202" s="25">
        <v>405</v>
      </c>
    </row>
    <row r="203" spans="36:37" x14ac:dyDescent="0.2">
      <c r="AJ203" s="6" t="s">
        <v>120</v>
      </c>
      <c r="AK203" s="25">
        <v>66</v>
      </c>
    </row>
    <row r="204" spans="36:37" x14ac:dyDescent="0.2">
      <c r="AJ204" s="7">
        <v>89</v>
      </c>
      <c r="AK204" s="25">
        <v>66</v>
      </c>
    </row>
    <row r="205" spans="36:37" x14ac:dyDescent="0.2">
      <c r="AJ205" s="6" t="s">
        <v>365</v>
      </c>
      <c r="AK205" s="25">
        <v>167</v>
      </c>
    </row>
    <row r="206" spans="36:37" x14ac:dyDescent="0.2">
      <c r="AJ206" s="7">
        <v>316</v>
      </c>
      <c r="AK206" s="25">
        <v>167</v>
      </c>
    </row>
    <row r="207" spans="36:37" x14ac:dyDescent="0.2">
      <c r="AJ207" s="6" t="s">
        <v>234</v>
      </c>
      <c r="AK207" s="25">
        <v>187</v>
      </c>
    </row>
    <row r="208" spans="36:37" x14ac:dyDescent="0.2">
      <c r="AJ208" s="7">
        <v>194</v>
      </c>
      <c r="AK208" s="25">
        <v>187</v>
      </c>
    </row>
    <row r="209" spans="36:37" x14ac:dyDescent="0.2">
      <c r="AJ209" s="6" t="s">
        <v>715</v>
      </c>
      <c r="AK209" s="25">
        <v>673</v>
      </c>
    </row>
    <row r="210" spans="36:37" x14ac:dyDescent="0.2">
      <c r="AJ210" s="7">
        <v>649</v>
      </c>
      <c r="AK210" s="25">
        <v>673</v>
      </c>
    </row>
    <row r="211" spans="36:37" x14ac:dyDescent="0.2">
      <c r="AJ211" s="6" t="s">
        <v>352</v>
      </c>
      <c r="AK211" s="25">
        <v>222</v>
      </c>
    </row>
    <row r="212" spans="36:37" x14ac:dyDescent="0.2">
      <c r="AJ212" s="7">
        <v>304</v>
      </c>
      <c r="AK212" s="25">
        <v>222</v>
      </c>
    </row>
    <row r="213" spans="36:37" x14ac:dyDescent="0.2">
      <c r="AJ213" s="6" t="s">
        <v>50</v>
      </c>
      <c r="AK213" s="25">
        <v>24</v>
      </c>
    </row>
    <row r="214" spans="36:37" x14ac:dyDescent="0.2">
      <c r="AJ214" s="7">
        <v>31</v>
      </c>
      <c r="AK214" s="25">
        <v>24</v>
      </c>
    </row>
    <row r="215" spans="36:37" x14ac:dyDescent="0.2">
      <c r="AJ215" s="6" t="s">
        <v>624</v>
      </c>
      <c r="AK215" s="25">
        <v>405</v>
      </c>
    </row>
    <row r="216" spans="36:37" x14ac:dyDescent="0.2">
      <c r="AJ216" s="7">
        <v>558</v>
      </c>
      <c r="AK216" s="25">
        <v>405</v>
      </c>
    </row>
    <row r="217" spans="36:37" x14ac:dyDescent="0.2">
      <c r="AJ217" s="6" t="s">
        <v>299</v>
      </c>
      <c r="AK217" s="25">
        <v>240</v>
      </c>
    </row>
    <row r="218" spans="36:37" x14ac:dyDescent="0.2">
      <c r="AJ218" s="7">
        <v>254</v>
      </c>
      <c r="AK218" s="25">
        <v>240</v>
      </c>
    </row>
    <row r="219" spans="36:37" x14ac:dyDescent="0.2">
      <c r="AJ219" s="6" t="s">
        <v>689</v>
      </c>
      <c r="AK219" s="25">
        <v>898</v>
      </c>
    </row>
    <row r="220" spans="36:37" x14ac:dyDescent="0.2">
      <c r="AJ220" s="7">
        <v>623</v>
      </c>
      <c r="AK220" s="25">
        <v>898</v>
      </c>
    </row>
    <row r="221" spans="36:37" x14ac:dyDescent="0.2">
      <c r="AJ221" s="6" t="s">
        <v>521</v>
      </c>
      <c r="AK221" s="25">
        <v>1001</v>
      </c>
    </row>
    <row r="222" spans="36:37" x14ac:dyDescent="0.2">
      <c r="AJ222" s="7">
        <v>461</v>
      </c>
      <c r="AK222" s="25">
        <v>1001</v>
      </c>
    </row>
    <row r="223" spans="36:37" x14ac:dyDescent="0.2">
      <c r="AJ223" s="6" t="s">
        <v>993</v>
      </c>
      <c r="AK223" s="25">
        <v>1001</v>
      </c>
    </row>
    <row r="224" spans="36:37" x14ac:dyDescent="0.2">
      <c r="AJ224" s="7">
        <v>915</v>
      </c>
      <c r="AK224" s="25">
        <v>1001</v>
      </c>
    </row>
    <row r="225" spans="36:37" x14ac:dyDescent="0.2">
      <c r="AJ225" s="6" t="s">
        <v>628</v>
      </c>
      <c r="AK225" s="25">
        <v>898</v>
      </c>
    </row>
    <row r="226" spans="36:37" x14ac:dyDescent="0.2">
      <c r="AJ226" s="7">
        <v>562</v>
      </c>
      <c r="AK226" s="25">
        <v>898</v>
      </c>
    </row>
    <row r="227" spans="36:37" x14ac:dyDescent="0.2">
      <c r="AJ227" s="6" t="s">
        <v>455</v>
      </c>
      <c r="AK227" s="25">
        <v>460</v>
      </c>
    </row>
    <row r="228" spans="36:37" x14ac:dyDescent="0.2">
      <c r="AJ228" s="7">
        <v>399</v>
      </c>
      <c r="AK228" s="25">
        <v>460</v>
      </c>
    </row>
    <row r="229" spans="36:37" x14ac:dyDescent="0.2">
      <c r="AJ229" s="6" t="s">
        <v>554</v>
      </c>
      <c r="AK229" s="25">
        <v>541</v>
      </c>
    </row>
    <row r="230" spans="36:37" x14ac:dyDescent="0.2">
      <c r="AJ230" s="7">
        <v>490</v>
      </c>
      <c r="AK230" s="25">
        <v>541</v>
      </c>
    </row>
    <row r="231" spans="36:37" x14ac:dyDescent="0.2">
      <c r="AJ231" s="6" t="s">
        <v>579</v>
      </c>
      <c r="AK231" s="25">
        <v>460</v>
      </c>
    </row>
    <row r="232" spans="36:37" x14ac:dyDescent="0.2">
      <c r="AJ232" s="7">
        <v>514</v>
      </c>
      <c r="AK232" s="25">
        <v>460</v>
      </c>
    </row>
    <row r="233" spans="36:37" x14ac:dyDescent="0.2">
      <c r="AJ233" s="6" t="s">
        <v>170</v>
      </c>
      <c r="AK233" s="25">
        <v>240</v>
      </c>
    </row>
    <row r="234" spans="36:37" x14ac:dyDescent="0.2">
      <c r="AJ234" s="7">
        <v>132</v>
      </c>
      <c r="AK234" s="25">
        <v>240</v>
      </c>
    </row>
    <row r="235" spans="36:37" x14ac:dyDescent="0.2">
      <c r="AJ235" s="6" t="s">
        <v>827</v>
      </c>
      <c r="AK235" s="25">
        <v>898</v>
      </c>
    </row>
    <row r="236" spans="36:37" x14ac:dyDescent="0.2">
      <c r="AJ236" s="7">
        <v>758</v>
      </c>
      <c r="AK236" s="25">
        <v>898</v>
      </c>
    </row>
    <row r="237" spans="36:37" x14ac:dyDescent="0.2">
      <c r="AJ237" s="6" t="s">
        <v>97</v>
      </c>
      <c r="AK237" s="25">
        <v>46</v>
      </c>
    </row>
    <row r="238" spans="36:37" x14ac:dyDescent="0.2">
      <c r="AJ238" s="7">
        <v>71</v>
      </c>
      <c r="AK238" s="25">
        <v>46</v>
      </c>
    </row>
    <row r="239" spans="36:37" x14ac:dyDescent="0.2">
      <c r="AJ239" s="6" t="s">
        <v>252</v>
      </c>
      <c r="AK239" s="25">
        <v>163</v>
      </c>
    </row>
    <row r="240" spans="36:37" x14ac:dyDescent="0.2">
      <c r="AJ240" s="7">
        <v>211</v>
      </c>
      <c r="AK240" s="25">
        <v>163</v>
      </c>
    </row>
    <row r="241" spans="36:37" x14ac:dyDescent="0.2">
      <c r="AJ241" s="6" t="s">
        <v>569</v>
      </c>
      <c r="AK241" s="25">
        <v>460</v>
      </c>
    </row>
    <row r="242" spans="36:37" x14ac:dyDescent="0.2">
      <c r="AJ242" s="7">
        <v>504</v>
      </c>
      <c r="AK242" s="25">
        <v>460</v>
      </c>
    </row>
    <row r="243" spans="36:37" x14ac:dyDescent="0.2">
      <c r="AJ243" s="6" t="s">
        <v>399</v>
      </c>
      <c r="AK243" s="25">
        <v>304</v>
      </c>
    </row>
    <row r="244" spans="36:37" x14ac:dyDescent="0.2">
      <c r="AJ244" s="7">
        <v>345</v>
      </c>
      <c r="AK244" s="25">
        <v>304</v>
      </c>
    </row>
    <row r="245" spans="36:37" x14ac:dyDescent="0.2">
      <c r="AJ245" s="6" t="s">
        <v>482</v>
      </c>
      <c r="AK245" s="25">
        <v>304</v>
      </c>
    </row>
    <row r="246" spans="36:37" x14ac:dyDescent="0.2">
      <c r="AJ246" s="7">
        <v>424</v>
      </c>
      <c r="AK246" s="25">
        <v>304</v>
      </c>
    </row>
    <row r="247" spans="36:37" x14ac:dyDescent="0.2">
      <c r="AJ247" s="6" t="s">
        <v>173</v>
      </c>
      <c r="AK247" s="25">
        <v>275</v>
      </c>
    </row>
    <row r="248" spans="36:37" x14ac:dyDescent="0.2">
      <c r="AJ248" s="7">
        <v>135</v>
      </c>
      <c r="AK248" s="25">
        <v>275</v>
      </c>
    </row>
    <row r="249" spans="36:37" x14ac:dyDescent="0.2">
      <c r="AJ249" s="6" t="s">
        <v>848</v>
      </c>
      <c r="AK249" s="25">
        <v>460</v>
      </c>
    </row>
    <row r="250" spans="36:37" x14ac:dyDescent="0.2">
      <c r="AJ250" s="7">
        <v>777</v>
      </c>
      <c r="AK250" s="25">
        <v>460</v>
      </c>
    </row>
    <row r="251" spans="36:37" x14ac:dyDescent="0.2">
      <c r="AJ251" s="6" t="s">
        <v>1064</v>
      </c>
      <c r="AK251" s="25">
        <v>898</v>
      </c>
    </row>
    <row r="252" spans="36:37" x14ac:dyDescent="0.2">
      <c r="AJ252" s="7">
        <v>986</v>
      </c>
      <c r="AK252" s="25">
        <v>898</v>
      </c>
    </row>
    <row r="253" spans="36:37" x14ac:dyDescent="0.2">
      <c r="AJ253" s="6" t="s">
        <v>383</v>
      </c>
      <c r="AK253" s="25">
        <v>405</v>
      </c>
    </row>
    <row r="254" spans="36:37" x14ac:dyDescent="0.2">
      <c r="AJ254" s="7">
        <v>332</v>
      </c>
      <c r="AK254" s="25">
        <v>405</v>
      </c>
    </row>
    <row r="255" spans="36:37" x14ac:dyDescent="0.2">
      <c r="AJ255" s="6" t="s">
        <v>843</v>
      </c>
      <c r="AK255" s="25">
        <v>405</v>
      </c>
    </row>
    <row r="256" spans="36:37" x14ac:dyDescent="0.2">
      <c r="AJ256" s="7">
        <v>772</v>
      </c>
      <c r="AK256" s="25">
        <v>405</v>
      </c>
    </row>
    <row r="257" spans="36:37" x14ac:dyDescent="0.2">
      <c r="AJ257" s="6" t="s">
        <v>389</v>
      </c>
      <c r="AK257" s="25">
        <v>327</v>
      </c>
    </row>
    <row r="258" spans="36:37" x14ac:dyDescent="0.2">
      <c r="AJ258" s="7">
        <v>338</v>
      </c>
      <c r="AK258" s="25">
        <v>327</v>
      </c>
    </row>
    <row r="259" spans="36:37" x14ac:dyDescent="0.2">
      <c r="AJ259" s="6" t="s">
        <v>74</v>
      </c>
      <c r="AK259" s="25">
        <v>66</v>
      </c>
    </row>
    <row r="260" spans="36:37" x14ac:dyDescent="0.2">
      <c r="AJ260" s="7">
        <v>51</v>
      </c>
      <c r="AK260" s="25">
        <v>66</v>
      </c>
    </row>
    <row r="261" spans="36:37" x14ac:dyDescent="0.2">
      <c r="AJ261" s="6" t="s">
        <v>175</v>
      </c>
      <c r="AK261" s="25">
        <v>151</v>
      </c>
    </row>
    <row r="262" spans="36:37" x14ac:dyDescent="0.2">
      <c r="AJ262" s="7">
        <v>137</v>
      </c>
      <c r="AK262" s="25">
        <v>151</v>
      </c>
    </row>
    <row r="263" spans="36:37" x14ac:dyDescent="0.2">
      <c r="AJ263" s="6" t="s">
        <v>309</v>
      </c>
      <c r="AK263" s="25">
        <v>174</v>
      </c>
    </row>
    <row r="264" spans="36:37" x14ac:dyDescent="0.2">
      <c r="AJ264" s="7">
        <v>262</v>
      </c>
      <c r="AK264" s="25">
        <v>174</v>
      </c>
    </row>
    <row r="265" spans="36:37" x14ac:dyDescent="0.2">
      <c r="AJ265" s="6" t="s">
        <v>329</v>
      </c>
      <c r="AK265" s="25">
        <v>174</v>
      </c>
    </row>
    <row r="266" spans="36:37" x14ac:dyDescent="0.2">
      <c r="AJ266" s="7">
        <v>282</v>
      </c>
      <c r="AK266" s="25">
        <v>174</v>
      </c>
    </row>
    <row r="267" spans="36:37" x14ac:dyDescent="0.2">
      <c r="AJ267" s="6" t="s">
        <v>1008</v>
      </c>
      <c r="AK267" s="25">
        <v>898</v>
      </c>
    </row>
    <row r="268" spans="36:37" x14ac:dyDescent="0.2">
      <c r="AJ268" s="7">
        <v>930</v>
      </c>
      <c r="AK268" s="25">
        <v>898</v>
      </c>
    </row>
    <row r="269" spans="36:37" x14ac:dyDescent="0.2">
      <c r="AJ269" s="6" t="s">
        <v>636</v>
      </c>
      <c r="AK269" s="25">
        <v>541</v>
      </c>
    </row>
    <row r="270" spans="36:37" x14ac:dyDescent="0.2">
      <c r="AJ270" s="7">
        <v>570</v>
      </c>
      <c r="AK270" s="25">
        <v>541</v>
      </c>
    </row>
    <row r="271" spans="36:37" x14ac:dyDescent="0.2">
      <c r="AJ271" s="6" t="s">
        <v>974</v>
      </c>
      <c r="AK271" s="25">
        <v>673</v>
      </c>
    </row>
    <row r="272" spans="36:37" x14ac:dyDescent="0.2">
      <c r="AJ272" s="7">
        <v>899</v>
      </c>
      <c r="AK272" s="25">
        <v>673</v>
      </c>
    </row>
    <row r="273" spans="36:37" x14ac:dyDescent="0.2">
      <c r="AJ273" s="6" t="s">
        <v>503</v>
      </c>
      <c r="AK273" s="25">
        <v>304</v>
      </c>
    </row>
    <row r="274" spans="36:37" x14ac:dyDescent="0.2">
      <c r="AJ274" s="7">
        <v>445</v>
      </c>
      <c r="AK274" s="25">
        <v>304</v>
      </c>
    </row>
    <row r="275" spans="36:37" x14ac:dyDescent="0.2">
      <c r="AJ275" s="6" t="s">
        <v>940</v>
      </c>
      <c r="AK275" s="25">
        <v>405</v>
      </c>
    </row>
    <row r="276" spans="36:37" x14ac:dyDescent="0.2">
      <c r="AJ276" s="7">
        <v>866</v>
      </c>
      <c r="AK276" s="25">
        <v>405</v>
      </c>
    </row>
    <row r="277" spans="36:37" x14ac:dyDescent="0.2">
      <c r="AJ277" s="6" t="s">
        <v>529</v>
      </c>
      <c r="AK277" s="25">
        <v>304</v>
      </c>
    </row>
    <row r="278" spans="36:37" x14ac:dyDescent="0.2">
      <c r="AJ278" s="7">
        <v>468</v>
      </c>
      <c r="AK278" s="25">
        <v>304</v>
      </c>
    </row>
    <row r="279" spans="36:37" x14ac:dyDescent="0.2">
      <c r="AJ279" s="6" t="s">
        <v>200</v>
      </c>
      <c r="AK279" s="25">
        <v>93</v>
      </c>
    </row>
    <row r="280" spans="36:37" x14ac:dyDescent="0.2">
      <c r="AJ280" s="7">
        <v>162</v>
      </c>
      <c r="AK280" s="25">
        <v>93</v>
      </c>
    </row>
    <row r="281" spans="36:37" x14ac:dyDescent="0.2">
      <c r="AJ281" s="6" t="s">
        <v>471</v>
      </c>
      <c r="AK281" s="25">
        <v>541</v>
      </c>
    </row>
    <row r="282" spans="36:37" x14ac:dyDescent="0.2">
      <c r="AJ282" s="7">
        <v>414</v>
      </c>
      <c r="AK282" s="25">
        <v>541</v>
      </c>
    </row>
    <row r="283" spans="36:37" x14ac:dyDescent="0.2">
      <c r="AJ283" s="6" t="s">
        <v>632</v>
      </c>
      <c r="AK283" s="25">
        <v>541</v>
      </c>
    </row>
    <row r="284" spans="36:37" x14ac:dyDescent="0.2">
      <c r="AJ284" s="7">
        <v>566</v>
      </c>
      <c r="AK284" s="25">
        <v>541</v>
      </c>
    </row>
    <row r="285" spans="36:37" x14ac:dyDescent="0.2">
      <c r="AJ285" s="6" t="s">
        <v>223</v>
      </c>
      <c r="AK285" s="25">
        <v>254</v>
      </c>
    </row>
    <row r="286" spans="36:37" x14ac:dyDescent="0.2">
      <c r="AJ286" s="7">
        <v>183</v>
      </c>
      <c r="AK286" s="25">
        <v>254</v>
      </c>
    </row>
    <row r="287" spans="36:37" x14ac:dyDescent="0.2">
      <c r="AJ287" s="6" t="s">
        <v>250</v>
      </c>
      <c r="AK287" s="25">
        <v>254</v>
      </c>
    </row>
    <row r="288" spans="36:37" x14ac:dyDescent="0.2">
      <c r="AJ288" s="7">
        <v>209</v>
      </c>
      <c r="AK288" s="25">
        <v>254</v>
      </c>
    </row>
    <row r="289" spans="36:37" x14ac:dyDescent="0.2">
      <c r="AJ289" s="6" t="s">
        <v>568</v>
      </c>
      <c r="AK289" s="25">
        <v>673</v>
      </c>
    </row>
    <row r="290" spans="36:37" x14ac:dyDescent="0.2">
      <c r="AJ290" s="7">
        <v>503</v>
      </c>
      <c r="AK290" s="25">
        <v>673</v>
      </c>
    </row>
    <row r="291" spans="36:37" x14ac:dyDescent="0.2">
      <c r="AJ291" s="6" t="s">
        <v>518</v>
      </c>
      <c r="AK291" s="25">
        <v>240</v>
      </c>
    </row>
    <row r="292" spans="36:37" x14ac:dyDescent="0.2">
      <c r="AJ292" s="7">
        <v>458</v>
      </c>
      <c r="AK292" s="25">
        <v>240</v>
      </c>
    </row>
    <row r="293" spans="36:37" x14ac:dyDescent="0.2">
      <c r="AJ293" s="6" t="s">
        <v>886</v>
      </c>
      <c r="AK293" s="25">
        <v>673</v>
      </c>
    </row>
    <row r="294" spans="36:37" x14ac:dyDescent="0.2">
      <c r="AJ294" s="7">
        <v>812</v>
      </c>
      <c r="AK294" s="25">
        <v>673</v>
      </c>
    </row>
    <row r="295" spans="36:37" x14ac:dyDescent="0.2">
      <c r="AJ295" s="6" t="s">
        <v>467</v>
      </c>
      <c r="AK295" s="25">
        <v>460</v>
      </c>
    </row>
    <row r="296" spans="36:37" x14ac:dyDescent="0.2">
      <c r="AJ296" s="7">
        <v>411</v>
      </c>
      <c r="AK296" s="25">
        <v>460</v>
      </c>
    </row>
    <row r="297" spans="36:37" x14ac:dyDescent="0.2">
      <c r="AJ297" s="6" t="s">
        <v>484</v>
      </c>
      <c r="AK297" s="25">
        <v>327</v>
      </c>
    </row>
    <row r="298" spans="36:37" x14ac:dyDescent="0.2">
      <c r="AJ298" s="7">
        <v>426</v>
      </c>
      <c r="AK298" s="25">
        <v>327</v>
      </c>
    </row>
    <row r="299" spans="36:37" x14ac:dyDescent="0.2">
      <c r="AJ299" s="6" t="s">
        <v>677</v>
      </c>
      <c r="AK299" s="25">
        <v>541</v>
      </c>
    </row>
    <row r="300" spans="36:37" x14ac:dyDescent="0.2">
      <c r="AJ300" s="7">
        <v>611</v>
      </c>
      <c r="AK300" s="25">
        <v>541</v>
      </c>
    </row>
    <row r="301" spans="36:37" x14ac:dyDescent="0.2">
      <c r="AJ301" s="6" t="s">
        <v>802</v>
      </c>
      <c r="AK301" s="25">
        <v>460</v>
      </c>
    </row>
    <row r="302" spans="36:37" x14ac:dyDescent="0.2">
      <c r="AJ302" s="7">
        <v>734</v>
      </c>
      <c r="AK302" s="25">
        <v>460</v>
      </c>
    </row>
    <row r="303" spans="36:37" x14ac:dyDescent="0.2">
      <c r="AJ303" s="6" t="s">
        <v>619</v>
      </c>
      <c r="AK303" s="25">
        <v>460</v>
      </c>
    </row>
    <row r="304" spans="36:37" x14ac:dyDescent="0.2">
      <c r="AJ304" s="7">
        <v>553</v>
      </c>
      <c r="AK304" s="25">
        <v>460</v>
      </c>
    </row>
    <row r="305" spans="36:37" x14ac:dyDescent="0.2">
      <c r="AJ305" s="6" t="s">
        <v>106</v>
      </c>
      <c r="AK305" s="25">
        <v>139</v>
      </c>
    </row>
    <row r="306" spans="36:37" x14ac:dyDescent="0.2">
      <c r="AJ306" s="7">
        <v>77</v>
      </c>
      <c r="AK306" s="25">
        <v>139</v>
      </c>
    </row>
    <row r="307" spans="36:37" x14ac:dyDescent="0.2">
      <c r="AJ307" s="6" t="s">
        <v>640</v>
      </c>
      <c r="AK307" s="25">
        <v>898</v>
      </c>
    </row>
    <row r="308" spans="36:37" x14ac:dyDescent="0.2">
      <c r="AJ308" s="7">
        <v>574</v>
      </c>
      <c r="AK308" s="25">
        <v>898</v>
      </c>
    </row>
    <row r="309" spans="36:37" x14ac:dyDescent="0.2">
      <c r="AJ309" s="6" t="s">
        <v>330</v>
      </c>
      <c r="AK309" s="25">
        <v>174</v>
      </c>
    </row>
    <row r="310" spans="36:37" x14ac:dyDescent="0.2">
      <c r="AJ310" s="7">
        <v>283</v>
      </c>
      <c r="AK310" s="25">
        <v>174</v>
      </c>
    </row>
    <row r="311" spans="36:37" x14ac:dyDescent="0.2">
      <c r="AJ311" s="6" t="s">
        <v>140</v>
      </c>
      <c r="AK311" s="25">
        <v>66</v>
      </c>
    </row>
    <row r="312" spans="36:37" x14ac:dyDescent="0.2">
      <c r="AJ312" s="7">
        <v>105</v>
      </c>
      <c r="AK312" s="25">
        <v>66</v>
      </c>
    </row>
    <row r="313" spans="36:37" x14ac:dyDescent="0.2">
      <c r="AJ313" s="6" t="s">
        <v>748</v>
      </c>
      <c r="AK313" s="25">
        <v>541</v>
      </c>
    </row>
    <row r="314" spans="36:37" x14ac:dyDescent="0.2">
      <c r="AJ314" s="7">
        <v>681</v>
      </c>
      <c r="AK314" s="25">
        <v>541</v>
      </c>
    </row>
    <row r="315" spans="36:37" x14ac:dyDescent="0.2">
      <c r="AJ315" s="6" t="s">
        <v>465</v>
      </c>
      <c r="AK315" s="25">
        <v>460</v>
      </c>
    </row>
    <row r="316" spans="36:37" x14ac:dyDescent="0.2">
      <c r="AJ316" s="7">
        <v>409</v>
      </c>
      <c r="AK316" s="25">
        <v>460</v>
      </c>
    </row>
    <row r="317" spans="36:37" x14ac:dyDescent="0.2">
      <c r="AJ317" s="6" t="s">
        <v>916</v>
      </c>
      <c r="AK317" s="25">
        <v>405</v>
      </c>
    </row>
    <row r="318" spans="36:37" x14ac:dyDescent="0.2">
      <c r="AJ318" s="7">
        <v>842</v>
      </c>
      <c r="AK318" s="25">
        <v>405</v>
      </c>
    </row>
    <row r="319" spans="36:37" x14ac:dyDescent="0.2">
      <c r="AJ319" s="6" t="s">
        <v>378</v>
      </c>
      <c r="AK319" s="25">
        <v>275</v>
      </c>
    </row>
    <row r="320" spans="36:37" x14ac:dyDescent="0.2">
      <c r="AJ320" s="7">
        <v>327</v>
      </c>
      <c r="AK320" s="25">
        <v>275</v>
      </c>
    </row>
    <row r="321" spans="36:37" x14ac:dyDescent="0.2">
      <c r="AJ321" s="6" t="s">
        <v>463</v>
      </c>
      <c r="AK321" s="25">
        <v>460</v>
      </c>
    </row>
    <row r="322" spans="36:37" x14ac:dyDescent="0.2">
      <c r="AJ322" s="7">
        <v>407</v>
      </c>
      <c r="AK322" s="25">
        <v>460</v>
      </c>
    </row>
    <row r="323" spans="36:37" x14ac:dyDescent="0.2">
      <c r="AJ323" s="6" t="s">
        <v>101</v>
      </c>
      <c r="AK323" s="25">
        <v>53</v>
      </c>
    </row>
    <row r="324" spans="36:37" x14ac:dyDescent="0.2">
      <c r="AJ324" s="7">
        <v>74</v>
      </c>
      <c r="AK324" s="25">
        <v>53</v>
      </c>
    </row>
    <row r="325" spans="36:37" x14ac:dyDescent="0.2">
      <c r="AJ325" s="6" t="s">
        <v>650</v>
      </c>
      <c r="AK325" s="25">
        <v>541</v>
      </c>
    </row>
    <row r="326" spans="36:37" x14ac:dyDescent="0.2">
      <c r="AJ326" s="7">
        <v>584</v>
      </c>
      <c r="AK326" s="25">
        <v>541</v>
      </c>
    </row>
    <row r="327" spans="36:37" x14ac:dyDescent="0.2">
      <c r="AJ327" s="6" t="s">
        <v>496</v>
      </c>
      <c r="AK327" s="25">
        <v>460</v>
      </c>
    </row>
    <row r="328" spans="36:37" x14ac:dyDescent="0.2">
      <c r="AJ328" s="7">
        <v>438</v>
      </c>
      <c r="AK328" s="25">
        <v>460</v>
      </c>
    </row>
    <row r="329" spans="36:37" x14ac:dyDescent="0.2">
      <c r="AJ329" s="6" t="s">
        <v>572</v>
      </c>
      <c r="AK329" s="25">
        <v>673</v>
      </c>
    </row>
    <row r="330" spans="36:37" x14ac:dyDescent="0.2">
      <c r="AJ330" s="7">
        <v>507</v>
      </c>
      <c r="AK330" s="25">
        <v>673</v>
      </c>
    </row>
    <row r="331" spans="36:37" x14ac:dyDescent="0.2">
      <c r="AJ331" s="6" t="s">
        <v>777</v>
      </c>
      <c r="AK331" s="25">
        <v>304</v>
      </c>
    </row>
    <row r="332" spans="36:37" x14ac:dyDescent="0.2">
      <c r="AJ332" s="7">
        <v>710</v>
      </c>
      <c r="AK332" s="25">
        <v>304</v>
      </c>
    </row>
    <row r="333" spans="36:37" x14ac:dyDescent="0.2">
      <c r="AJ333" s="6" t="s">
        <v>271</v>
      </c>
      <c r="AK333" s="25">
        <v>304</v>
      </c>
    </row>
    <row r="334" spans="36:37" x14ac:dyDescent="0.2">
      <c r="AJ334" s="7">
        <v>227</v>
      </c>
      <c r="AK334" s="25">
        <v>304</v>
      </c>
    </row>
    <row r="335" spans="36:37" x14ac:dyDescent="0.2">
      <c r="AJ335" s="6" t="s">
        <v>581</v>
      </c>
      <c r="AK335" s="25">
        <v>541</v>
      </c>
    </row>
    <row r="336" spans="36:37" x14ac:dyDescent="0.2">
      <c r="AJ336" s="7">
        <v>516</v>
      </c>
      <c r="AK336" s="25">
        <v>541</v>
      </c>
    </row>
    <row r="337" spans="36:37" x14ac:dyDescent="0.2">
      <c r="AJ337" s="6" t="s">
        <v>603</v>
      </c>
      <c r="AK337" s="25">
        <v>363</v>
      </c>
    </row>
    <row r="338" spans="36:37" x14ac:dyDescent="0.2">
      <c r="AJ338" s="7">
        <v>537</v>
      </c>
      <c r="AK338" s="25">
        <v>363</v>
      </c>
    </row>
    <row r="339" spans="36:37" x14ac:dyDescent="0.2">
      <c r="AJ339" s="6" t="s">
        <v>100</v>
      </c>
      <c r="AK339" s="25">
        <v>18</v>
      </c>
    </row>
    <row r="340" spans="36:37" x14ac:dyDescent="0.2">
      <c r="AJ340" s="7">
        <v>73</v>
      </c>
      <c r="AK340" s="25">
        <v>18</v>
      </c>
    </row>
    <row r="341" spans="36:37" x14ac:dyDescent="0.2">
      <c r="AJ341" s="6" t="s">
        <v>332</v>
      </c>
      <c r="AK341" s="25">
        <v>222</v>
      </c>
    </row>
    <row r="342" spans="36:37" x14ac:dyDescent="0.2">
      <c r="AJ342" s="7">
        <v>285</v>
      </c>
      <c r="AK342" s="25">
        <v>222</v>
      </c>
    </row>
    <row r="343" spans="36:37" x14ac:dyDescent="0.2">
      <c r="AJ343" s="6" t="s">
        <v>935</v>
      </c>
      <c r="AK343" s="25">
        <v>460</v>
      </c>
    </row>
    <row r="344" spans="36:37" x14ac:dyDescent="0.2">
      <c r="AJ344" s="7">
        <v>861</v>
      </c>
      <c r="AK344" s="25">
        <v>460</v>
      </c>
    </row>
    <row r="345" spans="36:37" x14ac:dyDescent="0.2">
      <c r="AJ345" s="6" t="s">
        <v>363</v>
      </c>
      <c r="AK345" s="25">
        <v>460</v>
      </c>
    </row>
    <row r="346" spans="36:37" x14ac:dyDescent="0.2">
      <c r="AJ346" s="7">
        <v>314</v>
      </c>
      <c r="AK346" s="25">
        <v>460</v>
      </c>
    </row>
    <row r="347" spans="36:37" x14ac:dyDescent="0.2">
      <c r="AJ347" s="6" t="s">
        <v>1037</v>
      </c>
      <c r="AK347" s="25">
        <v>541</v>
      </c>
    </row>
    <row r="348" spans="36:37" x14ac:dyDescent="0.2">
      <c r="AJ348" s="7">
        <v>959</v>
      </c>
      <c r="AK348" s="25">
        <v>541</v>
      </c>
    </row>
    <row r="349" spans="36:37" x14ac:dyDescent="0.2">
      <c r="AJ349" s="6" t="s">
        <v>29</v>
      </c>
      <c r="AK349" s="25">
        <v>13</v>
      </c>
    </row>
    <row r="350" spans="36:37" x14ac:dyDescent="0.2">
      <c r="AJ350" s="7">
        <v>13</v>
      </c>
      <c r="AK350" s="25">
        <v>13</v>
      </c>
    </row>
    <row r="351" spans="36:37" x14ac:dyDescent="0.2">
      <c r="AJ351" s="6" t="s">
        <v>420</v>
      </c>
      <c r="AK351" s="25">
        <v>275</v>
      </c>
    </row>
    <row r="352" spans="36:37" x14ac:dyDescent="0.2">
      <c r="AJ352" s="7">
        <v>366</v>
      </c>
      <c r="AK352" s="25">
        <v>275</v>
      </c>
    </row>
    <row r="353" spans="36:37" x14ac:dyDescent="0.2">
      <c r="AJ353" s="6" t="s">
        <v>736</v>
      </c>
      <c r="AK353" s="25">
        <v>673</v>
      </c>
    </row>
    <row r="354" spans="36:37" x14ac:dyDescent="0.2">
      <c r="AJ354" s="7">
        <v>670</v>
      </c>
      <c r="AK354" s="25">
        <v>673</v>
      </c>
    </row>
    <row r="355" spans="36:37" x14ac:dyDescent="0.2">
      <c r="AJ355" s="6" t="s">
        <v>538</v>
      </c>
      <c r="AK355" s="25">
        <v>327</v>
      </c>
    </row>
    <row r="356" spans="36:37" x14ac:dyDescent="0.2">
      <c r="AJ356" s="7">
        <v>475</v>
      </c>
      <c r="AK356" s="25">
        <v>327</v>
      </c>
    </row>
    <row r="357" spans="36:37" x14ac:dyDescent="0.2">
      <c r="AJ357" s="6" t="s">
        <v>77</v>
      </c>
      <c r="AK357" s="25">
        <v>76</v>
      </c>
    </row>
    <row r="358" spans="36:37" x14ac:dyDescent="0.2">
      <c r="AJ358" s="7">
        <v>54</v>
      </c>
      <c r="AK358" s="25">
        <v>76</v>
      </c>
    </row>
    <row r="359" spans="36:37" x14ac:dyDescent="0.2">
      <c r="AJ359" s="6" t="s">
        <v>574</v>
      </c>
      <c r="AK359" s="25">
        <v>460</v>
      </c>
    </row>
    <row r="360" spans="36:37" x14ac:dyDescent="0.2">
      <c r="AJ360" s="7">
        <v>509</v>
      </c>
      <c r="AK360" s="25">
        <v>460</v>
      </c>
    </row>
    <row r="361" spans="36:37" x14ac:dyDescent="0.2">
      <c r="AJ361" s="6" t="s">
        <v>188</v>
      </c>
      <c r="AK361" s="25">
        <v>80</v>
      </c>
    </row>
    <row r="362" spans="36:37" x14ac:dyDescent="0.2">
      <c r="AJ362" s="7">
        <v>150</v>
      </c>
      <c r="AK362" s="25">
        <v>80</v>
      </c>
    </row>
    <row r="363" spans="36:37" x14ac:dyDescent="0.2">
      <c r="AJ363" s="6" t="s">
        <v>1026</v>
      </c>
      <c r="AK363" s="25">
        <v>541</v>
      </c>
    </row>
    <row r="364" spans="36:37" x14ac:dyDescent="0.2">
      <c r="AJ364" s="7">
        <v>948</v>
      </c>
      <c r="AK364" s="25">
        <v>541</v>
      </c>
    </row>
    <row r="365" spans="36:37" x14ac:dyDescent="0.2">
      <c r="AJ365" s="6" t="s">
        <v>20</v>
      </c>
      <c r="AK365" s="25">
        <v>4</v>
      </c>
    </row>
    <row r="366" spans="36:37" x14ac:dyDescent="0.2">
      <c r="AJ366" s="7">
        <v>5</v>
      </c>
      <c r="AK366" s="25">
        <v>4</v>
      </c>
    </row>
    <row r="367" spans="36:37" x14ac:dyDescent="0.2">
      <c r="AJ367" s="6" t="s">
        <v>498</v>
      </c>
      <c r="AK367" s="25">
        <v>327</v>
      </c>
    </row>
    <row r="368" spans="36:37" x14ac:dyDescent="0.2">
      <c r="AJ368" s="7">
        <v>440</v>
      </c>
      <c r="AK368" s="25">
        <v>327</v>
      </c>
    </row>
    <row r="369" spans="36:37" x14ac:dyDescent="0.2">
      <c r="AJ369" s="6" t="s">
        <v>419</v>
      </c>
      <c r="AK369" s="25">
        <v>275</v>
      </c>
    </row>
    <row r="370" spans="36:37" x14ac:dyDescent="0.2">
      <c r="AJ370" s="7">
        <v>365</v>
      </c>
      <c r="AK370" s="25">
        <v>275</v>
      </c>
    </row>
    <row r="371" spans="36:37" x14ac:dyDescent="0.2">
      <c r="AJ371" s="6" t="s">
        <v>246</v>
      </c>
      <c r="AK371" s="25">
        <v>200</v>
      </c>
    </row>
    <row r="372" spans="36:37" x14ac:dyDescent="0.2">
      <c r="AJ372" s="7">
        <v>205</v>
      </c>
      <c r="AK372" s="25">
        <v>200</v>
      </c>
    </row>
    <row r="373" spans="36:37" x14ac:dyDescent="0.2">
      <c r="AJ373" s="6" t="s">
        <v>358</v>
      </c>
      <c r="AK373" s="25">
        <v>254</v>
      </c>
    </row>
    <row r="374" spans="36:37" x14ac:dyDescent="0.2">
      <c r="AJ374" s="7">
        <v>309</v>
      </c>
      <c r="AK374" s="25">
        <v>254</v>
      </c>
    </row>
    <row r="375" spans="36:37" x14ac:dyDescent="0.2">
      <c r="AJ375" s="6" t="s">
        <v>1036</v>
      </c>
      <c r="AK375" s="25">
        <v>673</v>
      </c>
    </row>
    <row r="376" spans="36:37" x14ac:dyDescent="0.2">
      <c r="AJ376" s="7">
        <v>958</v>
      </c>
      <c r="AK376" s="25">
        <v>673</v>
      </c>
    </row>
    <row r="377" spans="36:37" x14ac:dyDescent="0.2">
      <c r="AJ377" s="6" t="s">
        <v>102</v>
      </c>
      <c r="AK377" s="25">
        <v>93</v>
      </c>
    </row>
    <row r="378" spans="36:37" x14ac:dyDescent="0.2">
      <c r="AJ378" s="7">
        <v>75</v>
      </c>
      <c r="AK378" s="25">
        <v>93</v>
      </c>
    </row>
    <row r="379" spans="36:37" x14ac:dyDescent="0.2">
      <c r="AJ379" s="6" t="s">
        <v>899</v>
      </c>
      <c r="AK379" s="25">
        <v>1001</v>
      </c>
    </row>
    <row r="380" spans="36:37" x14ac:dyDescent="0.2">
      <c r="AJ380" s="7">
        <v>825</v>
      </c>
      <c r="AK380" s="25">
        <v>1001</v>
      </c>
    </row>
    <row r="381" spans="36:37" x14ac:dyDescent="0.2">
      <c r="AJ381" s="6" t="s">
        <v>486</v>
      </c>
      <c r="AK381" s="25">
        <v>405</v>
      </c>
    </row>
    <row r="382" spans="36:37" x14ac:dyDescent="0.2">
      <c r="AJ382" s="7">
        <v>428</v>
      </c>
      <c r="AK382" s="25">
        <v>405</v>
      </c>
    </row>
    <row r="383" spans="36:37" x14ac:dyDescent="0.2">
      <c r="AJ383" s="6" t="s">
        <v>449</v>
      </c>
      <c r="AK383" s="25">
        <v>275</v>
      </c>
    </row>
    <row r="384" spans="36:37" x14ac:dyDescent="0.2">
      <c r="AJ384" s="7">
        <v>393</v>
      </c>
      <c r="AK384" s="25">
        <v>275</v>
      </c>
    </row>
    <row r="385" spans="36:37" x14ac:dyDescent="0.2">
      <c r="AJ385" s="6" t="s">
        <v>635</v>
      </c>
      <c r="AK385" s="25">
        <v>460</v>
      </c>
    </row>
    <row r="386" spans="36:37" x14ac:dyDescent="0.2">
      <c r="AJ386" s="7">
        <v>569</v>
      </c>
      <c r="AK386" s="25">
        <v>460</v>
      </c>
    </row>
    <row r="387" spans="36:37" x14ac:dyDescent="0.2">
      <c r="AJ387" s="6" t="s">
        <v>155</v>
      </c>
      <c r="AK387" s="25">
        <v>114</v>
      </c>
    </row>
    <row r="388" spans="36:37" x14ac:dyDescent="0.2">
      <c r="AJ388" s="7">
        <v>118</v>
      </c>
      <c r="AK388" s="25">
        <v>114</v>
      </c>
    </row>
    <row r="389" spans="36:37" x14ac:dyDescent="0.2">
      <c r="AJ389" s="6" t="s">
        <v>198</v>
      </c>
      <c r="AK389" s="25">
        <v>327</v>
      </c>
    </row>
    <row r="390" spans="36:37" x14ac:dyDescent="0.2">
      <c r="AJ390" s="7">
        <v>160</v>
      </c>
      <c r="AK390" s="25">
        <v>327</v>
      </c>
    </row>
    <row r="391" spans="36:37" x14ac:dyDescent="0.2">
      <c r="AJ391" s="6" t="s">
        <v>749</v>
      </c>
      <c r="AK391" s="25">
        <v>460</v>
      </c>
    </row>
    <row r="392" spans="36:37" x14ac:dyDescent="0.2">
      <c r="AJ392" s="7">
        <v>682</v>
      </c>
      <c r="AK392" s="25">
        <v>460</v>
      </c>
    </row>
    <row r="393" spans="36:37" x14ac:dyDescent="0.2">
      <c r="AJ393" s="6" t="s">
        <v>1059</v>
      </c>
      <c r="AK393" s="25">
        <v>673</v>
      </c>
    </row>
    <row r="394" spans="36:37" x14ac:dyDescent="0.2">
      <c r="AJ394" s="7">
        <v>981</v>
      </c>
      <c r="AK394" s="25">
        <v>673</v>
      </c>
    </row>
    <row r="395" spans="36:37" x14ac:dyDescent="0.2">
      <c r="AJ395" s="6" t="s">
        <v>844</v>
      </c>
      <c r="AK395" s="25">
        <v>541</v>
      </c>
    </row>
    <row r="396" spans="36:37" x14ac:dyDescent="0.2">
      <c r="AJ396" s="7">
        <v>773</v>
      </c>
      <c r="AK396" s="25">
        <v>541</v>
      </c>
    </row>
    <row r="397" spans="36:37" x14ac:dyDescent="0.2">
      <c r="AJ397" s="6" t="s">
        <v>52</v>
      </c>
      <c r="AK397" s="25">
        <v>21</v>
      </c>
    </row>
    <row r="398" spans="36:37" x14ac:dyDescent="0.2">
      <c r="AJ398" s="7">
        <v>33</v>
      </c>
      <c r="AK398" s="25">
        <v>21</v>
      </c>
    </row>
    <row r="399" spans="36:37" x14ac:dyDescent="0.2">
      <c r="AJ399" s="6" t="s">
        <v>505</v>
      </c>
      <c r="AK399" s="25">
        <v>460</v>
      </c>
    </row>
    <row r="400" spans="36:37" x14ac:dyDescent="0.2">
      <c r="AJ400" s="7">
        <v>447</v>
      </c>
      <c r="AK400" s="25">
        <v>460</v>
      </c>
    </row>
    <row r="401" spans="36:37" x14ac:dyDescent="0.2">
      <c r="AJ401" s="6" t="s">
        <v>483</v>
      </c>
      <c r="AK401" s="25">
        <v>541</v>
      </c>
    </row>
    <row r="402" spans="36:37" x14ac:dyDescent="0.2">
      <c r="AJ402" s="7">
        <v>425</v>
      </c>
      <c r="AK402" s="25">
        <v>541</v>
      </c>
    </row>
    <row r="403" spans="36:37" x14ac:dyDescent="0.2">
      <c r="AJ403" s="6" t="s">
        <v>156</v>
      </c>
      <c r="AK403" s="25">
        <v>85</v>
      </c>
    </row>
    <row r="404" spans="36:37" x14ac:dyDescent="0.2">
      <c r="AJ404" s="7">
        <v>119</v>
      </c>
      <c r="AK404" s="25">
        <v>85</v>
      </c>
    </row>
    <row r="405" spans="36:37" x14ac:dyDescent="0.2">
      <c r="AJ405" s="6" t="s">
        <v>302</v>
      </c>
      <c r="AK405" s="25">
        <v>200</v>
      </c>
    </row>
    <row r="406" spans="36:37" x14ac:dyDescent="0.2">
      <c r="AJ406" s="7">
        <v>257</v>
      </c>
      <c r="AK406" s="25">
        <v>200</v>
      </c>
    </row>
    <row r="407" spans="36:37" x14ac:dyDescent="0.2">
      <c r="AJ407" s="6" t="s">
        <v>429</v>
      </c>
      <c r="AK407" s="25">
        <v>405</v>
      </c>
    </row>
    <row r="408" spans="36:37" x14ac:dyDescent="0.2">
      <c r="AJ408" s="7">
        <v>373</v>
      </c>
      <c r="AK408" s="25">
        <v>405</v>
      </c>
    </row>
    <row r="409" spans="36:37" x14ac:dyDescent="0.2">
      <c r="AJ409" s="6" t="s">
        <v>1006</v>
      </c>
      <c r="AK409" s="25">
        <v>898</v>
      </c>
    </row>
    <row r="410" spans="36:37" x14ac:dyDescent="0.2">
      <c r="AJ410" s="7">
        <v>928</v>
      </c>
      <c r="AK410" s="25">
        <v>898</v>
      </c>
    </row>
    <row r="411" spans="36:37" x14ac:dyDescent="0.2">
      <c r="AJ411" s="6" t="s">
        <v>665</v>
      </c>
      <c r="AK411" s="25">
        <v>460</v>
      </c>
    </row>
    <row r="412" spans="36:37" x14ac:dyDescent="0.2">
      <c r="AJ412" s="7">
        <v>599</v>
      </c>
      <c r="AK412" s="25">
        <v>460</v>
      </c>
    </row>
    <row r="413" spans="36:37" x14ac:dyDescent="0.2">
      <c r="AJ413" s="6" t="s">
        <v>814</v>
      </c>
      <c r="AK413" s="25">
        <v>898</v>
      </c>
    </row>
    <row r="414" spans="36:37" x14ac:dyDescent="0.2">
      <c r="AJ414" s="7">
        <v>746</v>
      </c>
      <c r="AK414" s="25">
        <v>898</v>
      </c>
    </row>
    <row r="415" spans="36:37" x14ac:dyDescent="0.2">
      <c r="AJ415" s="6" t="s">
        <v>362</v>
      </c>
      <c r="AK415" s="25">
        <v>275</v>
      </c>
    </row>
    <row r="416" spans="36:37" x14ac:dyDescent="0.2">
      <c r="AJ416" s="7">
        <v>313</v>
      </c>
      <c r="AK416" s="25">
        <v>275</v>
      </c>
    </row>
    <row r="417" spans="36:37" x14ac:dyDescent="0.2">
      <c r="AJ417" s="6" t="s">
        <v>547</v>
      </c>
      <c r="AK417" s="25">
        <v>405</v>
      </c>
    </row>
    <row r="418" spans="36:37" x14ac:dyDescent="0.2">
      <c r="AJ418" s="7">
        <v>483</v>
      </c>
      <c r="AK418" s="25">
        <v>405</v>
      </c>
    </row>
    <row r="419" spans="36:37" x14ac:dyDescent="0.2">
      <c r="AJ419" s="6" t="s">
        <v>719</v>
      </c>
      <c r="AK419" s="25">
        <v>1001</v>
      </c>
    </row>
    <row r="420" spans="36:37" x14ac:dyDescent="0.2">
      <c r="AJ420" s="7">
        <v>653</v>
      </c>
      <c r="AK420" s="25">
        <v>1001</v>
      </c>
    </row>
    <row r="421" spans="36:37" x14ac:dyDescent="0.2">
      <c r="AJ421" s="6" t="s">
        <v>822</v>
      </c>
      <c r="AK421" s="25">
        <v>541</v>
      </c>
    </row>
    <row r="422" spans="36:37" x14ac:dyDescent="0.2">
      <c r="AJ422" s="7">
        <v>753</v>
      </c>
      <c r="AK422" s="25">
        <v>541</v>
      </c>
    </row>
    <row r="423" spans="36:37" x14ac:dyDescent="0.2">
      <c r="AJ423" s="6" t="s">
        <v>292</v>
      </c>
      <c r="AK423" s="25">
        <v>200</v>
      </c>
    </row>
    <row r="424" spans="36:37" x14ac:dyDescent="0.2">
      <c r="AJ424" s="7">
        <v>247</v>
      </c>
      <c r="AK424" s="25">
        <v>200</v>
      </c>
    </row>
    <row r="425" spans="36:37" x14ac:dyDescent="0.2">
      <c r="AJ425" s="6" t="s">
        <v>578</v>
      </c>
      <c r="AK425" s="25">
        <v>405</v>
      </c>
    </row>
    <row r="426" spans="36:37" x14ac:dyDescent="0.2">
      <c r="AJ426" s="7">
        <v>513</v>
      </c>
      <c r="AK426" s="25">
        <v>405</v>
      </c>
    </row>
    <row r="427" spans="36:37" x14ac:dyDescent="0.2">
      <c r="AJ427" s="6" t="s">
        <v>706</v>
      </c>
      <c r="AK427" s="25">
        <v>673</v>
      </c>
    </row>
    <row r="428" spans="36:37" x14ac:dyDescent="0.2">
      <c r="AJ428" s="7">
        <v>640</v>
      </c>
      <c r="AK428" s="25">
        <v>673</v>
      </c>
    </row>
    <row r="429" spans="36:37" x14ac:dyDescent="0.2">
      <c r="AJ429" s="6" t="s">
        <v>147</v>
      </c>
      <c r="AK429" s="25">
        <v>139</v>
      </c>
    </row>
    <row r="430" spans="36:37" x14ac:dyDescent="0.2">
      <c r="AJ430" s="7">
        <v>110</v>
      </c>
      <c r="AK430" s="25">
        <v>139</v>
      </c>
    </row>
    <row r="431" spans="36:37" x14ac:dyDescent="0.2">
      <c r="AJ431" s="6" t="s">
        <v>179</v>
      </c>
      <c r="AK431" s="25">
        <v>139</v>
      </c>
    </row>
    <row r="432" spans="36:37" x14ac:dyDescent="0.2">
      <c r="AJ432" s="7">
        <v>141</v>
      </c>
      <c r="AK432" s="25">
        <v>139</v>
      </c>
    </row>
    <row r="433" spans="36:37" x14ac:dyDescent="0.2">
      <c r="AJ433" s="6" t="s">
        <v>668</v>
      </c>
      <c r="AK433" s="25">
        <v>327</v>
      </c>
    </row>
    <row r="434" spans="36:37" x14ac:dyDescent="0.2">
      <c r="AJ434" s="7">
        <v>602</v>
      </c>
      <c r="AK434" s="25">
        <v>327</v>
      </c>
    </row>
    <row r="435" spans="36:37" x14ac:dyDescent="0.2">
      <c r="AJ435" s="6" t="s">
        <v>979</v>
      </c>
      <c r="AK435" s="25">
        <v>673</v>
      </c>
    </row>
    <row r="436" spans="36:37" x14ac:dyDescent="0.2">
      <c r="AJ436" s="7">
        <v>904</v>
      </c>
      <c r="AK436" s="25">
        <v>673</v>
      </c>
    </row>
    <row r="437" spans="36:37" x14ac:dyDescent="0.2">
      <c r="AJ437" s="6" t="s">
        <v>522</v>
      </c>
      <c r="AK437" s="25">
        <v>275</v>
      </c>
    </row>
    <row r="438" spans="36:37" x14ac:dyDescent="0.2">
      <c r="AJ438" s="7">
        <v>462</v>
      </c>
      <c r="AK438" s="25">
        <v>275</v>
      </c>
    </row>
    <row r="439" spans="36:37" x14ac:dyDescent="0.2">
      <c r="AJ439" s="6" t="s">
        <v>797</v>
      </c>
      <c r="AK439" s="25">
        <v>898</v>
      </c>
    </row>
    <row r="440" spans="36:37" x14ac:dyDescent="0.2">
      <c r="AJ440" s="7">
        <v>729</v>
      </c>
      <c r="AK440" s="25">
        <v>898</v>
      </c>
    </row>
    <row r="441" spans="36:37" x14ac:dyDescent="0.2">
      <c r="AJ441" s="6" t="s">
        <v>230</v>
      </c>
      <c r="AK441" s="25">
        <v>222</v>
      </c>
    </row>
    <row r="442" spans="36:37" x14ac:dyDescent="0.2">
      <c r="AJ442" s="7">
        <v>190</v>
      </c>
      <c r="AK442" s="25">
        <v>222</v>
      </c>
    </row>
    <row r="443" spans="36:37" x14ac:dyDescent="0.2">
      <c r="AJ443" s="6" t="s">
        <v>519</v>
      </c>
      <c r="AK443" s="25">
        <v>460</v>
      </c>
    </row>
    <row r="444" spans="36:37" x14ac:dyDescent="0.2">
      <c r="AJ444" s="7">
        <v>459</v>
      </c>
      <c r="AK444" s="25">
        <v>460</v>
      </c>
    </row>
    <row r="445" spans="36:37" x14ac:dyDescent="0.2">
      <c r="AJ445" s="6" t="s">
        <v>54</v>
      </c>
      <c r="AK445" s="25">
        <v>28</v>
      </c>
    </row>
    <row r="446" spans="36:37" x14ac:dyDescent="0.2">
      <c r="AJ446" s="7">
        <v>35</v>
      </c>
      <c r="AK446" s="25">
        <v>28</v>
      </c>
    </row>
    <row r="447" spans="36:37" x14ac:dyDescent="0.2">
      <c r="AJ447" s="6" t="s">
        <v>587</v>
      </c>
      <c r="AK447" s="25">
        <v>363</v>
      </c>
    </row>
    <row r="448" spans="36:37" x14ac:dyDescent="0.2">
      <c r="AJ448" s="7">
        <v>522</v>
      </c>
      <c r="AK448" s="25">
        <v>363</v>
      </c>
    </row>
    <row r="449" spans="36:37" x14ac:dyDescent="0.2">
      <c r="AJ449" s="6" t="s">
        <v>460</v>
      </c>
      <c r="AK449" s="25">
        <v>405</v>
      </c>
    </row>
    <row r="450" spans="36:37" x14ac:dyDescent="0.2">
      <c r="AJ450" s="7">
        <v>404</v>
      </c>
      <c r="AK450" s="25">
        <v>405</v>
      </c>
    </row>
    <row r="451" spans="36:37" x14ac:dyDescent="0.2">
      <c r="AJ451" s="6" t="s">
        <v>186</v>
      </c>
      <c r="AK451" s="25">
        <v>114</v>
      </c>
    </row>
    <row r="452" spans="36:37" x14ac:dyDescent="0.2">
      <c r="AJ452" s="7">
        <v>148</v>
      </c>
      <c r="AK452" s="25">
        <v>114</v>
      </c>
    </row>
    <row r="453" spans="36:37" x14ac:dyDescent="0.2">
      <c r="AJ453" s="6" t="s">
        <v>35</v>
      </c>
      <c r="AK453" s="25">
        <v>10</v>
      </c>
    </row>
    <row r="454" spans="36:37" x14ac:dyDescent="0.2">
      <c r="AJ454" s="7">
        <v>18</v>
      </c>
      <c r="AK454" s="25">
        <v>10</v>
      </c>
    </row>
    <row r="455" spans="36:37" x14ac:dyDescent="0.2">
      <c r="AJ455" s="6" t="s">
        <v>237</v>
      </c>
      <c r="AK455" s="25">
        <v>129</v>
      </c>
    </row>
    <row r="456" spans="36:37" x14ac:dyDescent="0.2">
      <c r="AJ456" s="7">
        <v>197</v>
      </c>
      <c r="AK456" s="25">
        <v>129</v>
      </c>
    </row>
    <row r="457" spans="36:37" x14ac:dyDescent="0.2">
      <c r="AJ457" s="6" t="s">
        <v>818</v>
      </c>
      <c r="AK457" s="25">
        <v>898</v>
      </c>
    </row>
    <row r="458" spans="36:37" x14ac:dyDescent="0.2">
      <c r="AJ458" s="7">
        <v>749</v>
      </c>
      <c r="AK458" s="25">
        <v>898</v>
      </c>
    </row>
    <row r="459" spans="36:37" x14ac:dyDescent="0.2">
      <c r="AJ459" s="6" t="s">
        <v>1040</v>
      </c>
      <c r="AK459" s="25">
        <v>1001</v>
      </c>
    </row>
    <row r="460" spans="36:37" x14ac:dyDescent="0.2">
      <c r="AJ460" s="7">
        <v>962</v>
      </c>
      <c r="AK460" s="25">
        <v>1001</v>
      </c>
    </row>
    <row r="461" spans="36:37" x14ac:dyDescent="0.2">
      <c r="AJ461" s="6" t="s">
        <v>80</v>
      </c>
      <c r="AK461" s="25">
        <v>40</v>
      </c>
    </row>
    <row r="462" spans="36:37" x14ac:dyDescent="0.2">
      <c r="AJ462" s="7">
        <v>57</v>
      </c>
      <c r="AK462" s="25">
        <v>40</v>
      </c>
    </row>
    <row r="463" spans="36:37" x14ac:dyDescent="0.2">
      <c r="AJ463" s="6" t="s">
        <v>222</v>
      </c>
      <c r="AK463" s="25">
        <v>200</v>
      </c>
    </row>
    <row r="464" spans="36:37" x14ac:dyDescent="0.2">
      <c r="AJ464" s="7">
        <v>182</v>
      </c>
      <c r="AK464" s="25">
        <v>200</v>
      </c>
    </row>
    <row r="465" spans="36:37" x14ac:dyDescent="0.2">
      <c r="AJ465" s="6" t="s">
        <v>1072</v>
      </c>
      <c r="AK465" s="25">
        <v>541</v>
      </c>
    </row>
    <row r="466" spans="36:37" x14ac:dyDescent="0.2">
      <c r="AJ466" s="7">
        <v>993</v>
      </c>
      <c r="AK466" s="25">
        <v>541</v>
      </c>
    </row>
    <row r="467" spans="36:37" x14ac:dyDescent="0.2">
      <c r="AJ467" s="6" t="s">
        <v>1017</v>
      </c>
      <c r="AK467" s="25">
        <v>898</v>
      </c>
    </row>
    <row r="468" spans="36:37" x14ac:dyDescent="0.2">
      <c r="AJ468" s="7">
        <v>939</v>
      </c>
      <c r="AK468" s="25">
        <v>898</v>
      </c>
    </row>
    <row r="469" spans="36:37" x14ac:dyDescent="0.2">
      <c r="AJ469" s="6" t="s">
        <v>224</v>
      </c>
      <c r="AK469" s="25">
        <v>121</v>
      </c>
    </row>
    <row r="470" spans="36:37" x14ac:dyDescent="0.2">
      <c r="AJ470" s="7">
        <v>184</v>
      </c>
      <c r="AK470" s="25">
        <v>121</v>
      </c>
    </row>
    <row r="471" spans="36:37" x14ac:dyDescent="0.2">
      <c r="AJ471" s="6" t="s">
        <v>69</v>
      </c>
      <c r="AK471" s="25">
        <v>42</v>
      </c>
    </row>
    <row r="472" spans="36:37" x14ac:dyDescent="0.2">
      <c r="AJ472" s="7">
        <v>47</v>
      </c>
      <c r="AK472" s="25">
        <v>42</v>
      </c>
    </row>
    <row r="473" spans="36:37" x14ac:dyDescent="0.2">
      <c r="AJ473" s="6" t="s">
        <v>705</v>
      </c>
      <c r="AK473" s="25">
        <v>541</v>
      </c>
    </row>
    <row r="474" spans="36:37" x14ac:dyDescent="0.2">
      <c r="AJ474" s="7">
        <v>639</v>
      </c>
      <c r="AK474" s="25">
        <v>541</v>
      </c>
    </row>
    <row r="475" spans="36:37" x14ac:dyDescent="0.2">
      <c r="AJ475" s="6" t="s">
        <v>251</v>
      </c>
      <c r="AK475" s="25">
        <v>101</v>
      </c>
    </row>
    <row r="476" spans="36:37" x14ac:dyDescent="0.2">
      <c r="AJ476" s="7">
        <v>210</v>
      </c>
      <c r="AK476" s="25">
        <v>101</v>
      </c>
    </row>
    <row r="477" spans="36:37" x14ac:dyDescent="0.2">
      <c r="AJ477" s="6" t="s">
        <v>1056</v>
      </c>
      <c r="AK477" s="25">
        <v>898</v>
      </c>
    </row>
    <row r="478" spans="36:37" x14ac:dyDescent="0.2">
      <c r="AJ478" s="7">
        <v>978</v>
      </c>
      <c r="AK478" s="25">
        <v>898</v>
      </c>
    </row>
    <row r="479" spans="36:37" x14ac:dyDescent="0.2">
      <c r="AJ479" s="6" t="s">
        <v>436</v>
      </c>
      <c r="AK479" s="25">
        <v>460</v>
      </c>
    </row>
    <row r="480" spans="36:37" x14ac:dyDescent="0.2">
      <c r="AJ480" s="7">
        <v>380</v>
      </c>
      <c r="AK480" s="25">
        <v>460</v>
      </c>
    </row>
    <row r="481" spans="36:37" x14ac:dyDescent="0.2">
      <c r="AJ481" s="6" t="s">
        <v>275</v>
      </c>
      <c r="AK481" s="25">
        <v>275</v>
      </c>
    </row>
    <row r="482" spans="36:37" x14ac:dyDescent="0.2">
      <c r="AJ482" s="7">
        <v>231</v>
      </c>
      <c r="AK482" s="25">
        <v>275</v>
      </c>
    </row>
    <row r="483" spans="36:37" x14ac:dyDescent="0.2">
      <c r="AJ483" s="6" t="s">
        <v>64</v>
      </c>
      <c r="AK483" s="25">
        <v>35</v>
      </c>
    </row>
    <row r="484" spans="36:37" x14ac:dyDescent="0.2">
      <c r="AJ484" s="7">
        <v>44</v>
      </c>
      <c r="AK484" s="25">
        <v>35</v>
      </c>
    </row>
    <row r="485" spans="36:37" x14ac:dyDescent="0.2">
      <c r="AJ485" s="6" t="s">
        <v>509</v>
      </c>
      <c r="AK485" s="25">
        <v>673</v>
      </c>
    </row>
    <row r="486" spans="36:37" x14ac:dyDescent="0.2">
      <c r="AJ486" s="7">
        <v>451</v>
      </c>
      <c r="AK486" s="25">
        <v>673</v>
      </c>
    </row>
    <row r="487" spans="36:37" x14ac:dyDescent="0.2">
      <c r="AJ487" s="6" t="s">
        <v>616</v>
      </c>
      <c r="AK487" s="25">
        <v>460</v>
      </c>
    </row>
    <row r="488" spans="36:37" x14ac:dyDescent="0.2">
      <c r="AJ488" s="7">
        <v>550</v>
      </c>
      <c r="AK488" s="25">
        <v>460</v>
      </c>
    </row>
    <row r="489" spans="36:37" x14ac:dyDescent="0.2">
      <c r="AJ489" s="6" t="s">
        <v>1074</v>
      </c>
      <c r="AK489" s="25">
        <v>1001</v>
      </c>
    </row>
    <row r="490" spans="36:37" x14ac:dyDescent="0.2">
      <c r="AJ490" s="7">
        <v>995</v>
      </c>
      <c r="AK490" s="25">
        <v>1001</v>
      </c>
    </row>
    <row r="491" spans="36:37" x14ac:dyDescent="0.2">
      <c r="AJ491" s="6" t="s">
        <v>226</v>
      </c>
      <c r="AK491" s="25">
        <v>200</v>
      </c>
    </row>
    <row r="492" spans="36:37" x14ac:dyDescent="0.2">
      <c r="AJ492" s="7">
        <v>186</v>
      </c>
      <c r="AK492" s="25">
        <v>200</v>
      </c>
    </row>
    <row r="493" spans="36:37" x14ac:dyDescent="0.2">
      <c r="AJ493" s="6" t="s">
        <v>750</v>
      </c>
      <c r="AK493" s="25">
        <v>673</v>
      </c>
    </row>
    <row r="494" spans="36:37" x14ac:dyDescent="0.2">
      <c r="AJ494" s="7">
        <v>683</v>
      </c>
      <c r="AK494" s="25">
        <v>673</v>
      </c>
    </row>
    <row r="495" spans="36:37" x14ac:dyDescent="0.2">
      <c r="AJ495" s="6" t="s">
        <v>461</v>
      </c>
      <c r="AK495" s="25">
        <v>275</v>
      </c>
    </row>
    <row r="496" spans="36:37" x14ac:dyDescent="0.2">
      <c r="AJ496" s="7">
        <v>405</v>
      </c>
      <c r="AK496" s="25">
        <v>275</v>
      </c>
    </row>
    <row r="497" spans="36:37" x14ac:dyDescent="0.2">
      <c r="AJ497" s="6" t="s">
        <v>732</v>
      </c>
      <c r="AK497" s="25">
        <v>304</v>
      </c>
    </row>
    <row r="498" spans="36:37" x14ac:dyDescent="0.2">
      <c r="AJ498" s="7">
        <v>666</v>
      </c>
      <c r="AK498" s="25">
        <v>304</v>
      </c>
    </row>
    <row r="499" spans="36:37" x14ac:dyDescent="0.2">
      <c r="AJ499" s="6" t="s">
        <v>356</v>
      </c>
      <c r="AK499" s="25">
        <v>363</v>
      </c>
    </row>
    <row r="500" spans="36:37" x14ac:dyDescent="0.2">
      <c r="AJ500" s="7">
        <v>307</v>
      </c>
      <c r="AK500" s="25">
        <v>363</v>
      </c>
    </row>
    <row r="501" spans="36:37" x14ac:dyDescent="0.2">
      <c r="AJ501" s="6" t="s">
        <v>424</v>
      </c>
      <c r="AK501" s="25">
        <v>405</v>
      </c>
    </row>
    <row r="502" spans="36:37" x14ac:dyDescent="0.2">
      <c r="AJ502" s="7">
        <v>370</v>
      </c>
      <c r="AK502" s="25">
        <v>405</v>
      </c>
    </row>
    <row r="503" spans="36:37" x14ac:dyDescent="0.2">
      <c r="AJ503" s="6" t="s">
        <v>219</v>
      </c>
      <c r="AK503" s="25">
        <v>139</v>
      </c>
    </row>
    <row r="504" spans="36:37" x14ac:dyDescent="0.2">
      <c r="AJ504" s="7">
        <v>179</v>
      </c>
      <c r="AK504" s="25">
        <v>139</v>
      </c>
    </row>
    <row r="505" spans="36:37" x14ac:dyDescent="0.2">
      <c r="AJ505" s="6" t="s">
        <v>261</v>
      </c>
      <c r="AK505" s="25">
        <v>167</v>
      </c>
    </row>
    <row r="506" spans="36:37" x14ac:dyDescent="0.2">
      <c r="AJ506" s="7">
        <v>220</v>
      </c>
      <c r="AK506" s="25">
        <v>167</v>
      </c>
    </row>
    <row r="507" spans="36:37" x14ac:dyDescent="0.2">
      <c r="AJ507" s="6" t="s">
        <v>1027</v>
      </c>
      <c r="AK507" s="25">
        <v>898</v>
      </c>
    </row>
    <row r="508" spans="36:37" x14ac:dyDescent="0.2">
      <c r="AJ508" s="7">
        <v>949</v>
      </c>
      <c r="AK508" s="25">
        <v>898</v>
      </c>
    </row>
    <row r="509" spans="36:37" x14ac:dyDescent="0.2">
      <c r="AJ509" s="6" t="s">
        <v>287</v>
      </c>
      <c r="AK509" s="25">
        <v>240</v>
      </c>
    </row>
    <row r="510" spans="36:37" x14ac:dyDescent="0.2">
      <c r="AJ510" s="7">
        <v>242</v>
      </c>
      <c r="AK510" s="25">
        <v>240</v>
      </c>
    </row>
    <row r="511" spans="36:37" x14ac:dyDescent="0.2">
      <c r="AJ511" s="6" t="s">
        <v>247</v>
      </c>
      <c r="AK511" s="25">
        <v>174</v>
      </c>
    </row>
    <row r="512" spans="36:37" x14ac:dyDescent="0.2">
      <c r="AJ512" s="7">
        <v>206</v>
      </c>
      <c r="AK512" s="25">
        <v>174</v>
      </c>
    </row>
    <row r="513" spans="36:37" x14ac:dyDescent="0.2">
      <c r="AJ513" s="6" t="s">
        <v>313</v>
      </c>
      <c r="AK513" s="25">
        <v>275</v>
      </c>
    </row>
    <row r="514" spans="36:37" x14ac:dyDescent="0.2">
      <c r="AJ514" s="7">
        <v>266</v>
      </c>
      <c r="AK514" s="25">
        <v>275</v>
      </c>
    </row>
    <row r="515" spans="36:37" x14ac:dyDescent="0.2">
      <c r="AJ515" s="6" t="s">
        <v>202</v>
      </c>
      <c r="AK515" s="25">
        <v>139</v>
      </c>
    </row>
    <row r="516" spans="36:37" x14ac:dyDescent="0.2">
      <c r="AJ516" s="7">
        <v>164</v>
      </c>
      <c r="AK516" s="25">
        <v>139</v>
      </c>
    </row>
    <row r="517" spans="36:37" x14ac:dyDescent="0.2">
      <c r="AJ517" s="6" t="s">
        <v>184</v>
      </c>
      <c r="AK517" s="25">
        <v>151</v>
      </c>
    </row>
    <row r="518" spans="36:37" x14ac:dyDescent="0.2">
      <c r="AJ518" s="7">
        <v>146</v>
      </c>
      <c r="AK518" s="25">
        <v>151</v>
      </c>
    </row>
    <row r="519" spans="36:37" x14ac:dyDescent="0.2">
      <c r="AJ519" s="6" t="s">
        <v>504</v>
      </c>
      <c r="AK519" s="25">
        <v>275</v>
      </c>
    </row>
    <row r="520" spans="36:37" x14ac:dyDescent="0.2">
      <c r="AJ520" s="7">
        <v>446</v>
      </c>
      <c r="AK520" s="25">
        <v>275</v>
      </c>
    </row>
    <row r="521" spans="36:37" x14ac:dyDescent="0.2">
      <c r="AJ521" s="6" t="s">
        <v>672</v>
      </c>
      <c r="AK521" s="25">
        <v>541</v>
      </c>
    </row>
    <row r="522" spans="36:37" x14ac:dyDescent="0.2">
      <c r="AJ522" s="7">
        <v>606</v>
      </c>
      <c r="AK522" s="25">
        <v>541</v>
      </c>
    </row>
    <row r="523" spans="36:37" x14ac:dyDescent="0.2">
      <c r="AJ523" s="6" t="s">
        <v>839</v>
      </c>
      <c r="AK523" s="25">
        <v>541</v>
      </c>
    </row>
    <row r="524" spans="36:37" x14ac:dyDescent="0.2">
      <c r="AJ524" s="7">
        <v>769</v>
      </c>
      <c r="AK524" s="25">
        <v>541</v>
      </c>
    </row>
    <row r="525" spans="36:37" x14ac:dyDescent="0.2">
      <c r="AJ525" s="6" t="s">
        <v>458</v>
      </c>
      <c r="AK525" s="25">
        <v>327</v>
      </c>
    </row>
    <row r="526" spans="36:37" x14ac:dyDescent="0.2">
      <c r="AJ526" s="7">
        <v>402</v>
      </c>
      <c r="AK526" s="25">
        <v>327</v>
      </c>
    </row>
    <row r="527" spans="36:37" x14ac:dyDescent="0.2">
      <c r="AJ527" s="6" t="s">
        <v>474</v>
      </c>
      <c r="AK527" s="25">
        <v>673</v>
      </c>
    </row>
    <row r="528" spans="36:37" x14ac:dyDescent="0.2">
      <c r="AJ528" s="7">
        <v>417</v>
      </c>
      <c r="AK528" s="25">
        <v>673</v>
      </c>
    </row>
    <row r="529" spans="36:37" x14ac:dyDescent="0.2">
      <c r="AJ529" s="6" t="s">
        <v>277</v>
      </c>
      <c r="AK529" s="25">
        <v>222</v>
      </c>
    </row>
    <row r="530" spans="36:37" x14ac:dyDescent="0.2">
      <c r="AJ530" s="7">
        <v>233</v>
      </c>
      <c r="AK530" s="25">
        <v>222</v>
      </c>
    </row>
    <row r="531" spans="36:37" x14ac:dyDescent="0.2">
      <c r="AJ531" s="6" t="s">
        <v>305</v>
      </c>
      <c r="AK531" s="25">
        <v>200</v>
      </c>
    </row>
    <row r="532" spans="36:37" x14ac:dyDescent="0.2">
      <c r="AJ532" s="7">
        <v>259</v>
      </c>
      <c r="AK532" s="25">
        <v>200</v>
      </c>
    </row>
    <row r="533" spans="36:37" x14ac:dyDescent="0.2">
      <c r="AJ533" s="6" t="s">
        <v>685</v>
      </c>
      <c r="AK533" s="25">
        <v>673</v>
      </c>
    </row>
    <row r="534" spans="36:37" x14ac:dyDescent="0.2">
      <c r="AJ534" s="7">
        <v>619</v>
      </c>
      <c r="AK534" s="25">
        <v>673</v>
      </c>
    </row>
    <row r="535" spans="36:37" x14ac:dyDescent="0.2">
      <c r="AJ535" s="6" t="s">
        <v>267</v>
      </c>
      <c r="AK535" s="25">
        <v>121</v>
      </c>
    </row>
    <row r="536" spans="36:37" x14ac:dyDescent="0.2">
      <c r="AJ536" s="7">
        <v>224</v>
      </c>
      <c r="AK536" s="25">
        <v>121</v>
      </c>
    </row>
    <row r="537" spans="36:37" x14ac:dyDescent="0.2">
      <c r="AJ537" s="6" t="s">
        <v>853</v>
      </c>
      <c r="AK537" s="25">
        <v>541</v>
      </c>
    </row>
    <row r="538" spans="36:37" x14ac:dyDescent="0.2">
      <c r="AJ538" s="7">
        <v>782</v>
      </c>
      <c r="AK538" s="25">
        <v>541</v>
      </c>
    </row>
    <row r="539" spans="36:37" x14ac:dyDescent="0.2">
      <c r="AJ539" s="6" t="s">
        <v>669</v>
      </c>
      <c r="AK539" s="25">
        <v>898</v>
      </c>
    </row>
    <row r="540" spans="36:37" x14ac:dyDescent="0.2">
      <c r="AJ540" s="7">
        <v>603</v>
      </c>
      <c r="AK540" s="25">
        <v>898</v>
      </c>
    </row>
    <row r="541" spans="36:37" x14ac:dyDescent="0.2">
      <c r="AJ541" s="6" t="s">
        <v>862</v>
      </c>
      <c r="AK541" s="25">
        <v>541</v>
      </c>
    </row>
    <row r="542" spans="36:37" x14ac:dyDescent="0.2">
      <c r="AJ542" s="7">
        <v>790</v>
      </c>
      <c r="AK542" s="25">
        <v>541</v>
      </c>
    </row>
    <row r="543" spans="36:37" x14ac:dyDescent="0.2">
      <c r="AJ543" s="6" t="s">
        <v>999</v>
      </c>
      <c r="AK543" s="25">
        <v>1001</v>
      </c>
    </row>
    <row r="544" spans="36:37" x14ac:dyDescent="0.2">
      <c r="AJ544" s="7">
        <v>921</v>
      </c>
      <c r="AK544" s="25">
        <v>1001</v>
      </c>
    </row>
    <row r="545" spans="36:37" x14ac:dyDescent="0.2">
      <c r="AJ545" s="6" t="s">
        <v>366</v>
      </c>
      <c r="AK545" s="25">
        <v>460</v>
      </c>
    </row>
    <row r="546" spans="36:37" x14ac:dyDescent="0.2">
      <c r="AJ546" s="7">
        <v>317</v>
      </c>
      <c r="AK546" s="25">
        <v>460</v>
      </c>
    </row>
    <row r="547" spans="36:37" x14ac:dyDescent="0.2">
      <c r="AJ547" s="6" t="s">
        <v>975</v>
      </c>
      <c r="AK547" s="25">
        <v>460</v>
      </c>
    </row>
    <row r="548" spans="36:37" x14ac:dyDescent="0.2">
      <c r="AJ548" s="7">
        <v>900</v>
      </c>
      <c r="AK548" s="25">
        <v>460</v>
      </c>
    </row>
    <row r="549" spans="36:37" x14ac:dyDescent="0.2">
      <c r="AJ549" s="6" t="s">
        <v>172</v>
      </c>
      <c r="AK549" s="25">
        <v>151</v>
      </c>
    </row>
    <row r="550" spans="36:37" x14ac:dyDescent="0.2">
      <c r="AJ550" s="7">
        <v>134</v>
      </c>
      <c r="AK550" s="25">
        <v>151</v>
      </c>
    </row>
    <row r="551" spans="36:37" x14ac:dyDescent="0.2">
      <c r="AJ551" s="6" t="s">
        <v>779</v>
      </c>
      <c r="AK551" s="25">
        <v>541</v>
      </c>
    </row>
    <row r="552" spans="36:37" x14ac:dyDescent="0.2">
      <c r="AJ552" s="7">
        <v>712</v>
      </c>
      <c r="AK552" s="25">
        <v>541</v>
      </c>
    </row>
    <row r="553" spans="36:37" x14ac:dyDescent="0.2">
      <c r="AJ553" s="6" t="s">
        <v>906</v>
      </c>
      <c r="AK553" s="25">
        <v>898</v>
      </c>
    </row>
    <row r="554" spans="36:37" x14ac:dyDescent="0.2">
      <c r="AJ554" s="7">
        <v>832</v>
      </c>
      <c r="AK554" s="25">
        <v>898</v>
      </c>
    </row>
    <row r="555" spans="36:37" x14ac:dyDescent="0.2">
      <c r="AJ555" s="6" t="s">
        <v>349</v>
      </c>
      <c r="AK555" s="25">
        <v>327</v>
      </c>
    </row>
    <row r="556" spans="36:37" x14ac:dyDescent="0.2">
      <c r="AJ556" s="7">
        <v>301</v>
      </c>
      <c r="AK556" s="25">
        <v>327</v>
      </c>
    </row>
    <row r="557" spans="36:37" x14ac:dyDescent="0.2">
      <c r="AJ557" s="6" t="s">
        <v>51</v>
      </c>
      <c r="AK557" s="25">
        <v>50</v>
      </c>
    </row>
    <row r="558" spans="36:37" x14ac:dyDescent="0.2">
      <c r="AJ558" s="7">
        <v>32</v>
      </c>
      <c r="AK558" s="25">
        <v>50</v>
      </c>
    </row>
    <row r="559" spans="36:37" x14ac:dyDescent="0.2">
      <c r="AJ559" s="6" t="s">
        <v>258</v>
      </c>
      <c r="AK559" s="25">
        <v>151</v>
      </c>
    </row>
    <row r="560" spans="36:37" x14ac:dyDescent="0.2">
      <c r="AJ560" s="7">
        <v>217</v>
      </c>
      <c r="AK560" s="25">
        <v>151</v>
      </c>
    </row>
    <row r="561" spans="36:37" x14ac:dyDescent="0.2">
      <c r="AJ561" s="6" t="s">
        <v>731</v>
      </c>
      <c r="AK561" s="25">
        <v>460</v>
      </c>
    </row>
    <row r="562" spans="36:37" x14ac:dyDescent="0.2">
      <c r="AJ562" s="7">
        <v>665</v>
      </c>
      <c r="AK562" s="25">
        <v>460</v>
      </c>
    </row>
    <row r="563" spans="36:37" x14ac:dyDescent="0.2">
      <c r="AJ563" s="6" t="s">
        <v>539</v>
      </c>
      <c r="AK563" s="25">
        <v>327</v>
      </c>
    </row>
    <row r="564" spans="36:37" x14ac:dyDescent="0.2">
      <c r="AJ564" s="7">
        <v>476</v>
      </c>
      <c r="AK564" s="25">
        <v>327</v>
      </c>
    </row>
    <row r="565" spans="36:37" x14ac:dyDescent="0.2">
      <c r="AJ565" s="6" t="s">
        <v>1069</v>
      </c>
      <c r="AK565" s="25">
        <v>898</v>
      </c>
    </row>
    <row r="566" spans="36:37" x14ac:dyDescent="0.2">
      <c r="AJ566" s="7">
        <v>991</v>
      </c>
      <c r="AK566" s="25">
        <v>898</v>
      </c>
    </row>
    <row r="567" spans="36:37" x14ac:dyDescent="0.2">
      <c r="AJ567" s="6" t="s">
        <v>915</v>
      </c>
      <c r="AK567" s="25">
        <v>1001</v>
      </c>
    </row>
    <row r="568" spans="36:37" x14ac:dyDescent="0.2">
      <c r="AJ568" s="7">
        <v>841</v>
      </c>
      <c r="AK568" s="25">
        <v>1001</v>
      </c>
    </row>
    <row r="569" spans="36:37" x14ac:dyDescent="0.2">
      <c r="AJ569" s="6" t="s">
        <v>588</v>
      </c>
      <c r="AK569" s="25">
        <v>898</v>
      </c>
    </row>
    <row r="570" spans="36:37" x14ac:dyDescent="0.2">
      <c r="AJ570" s="7">
        <v>523</v>
      </c>
      <c r="AK570" s="25">
        <v>898</v>
      </c>
    </row>
    <row r="571" spans="36:37" x14ac:dyDescent="0.2">
      <c r="AJ571" s="6" t="s">
        <v>347</v>
      </c>
      <c r="AK571" s="25">
        <v>275</v>
      </c>
    </row>
    <row r="572" spans="36:37" x14ac:dyDescent="0.2">
      <c r="AJ572" s="7">
        <v>299</v>
      </c>
      <c r="AK572" s="25">
        <v>275</v>
      </c>
    </row>
    <row r="573" spans="36:37" x14ac:dyDescent="0.2">
      <c r="AJ573" s="6" t="s">
        <v>209</v>
      </c>
      <c r="AK573" s="25">
        <v>114</v>
      </c>
    </row>
    <row r="574" spans="36:37" x14ac:dyDescent="0.2">
      <c r="AJ574" s="7">
        <v>171</v>
      </c>
      <c r="AK574" s="25">
        <v>114</v>
      </c>
    </row>
    <row r="575" spans="36:37" x14ac:dyDescent="0.2">
      <c r="AJ575" s="6" t="s">
        <v>850</v>
      </c>
      <c r="AK575" s="25">
        <v>541</v>
      </c>
    </row>
    <row r="576" spans="36:37" x14ac:dyDescent="0.2">
      <c r="AJ576" s="7">
        <v>779</v>
      </c>
      <c r="AK576" s="25">
        <v>541</v>
      </c>
    </row>
    <row r="577" spans="36:37" x14ac:dyDescent="0.2">
      <c r="AJ577" s="6" t="s">
        <v>883</v>
      </c>
      <c r="AK577" s="25">
        <v>541</v>
      </c>
    </row>
    <row r="578" spans="36:37" x14ac:dyDescent="0.2">
      <c r="AJ578" s="7">
        <v>809</v>
      </c>
      <c r="AK578" s="25">
        <v>541</v>
      </c>
    </row>
    <row r="579" spans="36:37" x14ac:dyDescent="0.2">
      <c r="AJ579" s="6" t="s">
        <v>125</v>
      </c>
      <c r="AK579" s="25">
        <v>108</v>
      </c>
    </row>
    <row r="580" spans="36:37" x14ac:dyDescent="0.2">
      <c r="AJ580" s="7">
        <v>93</v>
      </c>
      <c r="AK580" s="25">
        <v>108</v>
      </c>
    </row>
    <row r="581" spans="36:37" x14ac:dyDescent="0.2">
      <c r="AJ581" s="6" t="s">
        <v>355</v>
      </c>
      <c r="AK581" s="25">
        <v>541</v>
      </c>
    </row>
    <row r="582" spans="36:37" x14ac:dyDescent="0.2">
      <c r="AJ582" s="7">
        <v>306</v>
      </c>
      <c r="AK582" s="25">
        <v>541</v>
      </c>
    </row>
    <row r="583" spans="36:37" x14ac:dyDescent="0.2">
      <c r="AJ583" s="6" t="s">
        <v>1015</v>
      </c>
      <c r="AK583" s="25">
        <v>898</v>
      </c>
    </row>
    <row r="584" spans="36:37" x14ac:dyDescent="0.2">
      <c r="AJ584" s="7">
        <v>937</v>
      </c>
      <c r="AK584" s="25">
        <v>898</v>
      </c>
    </row>
    <row r="585" spans="36:37" x14ac:dyDescent="0.2">
      <c r="AJ585" s="6" t="s">
        <v>537</v>
      </c>
      <c r="AK585" s="25">
        <v>405</v>
      </c>
    </row>
    <row r="586" spans="36:37" x14ac:dyDescent="0.2">
      <c r="AJ586" s="7">
        <v>474</v>
      </c>
      <c r="AK586" s="25">
        <v>405</v>
      </c>
    </row>
    <row r="587" spans="36:37" x14ac:dyDescent="0.2">
      <c r="AJ587" s="6" t="s">
        <v>162</v>
      </c>
      <c r="AK587" s="25">
        <v>114</v>
      </c>
    </row>
    <row r="588" spans="36:37" x14ac:dyDescent="0.2">
      <c r="AJ588" s="7">
        <v>125</v>
      </c>
      <c r="AK588" s="25">
        <v>114</v>
      </c>
    </row>
    <row r="589" spans="36:37" x14ac:dyDescent="0.2">
      <c r="AJ589" s="6" t="s">
        <v>686</v>
      </c>
      <c r="AK589" s="25">
        <v>898</v>
      </c>
    </row>
    <row r="590" spans="36:37" x14ac:dyDescent="0.2">
      <c r="AJ590" s="7">
        <v>620</v>
      </c>
      <c r="AK590" s="25">
        <v>898</v>
      </c>
    </row>
    <row r="591" spans="36:37" x14ac:dyDescent="0.2">
      <c r="AJ591" s="6" t="s">
        <v>377</v>
      </c>
      <c r="AK591" s="25">
        <v>200</v>
      </c>
    </row>
    <row r="592" spans="36:37" x14ac:dyDescent="0.2">
      <c r="AJ592" s="7">
        <v>326</v>
      </c>
      <c r="AK592" s="25">
        <v>200</v>
      </c>
    </row>
    <row r="593" spans="36:37" x14ac:dyDescent="0.2">
      <c r="AJ593" s="6" t="s">
        <v>133</v>
      </c>
      <c r="AK593" s="25">
        <v>93</v>
      </c>
    </row>
    <row r="594" spans="36:37" x14ac:dyDescent="0.2">
      <c r="AJ594" s="7">
        <v>100</v>
      </c>
      <c r="AK594" s="25">
        <v>93</v>
      </c>
    </row>
    <row r="595" spans="36:37" x14ac:dyDescent="0.2">
      <c r="AJ595" s="6" t="s">
        <v>697</v>
      </c>
      <c r="AK595" s="25">
        <v>460</v>
      </c>
    </row>
    <row r="596" spans="36:37" x14ac:dyDescent="0.2">
      <c r="AJ596" s="7">
        <v>631</v>
      </c>
      <c r="AK596" s="25">
        <v>460</v>
      </c>
    </row>
    <row r="597" spans="36:37" x14ac:dyDescent="0.2">
      <c r="AJ597" s="6" t="s">
        <v>713</v>
      </c>
      <c r="AK597" s="25">
        <v>673</v>
      </c>
    </row>
    <row r="598" spans="36:37" x14ac:dyDescent="0.2">
      <c r="AJ598" s="7">
        <v>647</v>
      </c>
      <c r="AK598" s="25">
        <v>673</v>
      </c>
    </row>
    <row r="599" spans="36:37" x14ac:dyDescent="0.2">
      <c r="AJ599" s="6" t="s">
        <v>367</v>
      </c>
      <c r="AK599" s="25">
        <v>200</v>
      </c>
    </row>
    <row r="600" spans="36:37" x14ac:dyDescent="0.2">
      <c r="AJ600" s="7">
        <v>318</v>
      </c>
      <c r="AK600" s="25">
        <v>200</v>
      </c>
    </row>
    <row r="601" spans="36:37" x14ac:dyDescent="0.2">
      <c r="AJ601" s="6" t="s">
        <v>204</v>
      </c>
      <c r="AK601" s="25">
        <v>187</v>
      </c>
    </row>
    <row r="602" spans="36:37" x14ac:dyDescent="0.2">
      <c r="AJ602" s="7">
        <v>166</v>
      </c>
      <c r="AK602" s="25">
        <v>187</v>
      </c>
    </row>
    <row r="603" spans="36:37" x14ac:dyDescent="0.2">
      <c r="AJ603" s="6" t="s">
        <v>196</v>
      </c>
      <c r="AK603" s="25">
        <v>114</v>
      </c>
    </row>
    <row r="604" spans="36:37" x14ac:dyDescent="0.2">
      <c r="AJ604" s="7">
        <v>158</v>
      </c>
      <c r="AK604" s="25">
        <v>114</v>
      </c>
    </row>
    <row r="605" spans="36:37" x14ac:dyDescent="0.2">
      <c r="AJ605" s="6" t="s">
        <v>775</v>
      </c>
      <c r="AK605" s="25">
        <v>541</v>
      </c>
    </row>
    <row r="606" spans="36:37" x14ac:dyDescent="0.2">
      <c r="AJ606" s="7">
        <v>708</v>
      </c>
      <c r="AK606" s="25">
        <v>541</v>
      </c>
    </row>
    <row r="607" spans="36:37" x14ac:dyDescent="0.2">
      <c r="AJ607" s="6" t="s">
        <v>407</v>
      </c>
      <c r="AK607" s="25">
        <v>222</v>
      </c>
    </row>
    <row r="608" spans="36:37" x14ac:dyDescent="0.2">
      <c r="AJ608" s="7">
        <v>353</v>
      </c>
      <c r="AK608" s="25">
        <v>222</v>
      </c>
    </row>
    <row r="609" spans="36:37" x14ac:dyDescent="0.2">
      <c r="AJ609" s="6" t="s">
        <v>220</v>
      </c>
      <c r="AK609" s="25">
        <v>275</v>
      </c>
    </row>
    <row r="610" spans="36:37" x14ac:dyDescent="0.2">
      <c r="AJ610" s="7">
        <v>180</v>
      </c>
      <c r="AK610" s="25">
        <v>275</v>
      </c>
    </row>
    <row r="611" spans="36:37" x14ac:dyDescent="0.2">
      <c r="AJ611" s="6" t="s">
        <v>403</v>
      </c>
      <c r="AK611" s="25">
        <v>304</v>
      </c>
    </row>
    <row r="612" spans="36:37" x14ac:dyDescent="0.2">
      <c r="AJ612" s="7">
        <v>349</v>
      </c>
      <c r="AK612" s="25">
        <v>304</v>
      </c>
    </row>
    <row r="613" spans="36:37" x14ac:dyDescent="0.2">
      <c r="AJ613" s="6" t="s">
        <v>78</v>
      </c>
      <c r="AK613" s="25">
        <v>72</v>
      </c>
    </row>
    <row r="614" spans="36:37" x14ac:dyDescent="0.2">
      <c r="AJ614" s="7">
        <v>55</v>
      </c>
      <c r="AK614" s="25">
        <v>72</v>
      </c>
    </row>
    <row r="615" spans="36:37" x14ac:dyDescent="0.2">
      <c r="AJ615" s="6" t="s">
        <v>193</v>
      </c>
      <c r="AK615" s="25">
        <v>187</v>
      </c>
    </row>
    <row r="616" spans="36:37" x14ac:dyDescent="0.2">
      <c r="AJ616" s="7">
        <v>155</v>
      </c>
      <c r="AK616" s="25">
        <v>187</v>
      </c>
    </row>
    <row r="617" spans="36:37" x14ac:dyDescent="0.2">
      <c r="AJ617" s="6" t="s">
        <v>778</v>
      </c>
      <c r="AK617" s="25">
        <v>541</v>
      </c>
    </row>
    <row r="618" spans="36:37" x14ac:dyDescent="0.2">
      <c r="AJ618" s="7">
        <v>711</v>
      </c>
      <c r="AK618" s="25">
        <v>541</v>
      </c>
    </row>
    <row r="619" spans="36:37" x14ac:dyDescent="0.2">
      <c r="AJ619" s="6" t="s">
        <v>203</v>
      </c>
      <c r="AK619" s="25">
        <v>129</v>
      </c>
    </row>
    <row r="620" spans="36:37" x14ac:dyDescent="0.2">
      <c r="AJ620" s="7">
        <v>165</v>
      </c>
      <c r="AK620" s="25">
        <v>129</v>
      </c>
    </row>
    <row r="621" spans="36:37" x14ac:dyDescent="0.2">
      <c r="AJ621" s="6" t="s">
        <v>734</v>
      </c>
      <c r="AK621" s="25">
        <v>541</v>
      </c>
    </row>
    <row r="622" spans="36:37" x14ac:dyDescent="0.2">
      <c r="AJ622" s="7">
        <v>668</v>
      </c>
      <c r="AK622" s="25">
        <v>541</v>
      </c>
    </row>
    <row r="623" spans="36:37" x14ac:dyDescent="0.2">
      <c r="AJ623" s="6" t="s">
        <v>87</v>
      </c>
      <c r="AK623" s="25">
        <v>43</v>
      </c>
    </row>
    <row r="624" spans="36:37" x14ac:dyDescent="0.2">
      <c r="AJ624" s="7">
        <v>62</v>
      </c>
      <c r="AK624" s="25">
        <v>43</v>
      </c>
    </row>
    <row r="625" spans="36:37" x14ac:dyDescent="0.2">
      <c r="AJ625" s="6" t="s">
        <v>225</v>
      </c>
      <c r="AK625" s="25">
        <v>200</v>
      </c>
    </row>
    <row r="626" spans="36:37" x14ac:dyDescent="0.2">
      <c r="AJ626" s="7">
        <v>185</v>
      </c>
      <c r="AK626" s="25">
        <v>200</v>
      </c>
    </row>
    <row r="627" spans="36:37" x14ac:dyDescent="0.2">
      <c r="AJ627" s="6" t="s">
        <v>516</v>
      </c>
      <c r="AK627" s="25">
        <v>327</v>
      </c>
    </row>
    <row r="628" spans="36:37" x14ac:dyDescent="0.2">
      <c r="AJ628" s="7">
        <v>456</v>
      </c>
      <c r="AK628" s="25">
        <v>327</v>
      </c>
    </row>
    <row r="629" spans="36:37" x14ac:dyDescent="0.2">
      <c r="AJ629" s="6" t="s">
        <v>941</v>
      </c>
      <c r="AK629" s="25">
        <v>673</v>
      </c>
    </row>
    <row r="630" spans="36:37" x14ac:dyDescent="0.2">
      <c r="AJ630" s="7">
        <v>867</v>
      </c>
      <c r="AK630" s="25">
        <v>673</v>
      </c>
    </row>
    <row r="631" spans="36:37" x14ac:dyDescent="0.2">
      <c r="AJ631" s="6" t="s">
        <v>328</v>
      </c>
      <c r="AK631" s="25">
        <v>327</v>
      </c>
    </row>
    <row r="632" spans="36:37" x14ac:dyDescent="0.2">
      <c r="AJ632" s="7">
        <v>281</v>
      </c>
      <c r="AK632" s="25">
        <v>327</v>
      </c>
    </row>
    <row r="633" spans="36:37" x14ac:dyDescent="0.2">
      <c r="AJ633" s="6" t="s">
        <v>838</v>
      </c>
      <c r="AK633" s="25">
        <v>541</v>
      </c>
    </row>
    <row r="634" spans="36:37" x14ac:dyDescent="0.2">
      <c r="AJ634" s="7">
        <v>768</v>
      </c>
      <c r="AK634" s="25">
        <v>541</v>
      </c>
    </row>
    <row r="635" spans="36:37" x14ac:dyDescent="0.2">
      <c r="AJ635" s="6" t="s">
        <v>257</v>
      </c>
      <c r="AK635" s="25">
        <v>151</v>
      </c>
    </row>
    <row r="636" spans="36:37" x14ac:dyDescent="0.2">
      <c r="AJ636" s="7">
        <v>216</v>
      </c>
      <c r="AK636" s="25">
        <v>151</v>
      </c>
    </row>
    <row r="637" spans="36:37" x14ac:dyDescent="0.2">
      <c r="AJ637" s="6" t="s">
        <v>548</v>
      </c>
      <c r="AK637" s="25">
        <v>673</v>
      </c>
    </row>
    <row r="638" spans="36:37" x14ac:dyDescent="0.2">
      <c r="AJ638" s="7">
        <v>484</v>
      </c>
      <c r="AK638" s="25">
        <v>673</v>
      </c>
    </row>
    <row r="639" spans="36:37" x14ac:dyDescent="0.2">
      <c r="AJ639" s="6" t="s">
        <v>53</v>
      </c>
      <c r="AK639" s="25">
        <v>48</v>
      </c>
    </row>
    <row r="640" spans="36:37" x14ac:dyDescent="0.2">
      <c r="AJ640" s="7">
        <v>34</v>
      </c>
      <c r="AK640" s="25">
        <v>48</v>
      </c>
    </row>
    <row r="641" spans="36:37" x14ac:dyDescent="0.2">
      <c r="AJ641" s="6" t="s">
        <v>753</v>
      </c>
      <c r="AK641" s="25">
        <v>405</v>
      </c>
    </row>
    <row r="642" spans="36:37" x14ac:dyDescent="0.2">
      <c r="AJ642" s="7">
        <v>686</v>
      </c>
      <c r="AK642" s="25">
        <v>405</v>
      </c>
    </row>
    <row r="643" spans="36:37" x14ac:dyDescent="0.2">
      <c r="AJ643" s="6" t="s">
        <v>475</v>
      </c>
      <c r="AK643" s="25">
        <v>541</v>
      </c>
    </row>
    <row r="644" spans="36:37" x14ac:dyDescent="0.2">
      <c r="AJ644" s="7">
        <v>418</v>
      </c>
      <c r="AK644" s="25">
        <v>541</v>
      </c>
    </row>
    <row r="645" spans="36:37" x14ac:dyDescent="0.2">
      <c r="AJ645" s="6" t="s">
        <v>319</v>
      </c>
      <c r="AK645" s="25">
        <v>187</v>
      </c>
    </row>
    <row r="646" spans="36:37" x14ac:dyDescent="0.2">
      <c r="AJ646" s="7">
        <v>272</v>
      </c>
      <c r="AK646" s="25">
        <v>187</v>
      </c>
    </row>
    <row r="647" spans="36:37" x14ac:dyDescent="0.2">
      <c r="AJ647" s="6" t="s">
        <v>369</v>
      </c>
      <c r="AK647" s="25">
        <v>174</v>
      </c>
    </row>
    <row r="648" spans="36:37" x14ac:dyDescent="0.2">
      <c r="AJ648" s="7">
        <v>320</v>
      </c>
      <c r="AK648" s="25">
        <v>174</v>
      </c>
    </row>
    <row r="649" spans="36:37" x14ac:dyDescent="0.2">
      <c r="AJ649" s="6" t="s">
        <v>337</v>
      </c>
      <c r="AK649" s="25">
        <v>254</v>
      </c>
    </row>
    <row r="650" spans="36:37" x14ac:dyDescent="0.2">
      <c r="AJ650" s="7">
        <v>290</v>
      </c>
      <c r="AK650" s="25">
        <v>254</v>
      </c>
    </row>
    <row r="651" spans="36:37" x14ac:dyDescent="0.2">
      <c r="AJ651" s="6" t="s">
        <v>904</v>
      </c>
      <c r="AK651" s="25">
        <v>673</v>
      </c>
    </row>
    <row r="652" spans="36:37" x14ac:dyDescent="0.2">
      <c r="AJ652" s="7">
        <v>830</v>
      </c>
      <c r="AK652" s="25">
        <v>673</v>
      </c>
    </row>
    <row r="653" spans="36:37" x14ac:dyDescent="0.2">
      <c r="AJ653" s="6" t="s">
        <v>794</v>
      </c>
      <c r="AK653" s="25">
        <v>1001</v>
      </c>
    </row>
    <row r="654" spans="36:37" x14ac:dyDescent="0.2">
      <c r="AJ654" s="7">
        <v>726</v>
      </c>
      <c r="AK654" s="25">
        <v>1001</v>
      </c>
    </row>
    <row r="655" spans="36:37" x14ac:dyDescent="0.2">
      <c r="AJ655" s="6" t="s">
        <v>335</v>
      </c>
      <c r="AK655" s="25">
        <v>405</v>
      </c>
    </row>
    <row r="656" spans="36:37" x14ac:dyDescent="0.2">
      <c r="AJ656" s="7">
        <v>288</v>
      </c>
      <c r="AK656" s="25">
        <v>405</v>
      </c>
    </row>
    <row r="657" spans="36:37" x14ac:dyDescent="0.2">
      <c r="AJ657" s="6" t="s">
        <v>763</v>
      </c>
      <c r="AK657" s="25">
        <v>541</v>
      </c>
    </row>
    <row r="658" spans="36:37" x14ac:dyDescent="0.2">
      <c r="AJ658" s="7">
        <v>696</v>
      </c>
      <c r="AK658" s="25">
        <v>541</v>
      </c>
    </row>
    <row r="659" spans="36:37" x14ac:dyDescent="0.2">
      <c r="AJ659" s="6" t="s">
        <v>342</v>
      </c>
      <c r="AK659" s="25">
        <v>222</v>
      </c>
    </row>
    <row r="660" spans="36:37" x14ac:dyDescent="0.2">
      <c r="AJ660" s="7">
        <v>294</v>
      </c>
      <c r="AK660" s="25">
        <v>222</v>
      </c>
    </row>
    <row r="661" spans="36:37" x14ac:dyDescent="0.2">
      <c r="AJ661" s="6" t="s">
        <v>980</v>
      </c>
      <c r="AK661" s="25">
        <v>673</v>
      </c>
    </row>
    <row r="662" spans="36:37" x14ac:dyDescent="0.2">
      <c r="AJ662" s="7">
        <v>905</v>
      </c>
      <c r="AK662" s="25">
        <v>673</v>
      </c>
    </row>
    <row r="663" spans="36:37" x14ac:dyDescent="0.2">
      <c r="AJ663" s="6" t="s">
        <v>671</v>
      </c>
      <c r="AK663" s="25">
        <v>541</v>
      </c>
    </row>
    <row r="664" spans="36:37" x14ac:dyDescent="0.2">
      <c r="AJ664" s="7">
        <v>605</v>
      </c>
      <c r="AK664" s="25">
        <v>541</v>
      </c>
    </row>
    <row r="665" spans="36:37" x14ac:dyDescent="0.2">
      <c r="AJ665" s="6" t="s">
        <v>58</v>
      </c>
      <c r="AK665" s="25">
        <v>38</v>
      </c>
    </row>
    <row r="666" spans="36:37" x14ac:dyDescent="0.2">
      <c r="AJ666" s="7">
        <v>39</v>
      </c>
      <c r="AK666" s="25">
        <v>38</v>
      </c>
    </row>
    <row r="667" spans="36:37" x14ac:dyDescent="0.2">
      <c r="AJ667" s="6" t="s">
        <v>233</v>
      </c>
      <c r="AK667" s="25">
        <v>254</v>
      </c>
    </row>
    <row r="668" spans="36:37" x14ac:dyDescent="0.2">
      <c r="AJ668" s="7">
        <v>193</v>
      </c>
      <c r="AK668" s="25">
        <v>254</v>
      </c>
    </row>
    <row r="669" spans="36:37" x14ac:dyDescent="0.2">
      <c r="AJ669" s="6" t="s">
        <v>863</v>
      </c>
      <c r="AK669" s="25">
        <v>1001</v>
      </c>
    </row>
    <row r="670" spans="36:37" x14ac:dyDescent="0.2">
      <c r="AJ670" s="7">
        <v>791</v>
      </c>
      <c r="AK670" s="25">
        <v>1001</v>
      </c>
    </row>
    <row r="671" spans="36:37" x14ac:dyDescent="0.2">
      <c r="AJ671" s="6" t="s">
        <v>171</v>
      </c>
      <c r="AK671" s="25">
        <v>139</v>
      </c>
    </row>
    <row r="672" spans="36:37" x14ac:dyDescent="0.2">
      <c r="AJ672" s="7">
        <v>133</v>
      </c>
      <c r="AK672" s="25">
        <v>139</v>
      </c>
    </row>
    <row r="673" spans="36:37" x14ac:dyDescent="0.2">
      <c r="AJ673" s="6" t="s">
        <v>73</v>
      </c>
      <c r="AK673" s="25">
        <v>59</v>
      </c>
    </row>
    <row r="674" spans="36:37" x14ac:dyDescent="0.2">
      <c r="AJ674" s="7">
        <v>50</v>
      </c>
      <c r="AK674" s="25">
        <v>59</v>
      </c>
    </row>
    <row r="675" spans="36:37" x14ac:dyDescent="0.2">
      <c r="AJ675" s="6" t="s">
        <v>254</v>
      </c>
      <c r="AK675" s="25">
        <v>222</v>
      </c>
    </row>
    <row r="676" spans="36:37" x14ac:dyDescent="0.2">
      <c r="AJ676" s="7">
        <v>213</v>
      </c>
      <c r="AK676" s="25">
        <v>222</v>
      </c>
    </row>
    <row r="677" spans="36:37" x14ac:dyDescent="0.2">
      <c r="AJ677" s="6" t="s">
        <v>459</v>
      </c>
      <c r="AK677" s="25">
        <v>405</v>
      </c>
    </row>
    <row r="678" spans="36:37" x14ac:dyDescent="0.2">
      <c r="AJ678" s="7">
        <v>403</v>
      </c>
      <c r="AK678" s="25">
        <v>405</v>
      </c>
    </row>
    <row r="679" spans="36:37" x14ac:dyDescent="0.2">
      <c r="AJ679" s="6" t="s">
        <v>660</v>
      </c>
      <c r="AK679" s="25">
        <v>541</v>
      </c>
    </row>
    <row r="680" spans="36:37" x14ac:dyDescent="0.2">
      <c r="AJ680" s="7">
        <v>594</v>
      </c>
      <c r="AK680" s="25">
        <v>541</v>
      </c>
    </row>
    <row r="681" spans="36:37" x14ac:dyDescent="0.2">
      <c r="AJ681" s="6" t="s">
        <v>245</v>
      </c>
      <c r="AK681" s="25">
        <v>151</v>
      </c>
    </row>
    <row r="682" spans="36:37" x14ac:dyDescent="0.2">
      <c r="AJ682" s="7">
        <v>204</v>
      </c>
      <c r="AK682" s="25">
        <v>151</v>
      </c>
    </row>
    <row r="683" spans="36:37" x14ac:dyDescent="0.2">
      <c r="AJ683" s="6" t="s">
        <v>229</v>
      </c>
      <c r="AK683" s="25">
        <v>898</v>
      </c>
    </row>
    <row r="684" spans="36:37" x14ac:dyDescent="0.2">
      <c r="AJ684" s="7">
        <v>189</v>
      </c>
      <c r="AK684" s="25">
        <v>898</v>
      </c>
    </row>
    <row r="685" spans="36:37" x14ac:dyDescent="0.2">
      <c r="AJ685" s="6" t="s">
        <v>440</v>
      </c>
      <c r="AK685" s="25">
        <v>898</v>
      </c>
    </row>
    <row r="686" spans="36:37" x14ac:dyDescent="0.2">
      <c r="AJ686" s="7">
        <v>384</v>
      </c>
      <c r="AK686" s="25">
        <v>898</v>
      </c>
    </row>
    <row r="687" spans="36:37" x14ac:dyDescent="0.2">
      <c r="AJ687" s="6" t="s">
        <v>25</v>
      </c>
      <c r="AK687" s="25">
        <v>10</v>
      </c>
    </row>
    <row r="688" spans="36:37" x14ac:dyDescent="0.2">
      <c r="AJ688" s="7">
        <v>10</v>
      </c>
      <c r="AK688" s="25">
        <v>10</v>
      </c>
    </row>
    <row r="689" spans="36:37" x14ac:dyDescent="0.2">
      <c r="AJ689" s="6" t="s">
        <v>515</v>
      </c>
      <c r="AK689" s="25">
        <v>405</v>
      </c>
    </row>
    <row r="690" spans="36:37" x14ac:dyDescent="0.2">
      <c r="AJ690" s="7">
        <v>455</v>
      </c>
      <c r="AK690" s="25">
        <v>405</v>
      </c>
    </row>
    <row r="691" spans="36:37" x14ac:dyDescent="0.2">
      <c r="AJ691" s="6" t="s">
        <v>576</v>
      </c>
      <c r="AK691" s="25">
        <v>460</v>
      </c>
    </row>
    <row r="692" spans="36:37" x14ac:dyDescent="0.2">
      <c r="AJ692" s="7">
        <v>511</v>
      </c>
      <c r="AK692" s="25">
        <v>460</v>
      </c>
    </row>
    <row r="693" spans="36:37" x14ac:dyDescent="0.2">
      <c r="AJ693" s="6" t="s">
        <v>771</v>
      </c>
      <c r="AK693" s="25">
        <v>898</v>
      </c>
    </row>
    <row r="694" spans="36:37" x14ac:dyDescent="0.2">
      <c r="AJ694" s="7">
        <v>704</v>
      </c>
      <c r="AK694" s="25">
        <v>898</v>
      </c>
    </row>
    <row r="695" spans="36:37" x14ac:dyDescent="0.2">
      <c r="AJ695" s="6" t="s">
        <v>265</v>
      </c>
      <c r="AK695" s="25">
        <v>254</v>
      </c>
    </row>
    <row r="696" spans="36:37" x14ac:dyDescent="0.2">
      <c r="AJ696" s="7">
        <v>223</v>
      </c>
      <c r="AK696" s="25">
        <v>254</v>
      </c>
    </row>
    <row r="697" spans="36:37" x14ac:dyDescent="0.2">
      <c r="AJ697" s="6" t="s">
        <v>508</v>
      </c>
      <c r="AK697" s="25">
        <v>673</v>
      </c>
    </row>
    <row r="698" spans="36:37" x14ac:dyDescent="0.2">
      <c r="AJ698" s="7">
        <v>450</v>
      </c>
      <c r="AK698" s="25">
        <v>673</v>
      </c>
    </row>
    <row r="699" spans="36:37" x14ac:dyDescent="0.2">
      <c r="AJ699" s="6" t="s">
        <v>687</v>
      </c>
      <c r="AK699" s="25">
        <v>363</v>
      </c>
    </row>
    <row r="700" spans="36:37" x14ac:dyDescent="0.2">
      <c r="AJ700" s="7">
        <v>621</v>
      </c>
      <c r="AK700" s="25">
        <v>363</v>
      </c>
    </row>
    <row r="701" spans="36:37" x14ac:dyDescent="0.2">
      <c r="AJ701" s="6" t="s">
        <v>414</v>
      </c>
      <c r="AK701" s="25">
        <v>541</v>
      </c>
    </row>
    <row r="702" spans="36:37" x14ac:dyDescent="0.2">
      <c r="AJ702" s="7">
        <v>360</v>
      </c>
      <c r="AK702" s="25">
        <v>541</v>
      </c>
    </row>
    <row r="703" spans="36:37" x14ac:dyDescent="0.2">
      <c r="AJ703" s="6" t="s">
        <v>729</v>
      </c>
      <c r="AK703" s="25">
        <v>673</v>
      </c>
    </row>
    <row r="704" spans="36:37" x14ac:dyDescent="0.2">
      <c r="AJ704" s="7">
        <v>663</v>
      </c>
      <c r="AK704" s="25">
        <v>673</v>
      </c>
    </row>
    <row r="705" spans="36:37" x14ac:dyDescent="0.2">
      <c r="AJ705" s="6" t="s">
        <v>18</v>
      </c>
      <c r="AK705" s="25">
        <v>19</v>
      </c>
    </row>
    <row r="706" spans="36:37" x14ac:dyDescent="0.2">
      <c r="AJ706" s="7">
        <v>4</v>
      </c>
      <c r="AK706" s="25">
        <v>19</v>
      </c>
    </row>
    <row r="707" spans="36:37" x14ac:dyDescent="0.2">
      <c r="AJ707" s="6" t="s">
        <v>148</v>
      </c>
      <c r="AK707" s="25">
        <v>93</v>
      </c>
    </row>
    <row r="708" spans="36:37" x14ac:dyDescent="0.2">
      <c r="AJ708" s="7">
        <v>111</v>
      </c>
      <c r="AK708" s="25">
        <v>93</v>
      </c>
    </row>
    <row r="709" spans="36:37" x14ac:dyDescent="0.2">
      <c r="AJ709" s="6" t="s">
        <v>96</v>
      </c>
      <c r="AK709" s="25">
        <v>63</v>
      </c>
    </row>
    <row r="710" spans="36:37" x14ac:dyDescent="0.2">
      <c r="AJ710" s="7">
        <v>70</v>
      </c>
      <c r="AK710" s="25">
        <v>63</v>
      </c>
    </row>
    <row r="711" spans="36:37" x14ac:dyDescent="0.2">
      <c r="AJ711" s="6" t="s">
        <v>39</v>
      </c>
      <c r="AK711" s="25">
        <v>17</v>
      </c>
    </row>
    <row r="712" spans="36:37" x14ac:dyDescent="0.2">
      <c r="AJ712" s="7">
        <v>22</v>
      </c>
      <c r="AK712" s="25">
        <v>17</v>
      </c>
    </row>
    <row r="713" spans="36:37" x14ac:dyDescent="0.2">
      <c r="AJ713" s="6" t="s">
        <v>37</v>
      </c>
      <c r="AK713" s="25">
        <v>16</v>
      </c>
    </row>
    <row r="714" spans="36:37" x14ac:dyDescent="0.2">
      <c r="AJ714" s="7">
        <v>20</v>
      </c>
      <c r="AK714" s="25">
        <v>16</v>
      </c>
    </row>
    <row r="715" spans="36:37" x14ac:dyDescent="0.2">
      <c r="AJ715" s="6" t="s">
        <v>290</v>
      </c>
      <c r="AK715" s="25">
        <v>200</v>
      </c>
    </row>
    <row r="716" spans="36:37" x14ac:dyDescent="0.2">
      <c r="AJ716" s="7">
        <v>245</v>
      </c>
      <c r="AK716" s="25">
        <v>200</v>
      </c>
    </row>
    <row r="717" spans="36:37" x14ac:dyDescent="0.2">
      <c r="AJ717" s="6" t="s">
        <v>953</v>
      </c>
      <c r="AK717" s="25">
        <v>673</v>
      </c>
    </row>
    <row r="718" spans="36:37" x14ac:dyDescent="0.2">
      <c r="AJ718" s="7">
        <v>879</v>
      </c>
      <c r="AK718" s="25">
        <v>673</v>
      </c>
    </row>
    <row r="719" spans="36:37" x14ac:dyDescent="0.2">
      <c r="AJ719" s="6" t="s">
        <v>31</v>
      </c>
      <c r="AK719" s="25">
        <v>5</v>
      </c>
    </row>
    <row r="720" spans="36:37" x14ac:dyDescent="0.2">
      <c r="AJ720" s="7">
        <v>15</v>
      </c>
      <c r="AK720" s="25">
        <v>5</v>
      </c>
    </row>
    <row r="721" spans="36:37" x14ac:dyDescent="0.2">
      <c r="AJ721" s="6" t="s">
        <v>83</v>
      </c>
      <c r="AK721" s="25">
        <v>57</v>
      </c>
    </row>
    <row r="722" spans="36:37" x14ac:dyDescent="0.2">
      <c r="AJ722" s="7">
        <v>59</v>
      </c>
      <c r="AK722" s="25">
        <v>57</v>
      </c>
    </row>
    <row r="723" spans="36:37" x14ac:dyDescent="0.2">
      <c r="AJ723" s="6" t="s">
        <v>62</v>
      </c>
      <c r="AK723" s="25">
        <v>31</v>
      </c>
    </row>
    <row r="724" spans="36:37" x14ac:dyDescent="0.2">
      <c r="AJ724" s="7">
        <v>42</v>
      </c>
      <c r="AK724" s="25">
        <v>31</v>
      </c>
    </row>
    <row r="725" spans="36:37" x14ac:dyDescent="0.2">
      <c r="AJ725" s="6" t="s">
        <v>21</v>
      </c>
      <c r="AK725" s="25">
        <v>8</v>
      </c>
    </row>
    <row r="726" spans="36:37" x14ac:dyDescent="0.2">
      <c r="AJ726" s="7">
        <v>6</v>
      </c>
      <c r="AK726" s="25">
        <v>8</v>
      </c>
    </row>
    <row r="727" spans="36:37" x14ac:dyDescent="0.2">
      <c r="AJ727" s="6" t="s">
        <v>236</v>
      </c>
      <c r="AK727" s="25">
        <v>240</v>
      </c>
    </row>
    <row r="728" spans="36:37" x14ac:dyDescent="0.2">
      <c r="AJ728" s="7">
        <v>196</v>
      </c>
      <c r="AK728" s="25">
        <v>240</v>
      </c>
    </row>
    <row r="729" spans="36:37" x14ac:dyDescent="0.2">
      <c r="AJ729" s="6" t="s">
        <v>1077</v>
      </c>
      <c r="AK729" s="25">
        <v>1001</v>
      </c>
    </row>
    <row r="730" spans="36:37" x14ac:dyDescent="0.2">
      <c r="AJ730" s="7">
        <v>997</v>
      </c>
      <c r="AK730" s="25">
        <v>1001</v>
      </c>
    </row>
    <row r="731" spans="36:37" x14ac:dyDescent="0.2">
      <c r="AJ731" s="6" t="s">
        <v>727</v>
      </c>
      <c r="AK731" s="25">
        <v>460</v>
      </c>
    </row>
    <row r="732" spans="36:37" x14ac:dyDescent="0.2">
      <c r="AJ732" s="7">
        <v>661</v>
      </c>
      <c r="AK732" s="25">
        <v>460</v>
      </c>
    </row>
    <row r="733" spans="36:37" x14ac:dyDescent="0.2">
      <c r="AJ733" s="6" t="s">
        <v>688</v>
      </c>
      <c r="AK733" s="25">
        <v>673</v>
      </c>
    </row>
    <row r="734" spans="36:37" x14ac:dyDescent="0.2">
      <c r="AJ734" s="7">
        <v>622</v>
      </c>
      <c r="AK734" s="25">
        <v>673</v>
      </c>
    </row>
    <row r="735" spans="36:37" x14ac:dyDescent="0.2">
      <c r="AJ735" s="6" t="s">
        <v>1007</v>
      </c>
      <c r="AK735" s="25">
        <v>1001</v>
      </c>
    </row>
    <row r="736" spans="36:37" x14ac:dyDescent="0.2">
      <c r="AJ736" s="7">
        <v>929</v>
      </c>
      <c r="AK736" s="25">
        <v>1001</v>
      </c>
    </row>
    <row r="737" spans="36:37" x14ac:dyDescent="0.2">
      <c r="AJ737" s="6" t="s">
        <v>728</v>
      </c>
      <c r="AK737" s="25">
        <v>460</v>
      </c>
    </row>
    <row r="738" spans="36:37" x14ac:dyDescent="0.2">
      <c r="AJ738" s="7">
        <v>662</v>
      </c>
      <c r="AK738" s="25">
        <v>460</v>
      </c>
    </row>
    <row r="739" spans="36:37" x14ac:dyDescent="0.2">
      <c r="AJ739" s="6" t="s">
        <v>1003</v>
      </c>
      <c r="AK739" s="25">
        <v>673</v>
      </c>
    </row>
    <row r="740" spans="36:37" x14ac:dyDescent="0.2">
      <c r="AJ740" s="7">
        <v>925</v>
      </c>
      <c r="AK740" s="25">
        <v>673</v>
      </c>
    </row>
    <row r="741" spans="36:37" x14ac:dyDescent="0.2">
      <c r="AJ741" s="6" t="s">
        <v>585</v>
      </c>
      <c r="AK741" s="25">
        <v>460</v>
      </c>
    </row>
    <row r="742" spans="36:37" x14ac:dyDescent="0.2">
      <c r="AJ742" s="7">
        <v>520</v>
      </c>
      <c r="AK742" s="25">
        <v>460</v>
      </c>
    </row>
    <row r="743" spans="36:37" x14ac:dyDescent="0.2">
      <c r="AJ743" s="6" t="s">
        <v>340</v>
      </c>
      <c r="AK743" s="25">
        <v>460</v>
      </c>
    </row>
    <row r="744" spans="36:37" x14ac:dyDescent="0.2">
      <c r="AJ744" s="7">
        <v>293</v>
      </c>
      <c r="AK744" s="25">
        <v>460</v>
      </c>
    </row>
    <row r="745" spans="36:37" x14ac:dyDescent="0.2">
      <c r="AJ745" s="6" t="s">
        <v>901</v>
      </c>
      <c r="AK745" s="25">
        <v>673</v>
      </c>
    </row>
    <row r="746" spans="36:37" x14ac:dyDescent="0.2">
      <c r="AJ746" s="7">
        <v>827</v>
      </c>
      <c r="AK746" s="25">
        <v>673</v>
      </c>
    </row>
    <row r="747" spans="36:37" x14ac:dyDescent="0.2">
      <c r="AJ747" s="6" t="s">
        <v>57</v>
      </c>
      <c r="AK747" s="25">
        <v>24</v>
      </c>
    </row>
    <row r="748" spans="36:37" x14ac:dyDescent="0.2">
      <c r="AJ748" s="7">
        <v>38</v>
      </c>
      <c r="AK748" s="25">
        <v>24</v>
      </c>
    </row>
    <row r="749" spans="36:37" x14ac:dyDescent="0.2">
      <c r="AJ749" s="6" t="s">
        <v>90</v>
      </c>
      <c r="AK749" s="25">
        <v>85</v>
      </c>
    </row>
    <row r="750" spans="36:37" x14ac:dyDescent="0.2">
      <c r="AJ750" s="7">
        <v>65</v>
      </c>
      <c r="AK750" s="25">
        <v>85</v>
      </c>
    </row>
    <row r="751" spans="36:37" x14ac:dyDescent="0.2">
      <c r="AJ751" s="6" t="s">
        <v>1062</v>
      </c>
      <c r="AK751" s="25">
        <v>1001</v>
      </c>
    </row>
    <row r="752" spans="36:37" x14ac:dyDescent="0.2">
      <c r="AJ752" s="7">
        <v>984</v>
      </c>
      <c r="AK752" s="25">
        <v>1001</v>
      </c>
    </row>
    <row r="753" spans="36:37" x14ac:dyDescent="0.2">
      <c r="AJ753" s="6" t="s">
        <v>770</v>
      </c>
      <c r="AK753" s="25">
        <v>898</v>
      </c>
    </row>
    <row r="754" spans="36:37" x14ac:dyDescent="0.2">
      <c r="AJ754" s="7">
        <v>703</v>
      </c>
      <c r="AK754" s="25">
        <v>898</v>
      </c>
    </row>
    <row r="755" spans="36:37" x14ac:dyDescent="0.2">
      <c r="AJ755" s="6" t="s">
        <v>481</v>
      </c>
      <c r="AK755" s="25">
        <v>405</v>
      </c>
    </row>
    <row r="756" spans="36:37" x14ac:dyDescent="0.2">
      <c r="AJ756" s="7">
        <v>423</v>
      </c>
      <c r="AK756" s="25">
        <v>405</v>
      </c>
    </row>
    <row r="757" spans="36:37" x14ac:dyDescent="0.2">
      <c r="AJ757" s="6" t="s">
        <v>805</v>
      </c>
      <c r="AK757" s="25">
        <v>898</v>
      </c>
    </row>
    <row r="758" spans="36:37" x14ac:dyDescent="0.2">
      <c r="AJ758" s="7">
        <v>737</v>
      </c>
      <c r="AK758" s="25">
        <v>898</v>
      </c>
    </row>
    <row r="759" spans="36:37" x14ac:dyDescent="0.2">
      <c r="AJ759" s="6" t="s">
        <v>514</v>
      </c>
      <c r="AK759" s="25">
        <v>460</v>
      </c>
    </row>
    <row r="760" spans="36:37" x14ac:dyDescent="0.2">
      <c r="AJ760" s="7">
        <v>454</v>
      </c>
      <c r="AK760" s="25">
        <v>460</v>
      </c>
    </row>
    <row r="761" spans="36:37" x14ac:dyDescent="0.2">
      <c r="AJ761" s="6" t="s">
        <v>152</v>
      </c>
      <c r="AK761" s="25">
        <v>101</v>
      </c>
    </row>
    <row r="762" spans="36:37" x14ac:dyDescent="0.2">
      <c r="AJ762" s="7">
        <v>115</v>
      </c>
      <c r="AK762" s="25">
        <v>101</v>
      </c>
    </row>
    <row r="763" spans="36:37" x14ac:dyDescent="0.2">
      <c r="AJ763" s="6" t="s">
        <v>241</v>
      </c>
      <c r="AK763" s="25">
        <v>129</v>
      </c>
    </row>
    <row r="764" spans="36:37" x14ac:dyDescent="0.2">
      <c r="AJ764" s="7">
        <v>201</v>
      </c>
      <c r="AK764" s="25">
        <v>129</v>
      </c>
    </row>
    <row r="765" spans="36:37" x14ac:dyDescent="0.2">
      <c r="AJ765" s="6" t="s">
        <v>207</v>
      </c>
      <c r="AK765" s="25">
        <v>187</v>
      </c>
    </row>
    <row r="766" spans="36:37" x14ac:dyDescent="0.2">
      <c r="AJ766" s="7">
        <v>169</v>
      </c>
      <c r="AK766" s="25">
        <v>187</v>
      </c>
    </row>
    <row r="767" spans="36:37" x14ac:dyDescent="0.2">
      <c r="AJ767" s="6" t="s">
        <v>143</v>
      </c>
      <c r="AK767" s="25">
        <v>85</v>
      </c>
    </row>
    <row r="768" spans="36:37" x14ac:dyDescent="0.2">
      <c r="AJ768" s="7">
        <v>108</v>
      </c>
      <c r="AK768" s="25">
        <v>85</v>
      </c>
    </row>
    <row r="769" spans="36:37" x14ac:dyDescent="0.2">
      <c r="AJ769" s="6" t="s">
        <v>297</v>
      </c>
      <c r="AK769" s="25">
        <v>222</v>
      </c>
    </row>
    <row r="770" spans="36:37" x14ac:dyDescent="0.2">
      <c r="AJ770" s="7">
        <v>252</v>
      </c>
      <c r="AK770" s="25">
        <v>222</v>
      </c>
    </row>
    <row r="771" spans="36:37" x14ac:dyDescent="0.2">
      <c r="AJ771" s="6" t="s">
        <v>394</v>
      </c>
      <c r="AK771" s="25">
        <v>327</v>
      </c>
    </row>
    <row r="772" spans="36:37" x14ac:dyDescent="0.2">
      <c r="AJ772" s="7">
        <v>343</v>
      </c>
      <c r="AK772" s="25">
        <v>327</v>
      </c>
    </row>
    <row r="773" spans="36:37" x14ac:dyDescent="0.2">
      <c r="AJ773" s="6" t="s">
        <v>541</v>
      </c>
      <c r="AK773" s="25">
        <v>327</v>
      </c>
    </row>
    <row r="774" spans="36:37" x14ac:dyDescent="0.2">
      <c r="AJ774" s="7">
        <v>477</v>
      </c>
      <c r="AK774" s="25">
        <v>327</v>
      </c>
    </row>
    <row r="775" spans="36:37" x14ac:dyDescent="0.2">
      <c r="AJ775" s="6" t="s">
        <v>447</v>
      </c>
      <c r="AK775" s="25">
        <v>327</v>
      </c>
    </row>
    <row r="776" spans="36:37" x14ac:dyDescent="0.2">
      <c r="AJ776" s="7">
        <v>391</v>
      </c>
      <c r="AK776" s="25">
        <v>327</v>
      </c>
    </row>
    <row r="777" spans="36:37" x14ac:dyDescent="0.2">
      <c r="AJ777" s="6" t="s">
        <v>132</v>
      </c>
      <c r="AK777" s="25">
        <v>139</v>
      </c>
    </row>
    <row r="778" spans="36:37" x14ac:dyDescent="0.2">
      <c r="AJ778" s="7">
        <v>99</v>
      </c>
      <c r="AK778" s="25">
        <v>139</v>
      </c>
    </row>
    <row r="779" spans="36:37" x14ac:dyDescent="0.2">
      <c r="AJ779" s="6" t="s">
        <v>489</v>
      </c>
      <c r="AK779" s="25">
        <v>541</v>
      </c>
    </row>
    <row r="780" spans="36:37" x14ac:dyDescent="0.2">
      <c r="AJ780" s="7">
        <v>431</v>
      </c>
      <c r="AK780" s="25">
        <v>541</v>
      </c>
    </row>
    <row r="781" spans="36:37" x14ac:dyDescent="0.2">
      <c r="AJ781" s="6" t="s">
        <v>117</v>
      </c>
      <c r="AK781" s="25">
        <v>72</v>
      </c>
    </row>
    <row r="782" spans="36:37" x14ac:dyDescent="0.2">
      <c r="AJ782" s="7">
        <v>87</v>
      </c>
      <c r="AK782" s="25">
        <v>72</v>
      </c>
    </row>
    <row r="783" spans="36:37" x14ac:dyDescent="0.2">
      <c r="AJ783" s="6" t="s">
        <v>617</v>
      </c>
      <c r="AK783" s="25">
        <v>898</v>
      </c>
    </row>
    <row r="784" spans="36:37" x14ac:dyDescent="0.2">
      <c r="AJ784" s="7">
        <v>551</v>
      </c>
      <c r="AK784" s="25">
        <v>898</v>
      </c>
    </row>
    <row r="785" spans="36:37" x14ac:dyDescent="0.2">
      <c r="AJ785" s="6" t="s">
        <v>280</v>
      </c>
      <c r="AK785" s="25">
        <v>121</v>
      </c>
    </row>
    <row r="786" spans="36:37" x14ac:dyDescent="0.2">
      <c r="AJ786" s="7">
        <v>236</v>
      </c>
      <c r="AK786" s="25">
        <v>121</v>
      </c>
    </row>
    <row r="787" spans="36:37" x14ac:dyDescent="0.2">
      <c r="AJ787" s="6" t="s">
        <v>670</v>
      </c>
      <c r="AK787" s="25">
        <v>460</v>
      </c>
    </row>
    <row r="788" spans="36:37" x14ac:dyDescent="0.2">
      <c r="AJ788" s="7">
        <v>604</v>
      </c>
      <c r="AK788" s="25">
        <v>460</v>
      </c>
    </row>
    <row r="789" spans="36:37" x14ac:dyDescent="0.2">
      <c r="AJ789" s="6" t="s">
        <v>633</v>
      </c>
      <c r="AK789" s="25">
        <v>363</v>
      </c>
    </row>
    <row r="790" spans="36:37" x14ac:dyDescent="0.2">
      <c r="AJ790" s="7">
        <v>567</v>
      </c>
      <c r="AK790" s="25">
        <v>363</v>
      </c>
    </row>
    <row r="791" spans="36:37" x14ac:dyDescent="0.2">
      <c r="AJ791" s="6" t="s">
        <v>75</v>
      </c>
      <c r="AK791" s="25">
        <v>48</v>
      </c>
    </row>
    <row r="792" spans="36:37" x14ac:dyDescent="0.2">
      <c r="AJ792" s="7">
        <v>52</v>
      </c>
      <c r="AK792" s="25">
        <v>48</v>
      </c>
    </row>
    <row r="793" spans="36:37" x14ac:dyDescent="0.2">
      <c r="AJ793" s="6" t="s">
        <v>339</v>
      </c>
      <c r="AK793" s="25">
        <v>200</v>
      </c>
    </row>
    <row r="794" spans="36:37" x14ac:dyDescent="0.2">
      <c r="AJ794" s="7">
        <v>292</v>
      </c>
      <c r="AK794" s="25">
        <v>200</v>
      </c>
    </row>
    <row r="795" spans="36:37" x14ac:dyDescent="0.2">
      <c r="AJ795" s="6" t="s">
        <v>1047</v>
      </c>
      <c r="AK795" s="25">
        <v>898</v>
      </c>
    </row>
    <row r="796" spans="36:37" x14ac:dyDescent="0.2">
      <c r="AJ796" s="7">
        <v>969</v>
      </c>
      <c r="AK796" s="25">
        <v>898</v>
      </c>
    </row>
    <row r="797" spans="36:37" x14ac:dyDescent="0.2">
      <c r="AJ797" s="6" t="s">
        <v>796</v>
      </c>
      <c r="AK797" s="25">
        <v>673</v>
      </c>
    </row>
    <row r="798" spans="36:37" x14ac:dyDescent="0.2">
      <c r="AJ798" s="7">
        <v>728</v>
      </c>
      <c r="AK798" s="25">
        <v>673</v>
      </c>
    </row>
    <row r="799" spans="36:37" x14ac:dyDescent="0.2">
      <c r="AJ799" s="6" t="s">
        <v>160</v>
      </c>
      <c r="AK799" s="25">
        <v>85</v>
      </c>
    </row>
    <row r="800" spans="36:37" x14ac:dyDescent="0.2">
      <c r="AJ800" s="7">
        <v>123</v>
      </c>
      <c r="AK800" s="25">
        <v>85</v>
      </c>
    </row>
    <row r="801" spans="36:37" x14ac:dyDescent="0.2">
      <c r="AJ801" s="6" t="s">
        <v>837</v>
      </c>
      <c r="AK801" s="25">
        <v>673</v>
      </c>
    </row>
    <row r="802" spans="36:37" x14ac:dyDescent="0.2">
      <c r="AJ802" s="7">
        <v>767</v>
      </c>
      <c r="AK802" s="25">
        <v>673</v>
      </c>
    </row>
    <row r="803" spans="36:37" x14ac:dyDescent="0.2">
      <c r="AJ803" s="6" t="s">
        <v>882</v>
      </c>
      <c r="AK803" s="25">
        <v>898</v>
      </c>
    </row>
    <row r="804" spans="36:37" x14ac:dyDescent="0.2">
      <c r="AJ804" s="7">
        <v>808</v>
      </c>
      <c r="AK804" s="25">
        <v>898</v>
      </c>
    </row>
    <row r="805" spans="36:37" x14ac:dyDescent="0.2">
      <c r="AJ805" s="6" t="s">
        <v>129</v>
      </c>
      <c r="AK805" s="25">
        <v>80</v>
      </c>
    </row>
    <row r="806" spans="36:37" x14ac:dyDescent="0.2">
      <c r="AJ806" s="7">
        <v>96</v>
      </c>
      <c r="AK806" s="25">
        <v>80</v>
      </c>
    </row>
    <row r="807" spans="36:37" x14ac:dyDescent="0.2">
      <c r="AJ807" s="6" t="s">
        <v>629</v>
      </c>
      <c r="AK807" s="25">
        <v>363</v>
      </c>
    </row>
    <row r="808" spans="36:37" x14ac:dyDescent="0.2">
      <c r="AJ808" s="7">
        <v>563</v>
      </c>
      <c r="AK808" s="25">
        <v>363</v>
      </c>
    </row>
    <row r="809" spans="36:37" x14ac:dyDescent="0.2">
      <c r="AJ809" s="6" t="s">
        <v>1012</v>
      </c>
      <c r="AK809" s="25">
        <v>673</v>
      </c>
    </row>
    <row r="810" spans="36:37" x14ac:dyDescent="0.2">
      <c r="AJ810" s="7">
        <v>934</v>
      </c>
      <c r="AK810" s="25">
        <v>673</v>
      </c>
    </row>
    <row r="811" spans="36:37" x14ac:dyDescent="0.2">
      <c r="AJ811" s="6" t="s">
        <v>231</v>
      </c>
      <c r="AK811" s="25">
        <v>139</v>
      </c>
    </row>
    <row r="812" spans="36:37" x14ac:dyDescent="0.2">
      <c r="AJ812" s="7">
        <v>191</v>
      </c>
      <c r="AK812" s="25">
        <v>139</v>
      </c>
    </row>
    <row r="813" spans="36:37" x14ac:dyDescent="0.2">
      <c r="AJ813" s="6" t="s">
        <v>556</v>
      </c>
      <c r="AK813" s="25">
        <v>327</v>
      </c>
    </row>
    <row r="814" spans="36:37" x14ac:dyDescent="0.2">
      <c r="AJ814" s="7">
        <v>491</v>
      </c>
      <c r="AK814" s="25">
        <v>327</v>
      </c>
    </row>
    <row r="815" spans="36:37" x14ac:dyDescent="0.2">
      <c r="AJ815" s="6" t="s">
        <v>744</v>
      </c>
      <c r="AK815" s="25">
        <v>363</v>
      </c>
    </row>
    <row r="816" spans="36:37" x14ac:dyDescent="0.2">
      <c r="AJ816" s="7">
        <v>677</v>
      </c>
      <c r="AK816" s="25">
        <v>363</v>
      </c>
    </row>
    <row r="817" spans="36:37" x14ac:dyDescent="0.2">
      <c r="AJ817" s="6" t="s">
        <v>273</v>
      </c>
      <c r="AK817" s="25">
        <v>187</v>
      </c>
    </row>
    <row r="818" spans="36:37" x14ac:dyDescent="0.2">
      <c r="AJ818" s="7">
        <v>229</v>
      </c>
      <c r="AK818" s="25">
        <v>187</v>
      </c>
    </row>
    <row r="819" spans="36:37" x14ac:dyDescent="0.2">
      <c r="AJ819" s="6" t="s">
        <v>288</v>
      </c>
      <c r="AK819" s="25">
        <v>254</v>
      </c>
    </row>
    <row r="820" spans="36:37" x14ac:dyDescent="0.2">
      <c r="AJ820" s="7">
        <v>243</v>
      </c>
      <c r="AK820" s="25">
        <v>254</v>
      </c>
    </row>
    <row r="821" spans="36:37" x14ac:dyDescent="0.2">
      <c r="AJ821" s="6" t="s">
        <v>1067</v>
      </c>
      <c r="AK821" s="25">
        <v>1001</v>
      </c>
    </row>
    <row r="822" spans="36:37" x14ac:dyDescent="0.2">
      <c r="AJ822" s="7">
        <v>989</v>
      </c>
      <c r="AK822" s="25">
        <v>1001</v>
      </c>
    </row>
    <row r="823" spans="36:37" x14ac:dyDescent="0.2">
      <c r="AJ823" s="6" t="s">
        <v>38</v>
      </c>
      <c r="AK823" s="25">
        <v>19</v>
      </c>
    </row>
    <row r="824" spans="36:37" x14ac:dyDescent="0.2">
      <c r="AJ824" s="7">
        <v>21</v>
      </c>
      <c r="AK824" s="25">
        <v>19</v>
      </c>
    </row>
    <row r="825" spans="36:37" x14ac:dyDescent="0.2">
      <c r="AJ825" s="6" t="s">
        <v>268</v>
      </c>
      <c r="AK825" s="25">
        <v>200</v>
      </c>
    </row>
    <row r="826" spans="36:37" x14ac:dyDescent="0.2">
      <c r="AJ826" s="7">
        <v>225</v>
      </c>
      <c r="AK826" s="25">
        <v>200</v>
      </c>
    </row>
    <row r="827" spans="36:37" x14ac:dyDescent="0.2">
      <c r="AJ827" s="6" t="s">
        <v>536</v>
      </c>
      <c r="AK827" s="25">
        <v>405</v>
      </c>
    </row>
    <row r="828" spans="36:37" x14ac:dyDescent="0.2">
      <c r="AJ828" s="7">
        <v>473</v>
      </c>
      <c r="AK828" s="25">
        <v>405</v>
      </c>
    </row>
    <row r="829" spans="36:37" x14ac:dyDescent="0.2">
      <c r="AJ829" s="6" t="s">
        <v>320</v>
      </c>
      <c r="AK829" s="25">
        <v>222</v>
      </c>
    </row>
    <row r="830" spans="36:37" x14ac:dyDescent="0.2">
      <c r="AJ830" s="7">
        <v>273</v>
      </c>
      <c r="AK830" s="25">
        <v>222</v>
      </c>
    </row>
    <row r="831" spans="36:37" x14ac:dyDescent="0.2">
      <c r="AJ831" s="6" t="s">
        <v>406</v>
      </c>
      <c r="AK831" s="25">
        <v>254</v>
      </c>
    </row>
    <row r="832" spans="36:37" x14ac:dyDescent="0.2">
      <c r="AJ832" s="7">
        <v>352</v>
      </c>
      <c r="AK832" s="25">
        <v>254</v>
      </c>
    </row>
    <row r="833" spans="36:37" x14ac:dyDescent="0.2">
      <c r="AJ833" s="6" t="s">
        <v>216</v>
      </c>
      <c r="AK833" s="25">
        <v>200</v>
      </c>
    </row>
    <row r="834" spans="36:37" x14ac:dyDescent="0.2">
      <c r="AJ834" s="7">
        <v>176</v>
      </c>
      <c r="AK834" s="25">
        <v>200</v>
      </c>
    </row>
    <row r="835" spans="36:37" x14ac:dyDescent="0.2">
      <c r="AJ835" s="6" t="s">
        <v>199</v>
      </c>
      <c r="AK835" s="25">
        <v>85</v>
      </c>
    </row>
    <row r="836" spans="36:37" x14ac:dyDescent="0.2">
      <c r="AJ836" s="7">
        <v>161</v>
      </c>
      <c r="AK836" s="25">
        <v>85</v>
      </c>
    </row>
    <row r="837" spans="36:37" x14ac:dyDescent="0.2">
      <c r="AJ837" s="6" t="s">
        <v>903</v>
      </c>
      <c r="AK837" s="25">
        <v>1001</v>
      </c>
    </row>
    <row r="838" spans="36:37" x14ac:dyDescent="0.2">
      <c r="AJ838" s="7">
        <v>829</v>
      </c>
      <c r="AK838" s="25">
        <v>1001</v>
      </c>
    </row>
    <row r="839" spans="36:37" x14ac:dyDescent="0.2">
      <c r="AJ839" s="6" t="s">
        <v>428</v>
      </c>
      <c r="AK839" s="25">
        <v>541</v>
      </c>
    </row>
    <row r="840" spans="36:37" x14ac:dyDescent="0.2">
      <c r="AJ840" s="7">
        <v>372</v>
      </c>
      <c r="AK840" s="25">
        <v>541</v>
      </c>
    </row>
    <row r="841" spans="36:37" x14ac:dyDescent="0.2">
      <c r="AJ841" s="6" t="s">
        <v>300</v>
      </c>
      <c r="AK841" s="25">
        <v>275</v>
      </c>
    </row>
    <row r="842" spans="36:37" x14ac:dyDescent="0.2">
      <c r="AJ842" s="7">
        <v>255</v>
      </c>
      <c r="AK842" s="25">
        <v>275</v>
      </c>
    </row>
    <row r="843" spans="36:37" x14ac:dyDescent="0.2">
      <c r="AJ843" s="6" t="s">
        <v>988</v>
      </c>
      <c r="AK843" s="25">
        <v>898</v>
      </c>
    </row>
    <row r="844" spans="36:37" x14ac:dyDescent="0.2">
      <c r="AJ844" s="7">
        <v>910</v>
      </c>
      <c r="AK844" s="25">
        <v>898</v>
      </c>
    </row>
    <row r="845" spans="36:37" x14ac:dyDescent="0.2">
      <c r="AJ845" s="6" t="s">
        <v>846</v>
      </c>
      <c r="AK845" s="25">
        <v>673</v>
      </c>
    </row>
    <row r="846" spans="36:37" x14ac:dyDescent="0.2">
      <c r="AJ846" s="7">
        <v>775</v>
      </c>
      <c r="AK846" s="25">
        <v>673</v>
      </c>
    </row>
    <row r="847" spans="36:37" x14ac:dyDescent="0.2">
      <c r="AJ847" s="6" t="s">
        <v>285</v>
      </c>
      <c r="AK847" s="25">
        <v>363</v>
      </c>
    </row>
    <row r="848" spans="36:37" x14ac:dyDescent="0.2">
      <c r="AJ848" s="7">
        <v>240</v>
      </c>
      <c r="AK848" s="25">
        <v>363</v>
      </c>
    </row>
    <row r="849" spans="36:37" x14ac:dyDescent="0.2">
      <c r="AJ849" s="6" t="s">
        <v>985</v>
      </c>
      <c r="AK849" s="25">
        <v>1001</v>
      </c>
    </row>
    <row r="850" spans="36:37" x14ac:dyDescent="0.2">
      <c r="AJ850" s="7">
        <v>908</v>
      </c>
      <c r="AK850" s="25">
        <v>1001</v>
      </c>
    </row>
    <row r="851" spans="36:37" x14ac:dyDescent="0.2">
      <c r="AJ851" s="6" t="s">
        <v>487</v>
      </c>
      <c r="AK851" s="25">
        <v>541</v>
      </c>
    </row>
    <row r="852" spans="36:37" x14ac:dyDescent="0.2">
      <c r="AJ852" s="7">
        <v>429</v>
      </c>
      <c r="AK852" s="25">
        <v>541</v>
      </c>
    </row>
    <row r="853" spans="36:37" x14ac:dyDescent="0.2">
      <c r="AJ853" s="6" t="s">
        <v>192</v>
      </c>
      <c r="AK853" s="25">
        <v>151</v>
      </c>
    </row>
    <row r="854" spans="36:37" x14ac:dyDescent="0.2">
      <c r="AJ854" s="7">
        <v>154</v>
      </c>
      <c r="AK854" s="25">
        <v>151</v>
      </c>
    </row>
    <row r="855" spans="36:37" x14ac:dyDescent="0.2">
      <c r="AJ855" s="6" t="s">
        <v>457</v>
      </c>
      <c r="AK855" s="25">
        <v>327</v>
      </c>
    </row>
    <row r="856" spans="36:37" x14ac:dyDescent="0.2">
      <c r="AJ856" s="7">
        <v>401</v>
      </c>
      <c r="AK856" s="25">
        <v>327</v>
      </c>
    </row>
    <row r="857" spans="36:37" x14ac:dyDescent="0.2">
      <c r="AJ857" s="6" t="s">
        <v>248</v>
      </c>
      <c r="AK857" s="25">
        <v>129</v>
      </c>
    </row>
    <row r="858" spans="36:37" x14ac:dyDescent="0.2">
      <c r="AJ858" s="7">
        <v>207</v>
      </c>
      <c r="AK858" s="25">
        <v>129</v>
      </c>
    </row>
    <row r="859" spans="36:37" x14ac:dyDescent="0.2">
      <c r="AJ859" s="6" t="s">
        <v>517</v>
      </c>
      <c r="AK859" s="25">
        <v>405</v>
      </c>
    </row>
    <row r="860" spans="36:37" x14ac:dyDescent="0.2">
      <c r="AJ860" s="7">
        <v>457</v>
      </c>
      <c r="AK860" s="25">
        <v>405</v>
      </c>
    </row>
    <row r="861" spans="36:37" x14ac:dyDescent="0.2">
      <c r="AJ861" s="6" t="s">
        <v>131</v>
      </c>
      <c r="AK861" s="25">
        <v>108</v>
      </c>
    </row>
    <row r="862" spans="36:37" x14ac:dyDescent="0.2">
      <c r="AJ862" s="7">
        <v>98</v>
      </c>
      <c r="AK862" s="25">
        <v>108</v>
      </c>
    </row>
    <row r="863" spans="36:37" x14ac:dyDescent="0.2">
      <c r="AJ863" s="6" t="s">
        <v>272</v>
      </c>
      <c r="AK863" s="25">
        <v>129</v>
      </c>
    </row>
    <row r="864" spans="36:37" x14ac:dyDescent="0.2">
      <c r="AJ864" s="7">
        <v>228</v>
      </c>
      <c r="AK864" s="25">
        <v>129</v>
      </c>
    </row>
    <row r="865" spans="36:37" x14ac:dyDescent="0.2">
      <c r="AJ865" s="6" t="s">
        <v>996</v>
      </c>
      <c r="AK865" s="25">
        <v>898</v>
      </c>
    </row>
    <row r="866" spans="36:37" x14ac:dyDescent="0.2">
      <c r="AJ866" s="7">
        <v>918</v>
      </c>
      <c r="AK866" s="25">
        <v>898</v>
      </c>
    </row>
    <row r="867" spans="36:37" x14ac:dyDescent="0.2">
      <c r="AJ867" s="6" t="s">
        <v>1028</v>
      </c>
      <c r="AK867" s="25">
        <v>673</v>
      </c>
    </row>
    <row r="868" spans="36:37" x14ac:dyDescent="0.2">
      <c r="AJ868" s="7">
        <v>950</v>
      </c>
      <c r="AK868" s="25">
        <v>673</v>
      </c>
    </row>
    <row r="869" spans="36:37" x14ac:dyDescent="0.2">
      <c r="AJ869" s="6" t="s">
        <v>361</v>
      </c>
      <c r="AK869" s="25">
        <v>541</v>
      </c>
    </row>
    <row r="870" spans="36:37" x14ac:dyDescent="0.2">
      <c r="AJ870" s="7">
        <v>312</v>
      </c>
      <c r="AK870" s="25">
        <v>541</v>
      </c>
    </row>
    <row r="871" spans="36:37" x14ac:dyDescent="0.2">
      <c r="AJ871" s="6" t="s">
        <v>912</v>
      </c>
      <c r="AK871" s="25">
        <v>673</v>
      </c>
    </row>
    <row r="872" spans="36:37" x14ac:dyDescent="0.2">
      <c r="AJ872" s="7">
        <v>838</v>
      </c>
      <c r="AK872" s="25">
        <v>673</v>
      </c>
    </row>
    <row r="873" spans="36:37" x14ac:dyDescent="0.2">
      <c r="AJ873" s="6" t="s">
        <v>790</v>
      </c>
      <c r="AK873" s="25">
        <v>1001</v>
      </c>
    </row>
    <row r="874" spans="36:37" x14ac:dyDescent="0.2">
      <c r="AJ874" s="7">
        <v>723</v>
      </c>
      <c r="AK874" s="25">
        <v>1001</v>
      </c>
    </row>
    <row r="875" spans="36:37" x14ac:dyDescent="0.2">
      <c r="AJ875" s="6" t="s">
        <v>860</v>
      </c>
      <c r="AK875" s="25">
        <v>673</v>
      </c>
    </row>
    <row r="876" spans="36:37" x14ac:dyDescent="0.2">
      <c r="AJ876" s="7">
        <v>788</v>
      </c>
      <c r="AK876" s="25">
        <v>673</v>
      </c>
    </row>
    <row r="877" spans="36:37" x14ac:dyDescent="0.2">
      <c r="AJ877" s="6" t="s">
        <v>647</v>
      </c>
      <c r="AK877" s="25">
        <v>304</v>
      </c>
    </row>
    <row r="878" spans="36:37" x14ac:dyDescent="0.2">
      <c r="AJ878" s="7">
        <v>581</v>
      </c>
      <c r="AK878" s="25">
        <v>304</v>
      </c>
    </row>
    <row r="879" spans="36:37" x14ac:dyDescent="0.2">
      <c r="AJ879" s="6" t="s">
        <v>570</v>
      </c>
      <c r="AK879" s="25">
        <v>541</v>
      </c>
    </row>
    <row r="880" spans="36:37" x14ac:dyDescent="0.2">
      <c r="AJ880" s="7">
        <v>505</v>
      </c>
      <c r="AK880" s="25">
        <v>541</v>
      </c>
    </row>
    <row r="881" spans="36:37" x14ac:dyDescent="0.2">
      <c r="AJ881" s="6" t="s">
        <v>178</v>
      </c>
      <c r="AK881" s="25">
        <v>222</v>
      </c>
    </row>
    <row r="882" spans="36:37" x14ac:dyDescent="0.2">
      <c r="AJ882" s="7">
        <v>140</v>
      </c>
      <c r="AK882" s="25">
        <v>222</v>
      </c>
    </row>
    <row r="883" spans="36:37" x14ac:dyDescent="0.2">
      <c r="AJ883" s="6" t="s">
        <v>869</v>
      </c>
      <c r="AK883" s="25">
        <v>1001</v>
      </c>
    </row>
    <row r="884" spans="36:37" x14ac:dyDescent="0.2">
      <c r="AJ884" s="7">
        <v>797</v>
      </c>
      <c r="AK884" s="25">
        <v>1001</v>
      </c>
    </row>
    <row r="885" spans="36:37" x14ac:dyDescent="0.2">
      <c r="AJ885" s="6" t="s">
        <v>924</v>
      </c>
      <c r="AK885" s="25">
        <v>898</v>
      </c>
    </row>
    <row r="886" spans="36:37" x14ac:dyDescent="0.2">
      <c r="AJ886" s="7">
        <v>850</v>
      </c>
      <c r="AK886" s="25">
        <v>898</v>
      </c>
    </row>
    <row r="887" spans="36:37" x14ac:dyDescent="0.2">
      <c r="AJ887" s="6" t="s">
        <v>157</v>
      </c>
      <c r="AK887" s="25">
        <v>167</v>
      </c>
    </row>
    <row r="888" spans="36:37" x14ac:dyDescent="0.2">
      <c r="AJ888" s="7">
        <v>120</v>
      </c>
      <c r="AK888" s="25">
        <v>167</v>
      </c>
    </row>
    <row r="889" spans="36:37" x14ac:dyDescent="0.2">
      <c r="AJ889" s="6" t="s">
        <v>887</v>
      </c>
      <c r="AK889" s="25">
        <v>673</v>
      </c>
    </row>
    <row r="890" spans="36:37" x14ac:dyDescent="0.2">
      <c r="AJ890" s="7">
        <v>813</v>
      </c>
      <c r="AK890" s="25">
        <v>673</v>
      </c>
    </row>
    <row r="891" spans="36:37" x14ac:dyDescent="0.2">
      <c r="AJ891" s="6" t="s">
        <v>567</v>
      </c>
      <c r="AK891" s="25">
        <v>460</v>
      </c>
    </row>
    <row r="892" spans="36:37" x14ac:dyDescent="0.2">
      <c r="AJ892" s="7">
        <v>502</v>
      </c>
      <c r="AK892" s="25">
        <v>460</v>
      </c>
    </row>
    <row r="893" spans="36:37" x14ac:dyDescent="0.2">
      <c r="AJ893" s="6" t="s">
        <v>401</v>
      </c>
      <c r="AK893" s="25">
        <v>541</v>
      </c>
    </row>
    <row r="894" spans="36:37" x14ac:dyDescent="0.2">
      <c r="AJ894" s="7">
        <v>347</v>
      </c>
      <c r="AK894" s="25">
        <v>541</v>
      </c>
    </row>
    <row r="895" spans="36:37" x14ac:dyDescent="0.2">
      <c r="AJ895" s="6" t="s">
        <v>769</v>
      </c>
      <c r="AK895" s="25">
        <v>673</v>
      </c>
    </row>
    <row r="896" spans="36:37" x14ac:dyDescent="0.2">
      <c r="AJ896" s="7">
        <v>702</v>
      </c>
      <c r="AK896" s="25">
        <v>673</v>
      </c>
    </row>
    <row r="897" spans="36:37" x14ac:dyDescent="0.2">
      <c r="AJ897" s="6" t="s">
        <v>381</v>
      </c>
      <c r="AK897" s="25">
        <v>151</v>
      </c>
    </row>
    <row r="898" spans="36:37" x14ac:dyDescent="0.2">
      <c r="AJ898" s="7">
        <v>330</v>
      </c>
      <c r="AK898" s="25">
        <v>151</v>
      </c>
    </row>
    <row r="899" spans="36:37" x14ac:dyDescent="0.2">
      <c r="AJ899" s="6" t="s">
        <v>495</v>
      </c>
      <c r="AK899" s="25">
        <v>363</v>
      </c>
    </row>
    <row r="900" spans="36:37" x14ac:dyDescent="0.2">
      <c r="AJ900" s="7">
        <v>437</v>
      </c>
      <c r="AK900" s="25">
        <v>363</v>
      </c>
    </row>
    <row r="901" spans="36:37" x14ac:dyDescent="0.2">
      <c r="AJ901" s="6" t="s">
        <v>108</v>
      </c>
      <c r="AK901" s="25">
        <v>101</v>
      </c>
    </row>
    <row r="902" spans="36:37" x14ac:dyDescent="0.2">
      <c r="AJ902" s="7">
        <v>78</v>
      </c>
      <c r="AK902" s="25">
        <v>101</v>
      </c>
    </row>
    <row r="903" spans="36:37" x14ac:dyDescent="0.2">
      <c r="AJ903" s="6" t="s">
        <v>392</v>
      </c>
      <c r="AK903" s="25">
        <v>327</v>
      </c>
    </row>
    <row r="904" spans="36:37" x14ac:dyDescent="0.2">
      <c r="AJ904" s="7">
        <v>341</v>
      </c>
      <c r="AK904" s="25">
        <v>327</v>
      </c>
    </row>
    <row r="905" spans="36:37" x14ac:dyDescent="0.2">
      <c r="AJ905" s="6" t="s">
        <v>115</v>
      </c>
      <c r="AK905" s="25">
        <v>151</v>
      </c>
    </row>
    <row r="906" spans="36:37" x14ac:dyDescent="0.2">
      <c r="AJ906" s="7">
        <v>85</v>
      </c>
      <c r="AK906" s="25">
        <v>151</v>
      </c>
    </row>
    <row r="907" spans="36:37" x14ac:dyDescent="0.2">
      <c r="AJ907" s="6" t="s">
        <v>613</v>
      </c>
      <c r="AK907" s="25">
        <v>673</v>
      </c>
    </row>
    <row r="908" spans="36:37" x14ac:dyDescent="0.2">
      <c r="AJ908" s="7">
        <v>547</v>
      </c>
      <c r="AK908" s="25">
        <v>673</v>
      </c>
    </row>
    <row r="909" spans="36:37" x14ac:dyDescent="0.2">
      <c r="AJ909" s="6" t="s">
        <v>185</v>
      </c>
      <c r="AK909" s="25">
        <v>200</v>
      </c>
    </row>
    <row r="910" spans="36:37" x14ac:dyDescent="0.2">
      <c r="AJ910" s="7">
        <v>147</v>
      </c>
      <c r="AK910" s="25">
        <v>200</v>
      </c>
    </row>
    <row r="911" spans="36:37" x14ac:dyDescent="0.2">
      <c r="AJ911" s="6" t="s">
        <v>149</v>
      </c>
      <c r="AK911" s="25">
        <v>139</v>
      </c>
    </row>
    <row r="912" spans="36:37" x14ac:dyDescent="0.2">
      <c r="AJ912" s="7">
        <v>112</v>
      </c>
      <c r="AK912" s="25">
        <v>139</v>
      </c>
    </row>
    <row r="913" spans="36:37" x14ac:dyDescent="0.2">
      <c r="AJ913" s="6" t="s">
        <v>605</v>
      </c>
      <c r="AK913" s="25">
        <v>460</v>
      </c>
    </row>
    <row r="914" spans="36:37" x14ac:dyDescent="0.2">
      <c r="AJ914" s="7">
        <v>539</v>
      </c>
      <c r="AK914" s="25">
        <v>460</v>
      </c>
    </row>
    <row r="915" spans="36:37" x14ac:dyDescent="0.2">
      <c r="AJ915" s="6" t="s">
        <v>256</v>
      </c>
      <c r="AK915" s="25">
        <v>93</v>
      </c>
    </row>
    <row r="916" spans="36:37" x14ac:dyDescent="0.2">
      <c r="AJ916" s="7">
        <v>215</v>
      </c>
      <c r="AK916" s="25">
        <v>93</v>
      </c>
    </row>
    <row r="917" spans="36:37" x14ac:dyDescent="0.2">
      <c r="AJ917" s="6" t="s">
        <v>466</v>
      </c>
      <c r="AK917" s="25">
        <v>363</v>
      </c>
    </row>
    <row r="918" spans="36:37" x14ac:dyDescent="0.2">
      <c r="AJ918" s="7">
        <v>410</v>
      </c>
      <c r="AK918" s="25">
        <v>363</v>
      </c>
    </row>
    <row r="919" spans="36:37" x14ac:dyDescent="0.2">
      <c r="AJ919" s="6" t="s">
        <v>584</v>
      </c>
      <c r="AK919" s="25">
        <v>363</v>
      </c>
    </row>
    <row r="920" spans="36:37" x14ac:dyDescent="0.2">
      <c r="AJ920" s="7">
        <v>519</v>
      </c>
      <c r="AK920" s="25">
        <v>363</v>
      </c>
    </row>
    <row r="921" spans="36:37" x14ac:dyDescent="0.2">
      <c r="AJ921" s="6" t="s">
        <v>825</v>
      </c>
      <c r="AK921" s="25">
        <v>1001</v>
      </c>
    </row>
    <row r="922" spans="36:37" x14ac:dyDescent="0.2">
      <c r="AJ922" s="7">
        <v>756</v>
      </c>
      <c r="AK922" s="25">
        <v>1001</v>
      </c>
    </row>
    <row r="923" spans="36:37" x14ac:dyDescent="0.2">
      <c r="AJ923" s="6" t="s">
        <v>859</v>
      </c>
      <c r="AK923" s="25">
        <v>541</v>
      </c>
    </row>
    <row r="924" spans="36:37" x14ac:dyDescent="0.2">
      <c r="AJ924" s="7">
        <v>787</v>
      </c>
      <c r="AK924" s="25">
        <v>541</v>
      </c>
    </row>
    <row r="925" spans="36:37" x14ac:dyDescent="0.2">
      <c r="AJ925" s="6" t="s">
        <v>720</v>
      </c>
      <c r="AK925" s="25">
        <v>1001</v>
      </c>
    </row>
    <row r="926" spans="36:37" x14ac:dyDescent="0.2">
      <c r="AJ926" s="7">
        <v>654</v>
      </c>
      <c r="AK926" s="25">
        <v>1001</v>
      </c>
    </row>
    <row r="927" spans="36:37" x14ac:dyDescent="0.2">
      <c r="AJ927" s="6" t="s">
        <v>1020</v>
      </c>
      <c r="AK927" s="25">
        <v>541</v>
      </c>
    </row>
    <row r="928" spans="36:37" x14ac:dyDescent="0.2">
      <c r="AJ928" s="7">
        <v>942</v>
      </c>
      <c r="AK928" s="25">
        <v>541</v>
      </c>
    </row>
    <row r="929" spans="36:37" x14ac:dyDescent="0.2">
      <c r="AJ929" s="6" t="s">
        <v>621</v>
      </c>
      <c r="AK929" s="25">
        <v>541</v>
      </c>
    </row>
    <row r="930" spans="36:37" x14ac:dyDescent="0.2">
      <c r="AJ930" s="7">
        <v>555</v>
      </c>
      <c r="AK930" s="25">
        <v>541</v>
      </c>
    </row>
    <row r="931" spans="36:37" x14ac:dyDescent="0.2">
      <c r="AJ931" s="6" t="s">
        <v>709</v>
      </c>
      <c r="AK931" s="25">
        <v>541</v>
      </c>
    </row>
    <row r="932" spans="36:37" x14ac:dyDescent="0.2">
      <c r="AJ932" s="7">
        <v>643</v>
      </c>
      <c r="AK932" s="25">
        <v>541</v>
      </c>
    </row>
    <row r="933" spans="36:37" x14ac:dyDescent="0.2">
      <c r="AJ933" s="6" t="s">
        <v>422</v>
      </c>
      <c r="AK933" s="25">
        <v>363</v>
      </c>
    </row>
    <row r="934" spans="36:37" x14ac:dyDescent="0.2">
      <c r="AJ934" s="7">
        <v>368</v>
      </c>
      <c r="AK934" s="25">
        <v>363</v>
      </c>
    </row>
    <row r="935" spans="36:37" x14ac:dyDescent="0.2">
      <c r="AJ935" s="6" t="s">
        <v>595</v>
      </c>
      <c r="AK935" s="25">
        <v>460</v>
      </c>
    </row>
    <row r="936" spans="36:37" x14ac:dyDescent="0.2">
      <c r="AJ936" s="7">
        <v>529</v>
      </c>
      <c r="AK936" s="25">
        <v>460</v>
      </c>
    </row>
    <row r="937" spans="36:37" x14ac:dyDescent="0.2">
      <c r="AJ937" s="6" t="s">
        <v>657</v>
      </c>
      <c r="AK937" s="25">
        <v>460</v>
      </c>
    </row>
    <row r="938" spans="36:37" x14ac:dyDescent="0.2">
      <c r="AJ938" s="7">
        <v>591</v>
      </c>
      <c r="AK938" s="25">
        <v>460</v>
      </c>
    </row>
    <row r="939" spans="36:37" x14ac:dyDescent="0.2">
      <c r="AJ939" s="6" t="s">
        <v>259</v>
      </c>
      <c r="AK939" s="25">
        <v>139</v>
      </c>
    </row>
    <row r="940" spans="36:37" x14ac:dyDescent="0.2">
      <c r="AJ940" s="7">
        <v>218</v>
      </c>
      <c r="AK940" s="25">
        <v>139</v>
      </c>
    </row>
    <row r="941" spans="36:37" x14ac:dyDescent="0.2">
      <c r="AJ941" s="6" t="s">
        <v>242</v>
      </c>
      <c r="AK941" s="25">
        <v>200</v>
      </c>
    </row>
    <row r="942" spans="36:37" x14ac:dyDescent="0.2">
      <c r="AJ942" s="7">
        <v>202</v>
      </c>
      <c r="AK942" s="25">
        <v>200</v>
      </c>
    </row>
    <row r="943" spans="36:37" x14ac:dyDescent="0.2">
      <c r="AJ943" s="6" t="s">
        <v>166</v>
      </c>
      <c r="AK943" s="25">
        <v>187</v>
      </c>
    </row>
    <row r="944" spans="36:37" x14ac:dyDescent="0.2">
      <c r="AJ944" s="7">
        <v>128</v>
      </c>
      <c r="AK944" s="25">
        <v>187</v>
      </c>
    </row>
    <row r="945" spans="36:37" x14ac:dyDescent="0.2">
      <c r="AJ945" s="6" t="s">
        <v>197</v>
      </c>
      <c r="AK945" s="25">
        <v>93</v>
      </c>
    </row>
    <row r="946" spans="36:37" x14ac:dyDescent="0.2">
      <c r="AJ946" s="7">
        <v>159</v>
      </c>
      <c r="AK946" s="25">
        <v>93</v>
      </c>
    </row>
    <row r="947" spans="36:37" x14ac:dyDescent="0.2">
      <c r="AJ947" s="6" t="s">
        <v>710</v>
      </c>
      <c r="AK947" s="25">
        <v>673</v>
      </c>
    </row>
    <row r="948" spans="36:37" x14ac:dyDescent="0.2">
      <c r="AJ948" s="7">
        <v>644</v>
      </c>
      <c r="AK948" s="25">
        <v>673</v>
      </c>
    </row>
    <row r="949" spans="36:37" x14ac:dyDescent="0.2">
      <c r="AJ949" s="6" t="s">
        <v>506</v>
      </c>
      <c r="AK949" s="25">
        <v>541</v>
      </c>
    </row>
    <row r="950" spans="36:37" x14ac:dyDescent="0.2">
      <c r="AJ950" s="7">
        <v>448</v>
      </c>
      <c r="AK950" s="25">
        <v>541</v>
      </c>
    </row>
    <row r="951" spans="36:37" x14ac:dyDescent="0.2">
      <c r="AJ951" s="6" t="s">
        <v>16</v>
      </c>
      <c r="AK951" s="25">
        <v>2</v>
      </c>
    </row>
    <row r="952" spans="36:37" x14ac:dyDescent="0.2">
      <c r="AJ952" s="7">
        <v>2</v>
      </c>
      <c r="AK952" s="25">
        <v>2</v>
      </c>
    </row>
    <row r="953" spans="36:37" x14ac:dyDescent="0.2">
      <c r="AJ953" s="6" t="s">
        <v>589</v>
      </c>
      <c r="AK953" s="25">
        <v>254</v>
      </c>
    </row>
    <row r="954" spans="36:37" x14ac:dyDescent="0.2">
      <c r="AJ954" s="7">
        <v>524</v>
      </c>
      <c r="AK954" s="25">
        <v>254</v>
      </c>
    </row>
    <row r="955" spans="36:37" x14ac:dyDescent="0.2">
      <c r="AJ955" s="6" t="s">
        <v>723</v>
      </c>
      <c r="AK955" s="25">
        <v>898</v>
      </c>
    </row>
    <row r="956" spans="36:37" x14ac:dyDescent="0.2">
      <c r="AJ956" s="7">
        <v>657</v>
      </c>
      <c r="AK956" s="25">
        <v>898</v>
      </c>
    </row>
    <row r="957" spans="36:37" x14ac:dyDescent="0.2">
      <c r="AJ957" s="6" t="s">
        <v>987</v>
      </c>
      <c r="AK957" s="25">
        <v>1001</v>
      </c>
    </row>
    <row r="958" spans="36:37" x14ac:dyDescent="0.2">
      <c r="AJ958" s="7">
        <v>909</v>
      </c>
      <c r="AK958" s="25">
        <v>1001</v>
      </c>
    </row>
    <row r="959" spans="36:37" x14ac:dyDescent="0.2">
      <c r="AJ959" s="6" t="s">
        <v>545</v>
      </c>
      <c r="AK959" s="25">
        <v>460</v>
      </c>
    </row>
    <row r="960" spans="36:37" x14ac:dyDescent="0.2">
      <c r="AJ960" s="7">
        <v>481</v>
      </c>
      <c r="AK960" s="25">
        <v>460</v>
      </c>
    </row>
    <row r="961" spans="36:37" x14ac:dyDescent="0.2">
      <c r="AJ961" s="6" t="s">
        <v>692</v>
      </c>
      <c r="AK961" s="25">
        <v>673</v>
      </c>
    </row>
    <row r="962" spans="36:37" x14ac:dyDescent="0.2">
      <c r="AJ962" s="7">
        <v>626</v>
      </c>
      <c r="AK962" s="25">
        <v>673</v>
      </c>
    </row>
    <row r="963" spans="36:37" x14ac:dyDescent="0.2">
      <c r="AJ963" s="6" t="s">
        <v>811</v>
      </c>
      <c r="AK963" s="25">
        <v>898</v>
      </c>
    </row>
    <row r="964" spans="36:37" x14ac:dyDescent="0.2">
      <c r="AJ964" s="7">
        <v>743</v>
      </c>
      <c r="AK964" s="25">
        <v>898</v>
      </c>
    </row>
    <row r="965" spans="36:37" x14ac:dyDescent="0.2">
      <c r="AJ965" s="6" t="s">
        <v>421</v>
      </c>
      <c r="AK965" s="25">
        <v>541</v>
      </c>
    </row>
    <row r="966" spans="36:37" x14ac:dyDescent="0.2">
      <c r="AJ966" s="7">
        <v>367</v>
      </c>
      <c r="AK966" s="25">
        <v>541</v>
      </c>
    </row>
    <row r="967" spans="36:37" x14ac:dyDescent="0.2">
      <c r="AJ967" s="6" t="s">
        <v>368</v>
      </c>
      <c r="AK967" s="25">
        <v>304</v>
      </c>
    </row>
    <row r="968" spans="36:37" x14ac:dyDescent="0.2">
      <c r="AJ968" s="7">
        <v>319</v>
      </c>
      <c r="AK968" s="25">
        <v>304</v>
      </c>
    </row>
    <row r="969" spans="36:37" x14ac:dyDescent="0.2">
      <c r="AJ969" s="6" t="s">
        <v>803</v>
      </c>
      <c r="AK969" s="25">
        <v>898</v>
      </c>
    </row>
    <row r="970" spans="36:37" x14ac:dyDescent="0.2">
      <c r="AJ970" s="7">
        <v>735</v>
      </c>
      <c r="AK970" s="25">
        <v>898</v>
      </c>
    </row>
    <row r="971" spans="36:37" x14ac:dyDescent="0.2">
      <c r="AJ971" s="6" t="s">
        <v>898</v>
      </c>
      <c r="AK971" s="25">
        <v>898</v>
      </c>
    </row>
    <row r="972" spans="36:37" x14ac:dyDescent="0.2">
      <c r="AJ972" s="7">
        <v>824</v>
      </c>
      <c r="AK972" s="25">
        <v>898</v>
      </c>
    </row>
    <row r="973" spans="36:37" x14ac:dyDescent="0.2">
      <c r="AJ973" s="6" t="s">
        <v>47</v>
      </c>
      <c r="AK973" s="25">
        <v>22</v>
      </c>
    </row>
    <row r="974" spans="36:37" x14ac:dyDescent="0.2">
      <c r="AJ974" s="7">
        <v>29</v>
      </c>
      <c r="AK974" s="25">
        <v>22</v>
      </c>
    </row>
    <row r="975" spans="36:37" x14ac:dyDescent="0.2">
      <c r="AJ975" s="6" t="s">
        <v>1079</v>
      </c>
      <c r="AK975" s="25">
        <v>898</v>
      </c>
    </row>
    <row r="976" spans="36:37" x14ac:dyDescent="0.2">
      <c r="AJ976" s="7">
        <v>999</v>
      </c>
      <c r="AK976" s="25">
        <v>898</v>
      </c>
    </row>
    <row r="977" spans="36:37" x14ac:dyDescent="0.2">
      <c r="AJ977" s="6" t="s">
        <v>415</v>
      </c>
      <c r="AK977" s="25">
        <v>405</v>
      </c>
    </row>
    <row r="978" spans="36:37" x14ac:dyDescent="0.2">
      <c r="AJ978" s="7">
        <v>361</v>
      </c>
      <c r="AK978" s="25">
        <v>405</v>
      </c>
    </row>
    <row r="979" spans="36:37" x14ac:dyDescent="0.2">
      <c r="AJ979" s="6" t="s">
        <v>1039</v>
      </c>
      <c r="AK979" s="25">
        <v>1001</v>
      </c>
    </row>
    <row r="980" spans="36:37" x14ac:dyDescent="0.2">
      <c r="AJ980" s="7">
        <v>961</v>
      </c>
      <c r="AK980" s="25">
        <v>1001</v>
      </c>
    </row>
    <row r="981" spans="36:37" x14ac:dyDescent="0.2">
      <c r="AJ981" s="6" t="s">
        <v>955</v>
      </c>
      <c r="AK981" s="25">
        <v>673</v>
      </c>
    </row>
    <row r="982" spans="36:37" x14ac:dyDescent="0.2">
      <c r="AJ982" s="7">
        <v>881</v>
      </c>
      <c r="AK982" s="25">
        <v>673</v>
      </c>
    </row>
    <row r="983" spans="36:37" x14ac:dyDescent="0.2">
      <c r="AJ983" s="6" t="s">
        <v>360</v>
      </c>
      <c r="AK983" s="25">
        <v>254</v>
      </c>
    </row>
    <row r="984" spans="36:37" x14ac:dyDescent="0.2">
      <c r="AJ984" s="7">
        <v>311</v>
      </c>
      <c r="AK984" s="25">
        <v>254</v>
      </c>
    </row>
    <row r="985" spans="36:37" x14ac:dyDescent="0.2">
      <c r="AJ985" s="6" t="s">
        <v>344</v>
      </c>
      <c r="AK985" s="25">
        <v>898</v>
      </c>
    </row>
    <row r="986" spans="36:37" x14ac:dyDescent="0.2">
      <c r="AJ986" s="7">
        <v>296</v>
      </c>
      <c r="AK986" s="25">
        <v>898</v>
      </c>
    </row>
    <row r="987" spans="36:37" x14ac:dyDescent="0.2">
      <c r="AJ987" s="6" t="s">
        <v>962</v>
      </c>
      <c r="AK987" s="25">
        <v>1001</v>
      </c>
    </row>
    <row r="988" spans="36:37" x14ac:dyDescent="0.2">
      <c r="AJ988" s="7">
        <v>887</v>
      </c>
      <c r="AK988" s="25">
        <v>1001</v>
      </c>
    </row>
    <row r="989" spans="36:37" x14ac:dyDescent="0.2">
      <c r="AJ989" s="6" t="s">
        <v>931</v>
      </c>
      <c r="AK989" s="25">
        <v>898</v>
      </c>
    </row>
    <row r="990" spans="36:37" x14ac:dyDescent="0.2">
      <c r="AJ990" s="7">
        <v>857</v>
      </c>
      <c r="AK990" s="25">
        <v>898</v>
      </c>
    </row>
    <row r="991" spans="36:37" x14ac:dyDescent="0.2">
      <c r="AJ991" s="6" t="s">
        <v>683</v>
      </c>
      <c r="AK991" s="25">
        <v>405</v>
      </c>
    </row>
    <row r="992" spans="36:37" x14ac:dyDescent="0.2">
      <c r="AJ992" s="7">
        <v>617</v>
      </c>
      <c r="AK992" s="25">
        <v>405</v>
      </c>
    </row>
    <row r="993" spans="36:37" x14ac:dyDescent="0.2">
      <c r="AJ993" s="6" t="s">
        <v>752</v>
      </c>
      <c r="AK993" s="25">
        <v>673</v>
      </c>
    </row>
    <row r="994" spans="36:37" x14ac:dyDescent="0.2">
      <c r="AJ994" s="7">
        <v>685</v>
      </c>
      <c r="AK994" s="25">
        <v>673</v>
      </c>
    </row>
    <row r="995" spans="36:37" x14ac:dyDescent="0.2">
      <c r="AJ995" s="6" t="s">
        <v>658</v>
      </c>
      <c r="AK995" s="25">
        <v>541</v>
      </c>
    </row>
    <row r="996" spans="36:37" x14ac:dyDescent="0.2">
      <c r="AJ996" s="7">
        <v>592</v>
      </c>
      <c r="AK996" s="25">
        <v>541</v>
      </c>
    </row>
    <row r="997" spans="36:37" x14ac:dyDescent="0.2">
      <c r="AJ997" s="6" t="s">
        <v>954</v>
      </c>
      <c r="AK997" s="25">
        <v>898</v>
      </c>
    </row>
    <row r="998" spans="36:37" x14ac:dyDescent="0.2">
      <c r="AJ998" s="7">
        <v>880</v>
      </c>
      <c r="AK998" s="25">
        <v>898</v>
      </c>
    </row>
    <row r="999" spans="36:37" x14ac:dyDescent="0.2">
      <c r="AJ999" s="6" t="s">
        <v>1048</v>
      </c>
      <c r="AK999" s="25">
        <v>673</v>
      </c>
    </row>
    <row r="1000" spans="36:37" x14ac:dyDescent="0.2">
      <c r="AJ1000" s="7">
        <v>970</v>
      </c>
      <c r="AK1000" s="25">
        <v>673</v>
      </c>
    </row>
    <row r="1001" spans="36:37" x14ac:dyDescent="0.2">
      <c r="AJ1001" s="6" t="s">
        <v>602</v>
      </c>
      <c r="AK1001" s="25">
        <v>673</v>
      </c>
    </row>
    <row r="1002" spans="36:37" x14ac:dyDescent="0.2">
      <c r="AJ1002" s="7">
        <v>536</v>
      </c>
      <c r="AK1002" s="25">
        <v>673</v>
      </c>
    </row>
    <row r="1003" spans="36:37" x14ac:dyDescent="0.2">
      <c r="AJ1003" s="6" t="s">
        <v>174</v>
      </c>
      <c r="AK1003" s="25">
        <v>167</v>
      </c>
    </row>
    <row r="1004" spans="36:37" x14ac:dyDescent="0.2">
      <c r="AJ1004" s="7">
        <v>136</v>
      </c>
      <c r="AK1004" s="25">
        <v>167</v>
      </c>
    </row>
    <row r="1005" spans="36:37" x14ac:dyDescent="0.2">
      <c r="AJ1005" s="6" t="s">
        <v>317</v>
      </c>
      <c r="AK1005" s="25">
        <v>327</v>
      </c>
    </row>
    <row r="1006" spans="36:37" x14ac:dyDescent="0.2">
      <c r="AJ1006" s="7">
        <v>270</v>
      </c>
      <c r="AK1006" s="25">
        <v>327</v>
      </c>
    </row>
    <row r="1007" spans="36:37" x14ac:dyDescent="0.2">
      <c r="AJ1007" s="6" t="s">
        <v>1044</v>
      </c>
      <c r="AK1007" s="25">
        <v>1001</v>
      </c>
    </row>
    <row r="1008" spans="36:37" x14ac:dyDescent="0.2">
      <c r="AJ1008" s="7">
        <v>966</v>
      </c>
      <c r="AK1008" s="25">
        <v>1001</v>
      </c>
    </row>
    <row r="1009" spans="36:37" x14ac:dyDescent="0.2">
      <c r="AJ1009" s="6" t="s">
        <v>1071</v>
      </c>
      <c r="AK1009" s="25">
        <v>673</v>
      </c>
    </row>
    <row r="1010" spans="36:37" x14ac:dyDescent="0.2">
      <c r="AJ1010" s="7">
        <v>992</v>
      </c>
      <c r="AK1010" s="25">
        <v>673</v>
      </c>
    </row>
    <row r="1011" spans="36:37" x14ac:dyDescent="0.2">
      <c r="AJ1011" s="6" t="s">
        <v>977</v>
      </c>
      <c r="AK1011" s="25">
        <v>1001</v>
      </c>
    </row>
    <row r="1012" spans="36:37" x14ac:dyDescent="0.2">
      <c r="AJ1012" s="7">
        <v>902</v>
      </c>
      <c r="AK1012" s="25">
        <v>1001</v>
      </c>
    </row>
    <row r="1013" spans="36:37" x14ac:dyDescent="0.2">
      <c r="AJ1013" s="6" t="s">
        <v>84</v>
      </c>
      <c r="AK1013" s="25">
        <v>129</v>
      </c>
    </row>
    <row r="1014" spans="36:37" x14ac:dyDescent="0.2">
      <c r="AJ1014" s="7">
        <v>60</v>
      </c>
      <c r="AK1014" s="25">
        <v>129</v>
      </c>
    </row>
    <row r="1015" spans="36:37" x14ac:dyDescent="0.2">
      <c r="AJ1015" s="6" t="s">
        <v>724</v>
      </c>
      <c r="AK1015" s="25">
        <v>898</v>
      </c>
    </row>
    <row r="1016" spans="36:37" x14ac:dyDescent="0.2">
      <c r="AJ1016" s="7">
        <v>658</v>
      </c>
      <c r="AK1016" s="25">
        <v>898</v>
      </c>
    </row>
    <row r="1017" spans="36:37" x14ac:dyDescent="0.2">
      <c r="AJ1017" s="6" t="s">
        <v>907</v>
      </c>
      <c r="AK1017" s="25">
        <v>673</v>
      </c>
    </row>
    <row r="1018" spans="36:37" x14ac:dyDescent="0.2">
      <c r="AJ1018" s="7">
        <v>833</v>
      </c>
      <c r="AK1018" s="25">
        <v>673</v>
      </c>
    </row>
    <row r="1019" spans="36:37" x14ac:dyDescent="0.2">
      <c r="AJ1019" s="6" t="s">
        <v>620</v>
      </c>
      <c r="AK1019" s="25">
        <v>673</v>
      </c>
    </row>
    <row r="1020" spans="36:37" x14ac:dyDescent="0.2">
      <c r="AJ1020" s="7">
        <v>554</v>
      </c>
      <c r="AK1020" s="25">
        <v>673</v>
      </c>
    </row>
    <row r="1021" spans="36:37" x14ac:dyDescent="0.2">
      <c r="AJ1021" s="6" t="s">
        <v>480</v>
      </c>
      <c r="AK1021" s="25">
        <v>541</v>
      </c>
    </row>
    <row r="1022" spans="36:37" x14ac:dyDescent="0.2">
      <c r="AJ1022" s="7">
        <v>422</v>
      </c>
      <c r="AK1022" s="25">
        <v>541</v>
      </c>
    </row>
    <row r="1023" spans="36:37" x14ac:dyDescent="0.2">
      <c r="AJ1023" s="6" t="s">
        <v>1029</v>
      </c>
      <c r="AK1023" s="25">
        <v>898</v>
      </c>
    </row>
    <row r="1024" spans="36:37" x14ac:dyDescent="0.2">
      <c r="AJ1024" s="7">
        <v>951</v>
      </c>
      <c r="AK1024" s="25">
        <v>898</v>
      </c>
    </row>
    <row r="1025" spans="36:37" x14ac:dyDescent="0.2">
      <c r="AJ1025" s="6" t="s">
        <v>92</v>
      </c>
      <c r="AK1025" s="25">
        <v>71</v>
      </c>
    </row>
    <row r="1026" spans="36:37" x14ac:dyDescent="0.2">
      <c r="AJ1026" s="7">
        <v>67</v>
      </c>
      <c r="AK1026" s="25">
        <v>71</v>
      </c>
    </row>
    <row r="1027" spans="36:37" x14ac:dyDescent="0.2">
      <c r="AJ1027" s="6" t="s">
        <v>1021</v>
      </c>
      <c r="AK1027" s="25">
        <v>898</v>
      </c>
    </row>
    <row r="1028" spans="36:37" x14ac:dyDescent="0.2">
      <c r="AJ1028" s="7">
        <v>943</v>
      </c>
      <c r="AK1028" s="25">
        <v>898</v>
      </c>
    </row>
    <row r="1029" spans="36:37" x14ac:dyDescent="0.2">
      <c r="AJ1029" s="6" t="s">
        <v>550</v>
      </c>
      <c r="AK1029" s="25">
        <v>405</v>
      </c>
    </row>
    <row r="1030" spans="36:37" x14ac:dyDescent="0.2">
      <c r="AJ1030" s="7">
        <v>486</v>
      </c>
      <c r="AK1030" s="25">
        <v>405</v>
      </c>
    </row>
    <row r="1031" spans="36:37" x14ac:dyDescent="0.2">
      <c r="AJ1031" s="6" t="s">
        <v>607</v>
      </c>
      <c r="AK1031" s="25">
        <v>898</v>
      </c>
    </row>
    <row r="1032" spans="36:37" x14ac:dyDescent="0.2">
      <c r="AJ1032" s="7">
        <v>541</v>
      </c>
      <c r="AK1032" s="25">
        <v>898</v>
      </c>
    </row>
    <row r="1033" spans="36:37" x14ac:dyDescent="0.2">
      <c r="AJ1033" s="6" t="s">
        <v>499</v>
      </c>
      <c r="AK1033" s="25">
        <v>363</v>
      </c>
    </row>
    <row r="1034" spans="36:37" x14ac:dyDescent="0.2">
      <c r="AJ1034" s="7">
        <v>441</v>
      </c>
      <c r="AK1034" s="25">
        <v>363</v>
      </c>
    </row>
    <row r="1035" spans="36:37" x14ac:dyDescent="0.2">
      <c r="AJ1035" s="6" t="s">
        <v>559</v>
      </c>
      <c r="AK1035" s="25">
        <v>673</v>
      </c>
    </row>
    <row r="1036" spans="36:37" x14ac:dyDescent="0.2">
      <c r="AJ1036" s="7">
        <v>494</v>
      </c>
      <c r="AK1036" s="25">
        <v>673</v>
      </c>
    </row>
    <row r="1037" spans="36:37" x14ac:dyDescent="0.2">
      <c r="AJ1037" s="6" t="s">
        <v>874</v>
      </c>
      <c r="AK1037" s="25">
        <v>541</v>
      </c>
    </row>
    <row r="1038" spans="36:37" x14ac:dyDescent="0.2">
      <c r="AJ1038" s="7">
        <v>801</v>
      </c>
      <c r="AK1038" s="25">
        <v>541</v>
      </c>
    </row>
    <row r="1039" spans="36:37" x14ac:dyDescent="0.2">
      <c r="AJ1039" s="6" t="s">
        <v>253</v>
      </c>
      <c r="AK1039" s="25">
        <v>129</v>
      </c>
    </row>
    <row r="1040" spans="36:37" x14ac:dyDescent="0.2">
      <c r="AJ1040" s="7">
        <v>212</v>
      </c>
      <c r="AK1040" s="25">
        <v>129</v>
      </c>
    </row>
    <row r="1041" spans="36:37" x14ac:dyDescent="0.2">
      <c r="AJ1041" s="6" t="s">
        <v>735</v>
      </c>
      <c r="AK1041" s="25">
        <v>1001</v>
      </c>
    </row>
    <row r="1042" spans="36:37" x14ac:dyDescent="0.2">
      <c r="AJ1042" s="7">
        <v>669</v>
      </c>
      <c r="AK1042" s="25">
        <v>1001</v>
      </c>
    </row>
    <row r="1043" spans="36:37" x14ac:dyDescent="0.2">
      <c r="AJ1043" s="6" t="s">
        <v>61</v>
      </c>
      <c r="AK1043" s="25">
        <v>59</v>
      </c>
    </row>
    <row r="1044" spans="36:37" x14ac:dyDescent="0.2">
      <c r="AJ1044" s="7">
        <v>41</v>
      </c>
      <c r="AK1044" s="25">
        <v>59</v>
      </c>
    </row>
    <row r="1045" spans="36:37" x14ac:dyDescent="0.2">
      <c r="AJ1045" s="6" t="s">
        <v>493</v>
      </c>
      <c r="AK1045" s="25">
        <v>240</v>
      </c>
    </row>
    <row r="1046" spans="36:37" x14ac:dyDescent="0.2">
      <c r="AJ1046" s="7">
        <v>435</v>
      </c>
      <c r="AK1046" s="25">
        <v>240</v>
      </c>
    </row>
    <row r="1047" spans="36:37" x14ac:dyDescent="0.2">
      <c r="AJ1047" s="6" t="s">
        <v>338</v>
      </c>
      <c r="AK1047" s="25">
        <v>327</v>
      </c>
    </row>
    <row r="1048" spans="36:37" x14ac:dyDescent="0.2">
      <c r="AJ1048" s="7">
        <v>291</v>
      </c>
      <c r="AK1048" s="25">
        <v>327</v>
      </c>
    </row>
    <row r="1049" spans="36:37" x14ac:dyDescent="0.2">
      <c r="AJ1049" s="6" t="s">
        <v>968</v>
      </c>
      <c r="AK1049" s="25">
        <v>673</v>
      </c>
    </row>
    <row r="1050" spans="36:37" x14ac:dyDescent="0.2">
      <c r="AJ1050" s="7">
        <v>893</v>
      </c>
      <c r="AK1050" s="25">
        <v>673</v>
      </c>
    </row>
    <row r="1051" spans="36:37" x14ac:dyDescent="0.2">
      <c r="AJ1051" s="6" t="s">
        <v>194</v>
      </c>
      <c r="AK1051" s="25">
        <v>222</v>
      </c>
    </row>
    <row r="1052" spans="36:37" x14ac:dyDescent="0.2">
      <c r="AJ1052" s="7">
        <v>156</v>
      </c>
      <c r="AK1052" s="25">
        <v>222</v>
      </c>
    </row>
    <row r="1053" spans="36:37" x14ac:dyDescent="0.2">
      <c r="AJ1053" s="6" t="s">
        <v>606</v>
      </c>
      <c r="AK1053" s="25">
        <v>304</v>
      </c>
    </row>
    <row r="1054" spans="36:37" x14ac:dyDescent="0.2">
      <c r="AJ1054" s="7">
        <v>540</v>
      </c>
      <c r="AK1054" s="25">
        <v>304</v>
      </c>
    </row>
    <row r="1055" spans="36:37" x14ac:dyDescent="0.2">
      <c r="AJ1055" s="6" t="s">
        <v>1035</v>
      </c>
      <c r="AK1055" s="25">
        <v>673</v>
      </c>
    </row>
    <row r="1056" spans="36:37" x14ac:dyDescent="0.2">
      <c r="AJ1056" s="7">
        <v>957</v>
      </c>
      <c r="AK1056" s="25">
        <v>673</v>
      </c>
    </row>
    <row r="1057" spans="36:37" x14ac:dyDescent="0.2">
      <c r="AJ1057" s="6" t="s">
        <v>730</v>
      </c>
      <c r="AK1057" s="25">
        <v>898</v>
      </c>
    </row>
    <row r="1058" spans="36:37" x14ac:dyDescent="0.2">
      <c r="AJ1058" s="7">
        <v>664</v>
      </c>
      <c r="AK1058" s="25">
        <v>898</v>
      </c>
    </row>
    <row r="1059" spans="36:37" x14ac:dyDescent="0.2">
      <c r="AJ1059" s="6" t="s">
        <v>1002</v>
      </c>
      <c r="AK1059" s="25">
        <v>1001</v>
      </c>
    </row>
    <row r="1060" spans="36:37" x14ac:dyDescent="0.2">
      <c r="AJ1060" s="7">
        <v>924</v>
      </c>
      <c r="AK1060" s="25">
        <v>1001</v>
      </c>
    </row>
    <row r="1061" spans="36:37" x14ac:dyDescent="0.2">
      <c r="AJ1061" s="6" t="s">
        <v>766</v>
      </c>
      <c r="AK1061" s="25">
        <v>541</v>
      </c>
    </row>
    <row r="1062" spans="36:37" x14ac:dyDescent="0.2">
      <c r="AJ1062" s="7">
        <v>699</v>
      </c>
      <c r="AK1062" s="25">
        <v>541</v>
      </c>
    </row>
    <row r="1063" spans="36:37" x14ac:dyDescent="0.2">
      <c r="AJ1063" s="6" t="s">
        <v>105</v>
      </c>
      <c r="AK1063" s="25">
        <v>275</v>
      </c>
    </row>
    <row r="1064" spans="36:37" x14ac:dyDescent="0.2">
      <c r="AJ1064" s="7">
        <v>76</v>
      </c>
      <c r="AK1064" s="25">
        <v>275</v>
      </c>
    </row>
    <row r="1065" spans="36:37" x14ac:dyDescent="0.2">
      <c r="AJ1065" s="6" t="s">
        <v>1013</v>
      </c>
      <c r="AK1065" s="25">
        <v>541</v>
      </c>
    </row>
    <row r="1066" spans="36:37" x14ac:dyDescent="0.2">
      <c r="AJ1066" s="7">
        <v>935</v>
      </c>
      <c r="AK1066" s="25">
        <v>541</v>
      </c>
    </row>
    <row r="1067" spans="36:37" x14ac:dyDescent="0.2">
      <c r="AJ1067" s="6" t="s">
        <v>700</v>
      </c>
      <c r="AK1067" s="25">
        <v>673</v>
      </c>
    </row>
    <row r="1068" spans="36:37" x14ac:dyDescent="0.2">
      <c r="AJ1068" s="7">
        <v>634</v>
      </c>
      <c r="AK1068" s="25">
        <v>673</v>
      </c>
    </row>
    <row r="1069" spans="36:37" x14ac:dyDescent="0.2">
      <c r="AJ1069" s="6" t="s">
        <v>1004</v>
      </c>
      <c r="AK1069" s="25">
        <v>541</v>
      </c>
    </row>
    <row r="1070" spans="36:37" x14ac:dyDescent="0.2">
      <c r="AJ1070" s="7">
        <v>926</v>
      </c>
      <c r="AK1070" s="25">
        <v>541</v>
      </c>
    </row>
    <row r="1071" spans="36:37" x14ac:dyDescent="0.2">
      <c r="AJ1071" s="6" t="s">
        <v>725</v>
      </c>
      <c r="AK1071" s="25">
        <v>673</v>
      </c>
    </row>
    <row r="1072" spans="36:37" x14ac:dyDescent="0.2">
      <c r="AJ1072" s="7">
        <v>659</v>
      </c>
      <c r="AK1072" s="25">
        <v>673</v>
      </c>
    </row>
    <row r="1073" spans="36:37" x14ac:dyDescent="0.2">
      <c r="AJ1073" s="6" t="s">
        <v>167</v>
      </c>
      <c r="AK1073" s="25">
        <v>108</v>
      </c>
    </row>
    <row r="1074" spans="36:37" x14ac:dyDescent="0.2">
      <c r="AJ1074" s="7">
        <v>129</v>
      </c>
      <c r="AK1074" s="25">
        <v>108</v>
      </c>
    </row>
    <row r="1075" spans="36:37" x14ac:dyDescent="0.2">
      <c r="AJ1075" s="6" t="s">
        <v>488</v>
      </c>
      <c r="AK1075" s="25">
        <v>254</v>
      </c>
    </row>
    <row r="1076" spans="36:37" x14ac:dyDescent="0.2">
      <c r="AJ1076" s="7">
        <v>430</v>
      </c>
      <c r="AK1076" s="25">
        <v>254</v>
      </c>
    </row>
    <row r="1077" spans="36:37" x14ac:dyDescent="0.2">
      <c r="AJ1077" s="6" t="s">
        <v>989</v>
      </c>
      <c r="AK1077" s="25">
        <v>1001</v>
      </c>
    </row>
    <row r="1078" spans="36:37" x14ac:dyDescent="0.2">
      <c r="AJ1078" s="7">
        <v>911</v>
      </c>
      <c r="AK1078" s="25">
        <v>1001</v>
      </c>
    </row>
    <row r="1079" spans="36:37" x14ac:dyDescent="0.2">
      <c r="AJ1079" s="6" t="s">
        <v>168</v>
      </c>
      <c r="AK1079" s="25">
        <v>59</v>
      </c>
    </row>
    <row r="1080" spans="36:37" x14ac:dyDescent="0.2">
      <c r="AJ1080" s="7">
        <v>130</v>
      </c>
      <c r="AK1080" s="25">
        <v>59</v>
      </c>
    </row>
    <row r="1081" spans="36:37" x14ac:dyDescent="0.2">
      <c r="AJ1081" s="6" t="s">
        <v>286</v>
      </c>
      <c r="AK1081" s="25">
        <v>327</v>
      </c>
    </row>
    <row r="1082" spans="36:37" x14ac:dyDescent="0.2">
      <c r="AJ1082" s="7">
        <v>241</v>
      </c>
      <c r="AK1082" s="25">
        <v>327</v>
      </c>
    </row>
    <row r="1083" spans="36:37" x14ac:dyDescent="0.2">
      <c r="AJ1083" s="6" t="s">
        <v>364</v>
      </c>
      <c r="AK1083" s="25">
        <v>254</v>
      </c>
    </row>
    <row r="1084" spans="36:37" x14ac:dyDescent="0.2">
      <c r="AJ1084" s="7">
        <v>315</v>
      </c>
      <c r="AK1084" s="25">
        <v>254</v>
      </c>
    </row>
    <row r="1085" spans="36:37" x14ac:dyDescent="0.2">
      <c r="AJ1085" s="6" t="s">
        <v>308</v>
      </c>
      <c r="AK1085" s="25">
        <v>363</v>
      </c>
    </row>
    <row r="1086" spans="36:37" x14ac:dyDescent="0.2">
      <c r="AJ1086" s="7">
        <v>261</v>
      </c>
      <c r="AK1086" s="25">
        <v>363</v>
      </c>
    </row>
    <row r="1087" spans="36:37" x14ac:dyDescent="0.2">
      <c r="AJ1087" s="6" t="s">
        <v>227</v>
      </c>
      <c r="AK1087" s="25">
        <v>200</v>
      </c>
    </row>
    <row r="1088" spans="36:37" x14ac:dyDescent="0.2">
      <c r="AJ1088" s="7">
        <v>187</v>
      </c>
      <c r="AK1088" s="25">
        <v>200</v>
      </c>
    </row>
    <row r="1089" spans="36:37" x14ac:dyDescent="0.2">
      <c r="AJ1089" s="6" t="s">
        <v>871</v>
      </c>
      <c r="AK1089" s="25">
        <v>541</v>
      </c>
    </row>
    <row r="1090" spans="36:37" x14ac:dyDescent="0.2">
      <c r="AJ1090" s="7">
        <v>799</v>
      </c>
      <c r="AK1090" s="25">
        <v>541</v>
      </c>
    </row>
    <row r="1091" spans="36:37" x14ac:dyDescent="0.2">
      <c r="AJ1091" s="6" t="s">
        <v>1038</v>
      </c>
      <c r="AK1091" s="25">
        <v>1001</v>
      </c>
    </row>
    <row r="1092" spans="36:37" x14ac:dyDescent="0.2">
      <c r="AJ1092" s="7">
        <v>960</v>
      </c>
      <c r="AK1092" s="25">
        <v>1001</v>
      </c>
    </row>
    <row r="1093" spans="36:37" x14ac:dyDescent="0.2">
      <c r="AJ1093" s="6" t="s">
        <v>810</v>
      </c>
      <c r="AK1093" s="25">
        <v>1001</v>
      </c>
    </row>
    <row r="1094" spans="36:37" x14ac:dyDescent="0.2">
      <c r="AJ1094" s="7">
        <v>742</v>
      </c>
      <c r="AK1094" s="25">
        <v>1001</v>
      </c>
    </row>
    <row r="1095" spans="36:37" x14ac:dyDescent="0.2">
      <c r="AJ1095" s="6" t="s">
        <v>438</v>
      </c>
      <c r="AK1095" s="25">
        <v>541</v>
      </c>
    </row>
    <row r="1096" spans="36:37" x14ac:dyDescent="0.2">
      <c r="AJ1096" s="7">
        <v>382</v>
      </c>
      <c r="AK1096" s="25">
        <v>541</v>
      </c>
    </row>
    <row r="1097" spans="36:37" x14ac:dyDescent="0.2">
      <c r="AJ1097" s="6" t="s">
        <v>88</v>
      </c>
      <c r="AK1097" s="25">
        <v>129</v>
      </c>
    </row>
    <row r="1098" spans="36:37" x14ac:dyDescent="0.2">
      <c r="AJ1098" s="7">
        <v>63</v>
      </c>
      <c r="AK1098" s="25">
        <v>129</v>
      </c>
    </row>
    <row r="1099" spans="36:37" x14ac:dyDescent="0.2">
      <c r="AJ1099" s="6" t="s">
        <v>22</v>
      </c>
      <c r="AK1099" s="25">
        <v>27</v>
      </c>
    </row>
    <row r="1100" spans="36:37" x14ac:dyDescent="0.2">
      <c r="AJ1100" s="7">
        <v>7</v>
      </c>
      <c r="AK1100" s="25">
        <v>27</v>
      </c>
    </row>
    <row r="1101" spans="36:37" x14ac:dyDescent="0.2">
      <c r="AJ1101" s="6" t="s">
        <v>889</v>
      </c>
      <c r="AK1101" s="25">
        <v>673</v>
      </c>
    </row>
    <row r="1102" spans="36:37" x14ac:dyDescent="0.2">
      <c r="AJ1102" s="7">
        <v>815</v>
      </c>
      <c r="AK1102" s="25">
        <v>673</v>
      </c>
    </row>
    <row r="1103" spans="36:37" x14ac:dyDescent="0.2">
      <c r="AJ1103" s="6" t="s">
        <v>375</v>
      </c>
      <c r="AK1103" s="25">
        <v>405</v>
      </c>
    </row>
    <row r="1104" spans="36:37" x14ac:dyDescent="0.2">
      <c r="AJ1104" s="7">
        <v>325</v>
      </c>
      <c r="AK1104" s="25">
        <v>405</v>
      </c>
    </row>
    <row r="1105" spans="36:37" x14ac:dyDescent="0.2">
      <c r="AJ1105" s="6" t="s">
        <v>410</v>
      </c>
      <c r="AK1105" s="25">
        <v>405</v>
      </c>
    </row>
    <row r="1106" spans="36:37" x14ac:dyDescent="0.2">
      <c r="AJ1106" s="7">
        <v>356</v>
      </c>
      <c r="AK1106" s="25">
        <v>405</v>
      </c>
    </row>
    <row r="1107" spans="36:37" x14ac:dyDescent="0.2">
      <c r="AJ1107" s="6" t="s">
        <v>535</v>
      </c>
      <c r="AK1107" s="25">
        <v>673</v>
      </c>
    </row>
    <row r="1108" spans="36:37" x14ac:dyDescent="0.2">
      <c r="AJ1108" s="7">
        <v>472</v>
      </c>
      <c r="AK1108" s="25">
        <v>673</v>
      </c>
    </row>
    <row r="1109" spans="36:37" x14ac:dyDescent="0.2">
      <c r="AJ1109" s="6" t="s">
        <v>680</v>
      </c>
      <c r="AK1109" s="25">
        <v>898</v>
      </c>
    </row>
    <row r="1110" spans="36:37" x14ac:dyDescent="0.2">
      <c r="AJ1110" s="7">
        <v>614</v>
      </c>
      <c r="AK1110" s="25">
        <v>898</v>
      </c>
    </row>
    <row r="1111" spans="36:37" x14ac:dyDescent="0.2">
      <c r="AJ1111" s="6" t="s">
        <v>418</v>
      </c>
      <c r="AK1111" s="25">
        <v>363</v>
      </c>
    </row>
    <row r="1112" spans="36:37" x14ac:dyDescent="0.2">
      <c r="AJ1112" s="7">
        <v>364</v>
      </c>
      <c r="AK1112" s="25">
        <v>363</v>
      </c>
    </row>
    <row r="1113" spans="36:37" x14ac:dyDescent="0.2">
      <c r="AJ1113" s="6" t="s">
        <v>639</v>
      </c>
      <c r="AK1113" s="25">
        <v>1001</v>
      </c>
    </row>
    <row r="1114" spans="36:37" x14ac:dyDescent="0.2">
      <c r="AJ1114" s="7">
        <v>573</v>
      </c>
      <c r="AK1114" s="25">
        <v>1001</v>
      </c>
    </row>
    <row r="1115" spans="36:37" x14ac:dyDescent="0.2">
      <c r="AJ1115" s="6" t="s">
        <v>472</v>
      </c>
      <c r="AK1115" s="25">
        <v>405</v>
      </c>
    </row>
    <row r="1116" spans="36:37" x14ac:dyDescent="0.2">
      <c r="AJ1116" s="7">
        <v>415</v>
      </c>
      <c r="AK1116" s="25">
        <v>405</v>
      </c>
    </row>
    <row r="1117" spans="36:37" x14ac:dyDescent="0.2">
      <c r="AJ1117" s="6" t="s">
        <v>891</v>
      </c>
      <c r="AK1117" s="25">
        <v>541</v>
      </c>
    </row>
    <row r="1118" spans="36:37" x14ac:dyDescent="0.2">
      <c r="AJ1118" s="7">
        <v>817</v>
      </c>
      <c r="AK1118" s="25">
        <v>541</v>
      </c>
    </row>
    <row r="1119" spans="36:37" x14ac:dyDescent="0.2">
      <c r="AJ1119" s="6" t="s">
        <v>896</v>
      </c>
      <c r="AK1119" s="25">
        <v>405</v>
      </c>
    </row>
    <row r="1120" spans="36:37" x14ac:dyDescent="0.2">
      <c r="AJ1120" s="7">
        <v>822</v>
      </c>
      <c r="AK1120" s="25">
        <v>405</v>
      </c>
    </row>
    <row r="1121" spans="36:37" x14ac:dyDescent="0.2">
      <c r="AJ1121" s="6" t="s">
        <v>402</v>
      </c>
      <c r="AK1121" s="25">
        <v>304</v>
      </c>
    </row>
    <row r="1122" spans="36:37" x14ac:dyDescent="0.2">
      <c r="AJ1122" s="7">
        <v>348</v>
      </c>
      <c r="AK1122" s="25">
        <v>304</v>
      </c>
    </row>
    <row r="1123" spans="36:37" x14ac:dyDescent="0.2">
      <c r="AJ1123" s="6" t="s">
        <v>63</v>
      </c>
      <c r="AK1123" s="25">
        <v>51</v>
      </c>
    </row>
    <row r="1124" spans="36:37" x14ac:dyDescent="0.2">
      <c r="AJ1124" s="7">
        <v>43</v>
      </c>
      <c r="AK1124" s="25">
        <v>51</v>
      </c>
    </row>
    <row r="1125" spans="36:37" x14ac:dyDescent="0.2">
      <c r="AJ1125" s="6" t="s">
        <v>123</v>
      </c>
      <c r="AK1125" s="25">
        <v>167</v>
      </c>
    </row>
    <row r="1126" spans="36:37" x14ac:dyDescent="0.2">
      <c r="AJ1126" s="7">
        <v>92</v>
      </c>
      <c r="AK1126" s="25">
        <v>167</v>
      </c>
    </row>
    <row r="1127" spans="36:37" x14ac:dyDescent="0.2">
      <c r="AJ1127" s="6" t="s">
        <v>783</v>
      </c>
      <c r="AK1127" s="25">
        <v>275</v>
      </c>
    </row>
    <row r="1128" spans="36:37" x14ac:dyDescent="0.2">
      <c r="AJ1128" s="7">
        <v>716</v>
      </c>
      <c r="AK1128" s="25">
        <v>275</v>
      </c>
    </row>
    <row r="1129" spans="36:37" x14ac:dyDescent="0.2">
      <c r="AJ1129" s="6" t="s">
        <v>239</v>
      </c>
      <c r="AK1129" s="25">
        <v>174</v>
      </c>
    </row>
    <row r="1130" spans="36:37" x14ac:dyDescent="0.2">
      <c r="AJ1130" s="7">
        <v>199</v>
      </c>
      <c r="AK1130" s="25">
        <v>174</v>
      </c>
    </row>
    <row r="1131" spans="36:37" x14ac:dyDescent="0.2">
      <c r="AJ1131" s="6" t="s">
        <v>1011</v>
      </c>
      <c r="AK1131" s="25">
        <v>1001</v>
      </c>
    </row>
    <row r="1132" spans="36:37" x14ac:dyDescent="0.2">
      <c r="AJ1132" s="7">
        <v>933</v>
      </c>
      <c r="AK1132" s="25">
        <v>1001</v>
      </c>
    </row>
    <row r="1133" spans="36:37" x14ac:dyDescent="0.2">
      <c r="AJ1133" s="6" t="s">
        <v>114</v>
      </c>
      <c r="AK1133" s="25">
        <v>76</v>
      </c>
    </row>
    <row r="1134" spans="36:37" x14ac:dyDescent="0.2">
      <c r="AJ1134" s="7">
        <v>84</v>
      </c>
      <c r="AK1134" s="25">
        <v>76</v>
      </c>
    </row>
    <row r="1135" spans="36:37" x14ac:dyDescent="0.2">
      <c r="AJ1135" s="6" t="s">
        <v>221</v>
      </c>
      <c r="AK1135" s="25">
        <v>187</v>
      </c>
    </row>
    <row r="1136" spans="36:37" x14ac:dyDescent="0.2">
      <c r="AJ1136" s="7">
        <v>181</v>
      </c>
      <c r="AK1136" s="25">
        <v>187</v>
      </c>
    </row>
    <row r="1137" spans="36:37" x14ac:dyDescent="0.2">
      <c r="AJ1137" s="6" t="s">
        <v>571</v>
      </c>
      <c r="AK1137" s="25">
        <v>898</v>
      </c>
    </row>
    <row r="1138" spans="36:37" x14ac:dyDescent="0.2">
      <c r="AJ1138" s="7">
        <v>506</v>
      </c>
      <c r="AK1138" s="25">
        <v>898</v>
      </c>
    </row>
    <row r="1139" spans="36:37" x14ac:dyDescent="0.2">
      <c r="AJ1139" s="6" t="s">
        <v>858</v>
      </c>
      <c r="AK1139" s="25">
        <v>673</v>
      </c>
    </row>
    <row r="1140" spans="36:37" x14ac:dyDescent="0.2">
      <c r="AJ1140" s="7">
        <v>786</v>
      </c>
      <c r="AK1140" s="25">
        <v>673</v>
      </c>
    </row>
    <row r="1141" spans="36:37" x14ac:dyDescent="0.2">
      <c r="AJ1141" s="6" t="s">
        <v>881</v>
      </c>
      <c r="AK1141" s="25">
        <v>673</v>
      </c>
    </row>
    <row r="1142" spans="36:37" x14ac:dyDescent="0.2">
      <c r="AJ1142" s="7">
        <v>807</v>
      </c>
      <c r="AK1142" s="25">
        <v>673</v>
      </c>
    </row>
    <row r="1143" spans="36:37" x14ac:dyDescent="0.2">
      <c r="AJ1143" s="6" t="s">
        <v>676</v>
      </c>
      <c r="AK1143" s="25">
        <v>405</v>
      </c>
    </row>
    <row r="1144" spans="36:37" x14ac:dyDescent="0.2">
      <c r="AJ1144" s="7">
        <v>610</v>
      </c>
      <c r="AK1144" s="25">
        <v>405</v>
      </c>
    </row>
    <row r="1145" spans="36:37" x14ac:dyDescent="0.2">
      <c r="AJ1145" s="6" t="s">
        <v>666</v>
      </c>
      <c r="AK1145" s="25">
        <v>541</v>
      </c>
    </row>
    <row r="1146" spans="36:37" x14ac:dyDescent="0.2">
      <c r="AJ1146" s="7">
        <v>600</v>
      </c>
      <c r="AK1146" s="25">
        <v>541</v>
      </c>
    </row>
    <row r="1147" spans="36:37" x14ac:dyDescent="0.2">
      <c r="AJ1147" s="6" t="s">
        <v>76</v>
      </c>
      <c r="AK1147" s="25">
        <v>174</v>
      </c>
    </row>
    <row r="1148" spans="36:37" x14ac:dyDescent="0.2">
      <c r="AJ1148" s="7">
        <v>53</v>
      </c>
      <c r="AK1148" s="25">
        <v>174</v>
      </c>
    </row>
    <row r="1149" spans="36:37" x14ac:dyDescent="0.2">
      <c r="AJ1149" s="6" t="s">
        <v>1009</v>
      </c>
      <c r="AK1149" s="25">
        <v>1001</v>
      </c>
    </row>
    <row r="1150" spans="36:37" x14ac:dyDescent="0.2">
      <c r="AJ1150" s="7">
        <v>931</v>
      </c>
      <c r="AK1150" s="25">
        <v>1001</v>
      </c>
    </row>
    <row r="1151" spans="36:37" x14ac:dyDescent="0.2">
      <c r="AJ1151" s="6" t="s">
        <v>742</v>
      </c>
      <c r="AK1151" s="25">
        <v>541</v>
      </c>
    </row>
    <row r="1152" spans="36:37" x14ac:dyDescent="0.2">
      <c r="AJ1152" s="7">
        <v>675</v>
      </c>
      <c r="AK1152" s="25">
        <v>541</v>
      </c>
    </row>
    <row r="1153" spans="36:37" x14ac:dyDescent="0.2">
      <c r="AJ1153" s="6" t="s">
        <v>296</v>
      </c>
      <c r="AK1153" s="25">
        <v>187</v>
      </c>
    </row>
    <row r="1154" spans="36:37" x14ac:dyDescent="0.2">
      <c r="AJ1154" s="7">
        <v>251</v>
      </c>
      <c r="AK1154" s="25">
        <v>187</v>
      </c>
    </row>
    <row r="1155" spans="36:37" x14ac:dyDescent="0.2">
      <c r="AJ1155" s="6" t="s">
        <v>189</v>
      </c>
      <c r="AK1155" s="25">
        <v>108</v>
      </c>
    </row>
    <row r="1156" spans="36:37" x14ac:dyDescent="0.2">
      <c r="AJ1156" s="7">
        <v>151</v>
      </c>
      <c r="AK1156" s="25">
        <v>108</v>
      </c>
    </row>
    <row r="1157" spans="36:37" x14ac:dyDescent="0.2">
      <c r="AJ1157" s="6" t="s">
        <v>563</v>
      </c>
      <c r="AK1157" s="25">
        <v>541</v>
      </c>
    </row>
    <row r="1158" spans="36:37" x14ac:dyDescent="0.2">
      <c r="AJ1158" s="7">
        <v>498</v>
      </c>
      <c r="AK1158" s="25">
        <v>541</v>
      </c>
    </row>
    <row r="1159" spans="36:37" x14ac:dyDescent="0.2">
      <c r="AJ1159" s="6" t="s">
        <v>826</v>
      </c>
      <c r="AK1159" s="25">
        <v>541</v>
      </c>
    </row>
    <row r="1160" spans="36:37" x14ac:dyDescent="0.2">
      <c r="AJ1160" s="7">
        <v>757</v>
      </c>
      <c r="AK1160" s="25">
        <v>541</v>
      </c>
    </row>
    <row r="1161" spans="36:37" x14ac:dyDescent="0.2">
      <c r="AJ1161" s="6" t="s">
        <v>593</v>
      </c>
      <c r="AK1161" s="25">
        <v>460</v>
      </c>
    </row>
    <row r="1162" spans="36:37" x14ac:dyDescent="0.2">
      <c r="AJ1162" s="7">
        <v>527</v>
      </c>
      <c r="AK1162" s="25">
        <v>460</v>
      </c>
    </row>
    <row r="1163" spans="36:37" x14ac:dyDescent="0.2">
      <c r="AJ1163" s="6" t="s">
        <v>445</v>
      </c>
      <c r="AK1163" s="25">
        <v>363</v>
      </c>
    </row>
    <row r="1164" spans="36:37" x14ac:dyDescent="0.2">
      <c r="AJ1164" s="7">
        <v>389</v>
      </c>
      <c r="AK1164" s="25">
        <v>363</v>
      </c>
    </row>
    <row r="1165" spans="36:37" x14ac:dyDescent="0.2">
      <c r="AJ1165" s="6" t="s">
        <v>877</v>
      </c>
      <c r="AK1165" s="25">
        <v>1001</v>
      </c>
    </row>
    <row r="1166" spans="36:37" x14ac:dyDescent="0.2">
      <c r="AJ1166" s="7">
        <v>803</v>
      </c>
      <c r="AK1166" s="25">
        <v>1001</v>
      </c>
    </row>
    <row r="1167" spans="36:37" x14ac:dyDescent="0.2">
      <c r="AJ1167" s="6" t="s">
        <v>60</v>
      </c>
      <c r="AK1167" s="25">
        <v>35</v>
      </c>
    </row>
    <row r="1168" spans="36:37" x14ac:dyDescent="0.2">
      <c r="AJ1168" s="7">
        <v>40</v>
      </c>
      <c r="AK1168" s="25">
        <v>35</v>
      </c>
    </row>
    <row r="1169" spans="36:37" x14ac:dyDescent="0.2">
      <c r="AJ1169" s="6" t="s">
        <v>764</v>
      </c>
      <c r="AK1169" s="25">
        <v>1001</v>
      </c>
    </row>
    <row r="1170" spans="36:37" x14ac:dyDescent="0.2">
      <c r="AJ1170" s="7">
        <v>697</v>
      </c>
      <c r="AK1170" s="25">
        <v>1001</v>
      </c>
    </row>
    <row r="1171" spans="36:37" x14ac:dyDescent="0.2">
      <c r="AJ1171" s="6" t="s">
        <v>583</v>
      </c>
      <c r="AK1171" s="25">
        <v>363</v>
      </c>
    </row>
    <row r="1172" spans="36:37" x14ac:dyDescent="0.2">
      <c r="AJ1172" s="7">
        <v>518</v>
      </c>
      <c r="AK1172" s="25">
        <v>363</v>
      </c>
    </row>
    <row r="1173" spans="36:37" x14ac:dyDescent="0.2">
      <c r="AJ1173" s="6" t="s">
        <v>661</v>
      </c>
      <c r="AK1173" s="25">
        <v>541</v>
      </c>
    </row>
    <row r="1174" spans="36:37" x14ac:dyDescent="0.2">
      <c r="AJ1174" s="7">
        <v>595</v>
      </c>
      <c r="AK1174" s="25">
        <v>541</v>
      </c>
    </row>
    <row r="1175" spans="36:37" x14ac:dyDescent="0.2">
      <c r="AJ1175" s="6" t="s">
        <v>310</v>
      </c>
      <c r="AK1175" s="25">
        <v>327</v>
      </c>
    </row>
    <row r="1176" spans="36:37" x14ac:dyDescent="0.2">
      <c r="AJ1176" s="7">
        <v>263</v>
      </c>
      <c r="AK1176" s="25">
        <v>327</v>
      </c>
    </row>
    <row r="1177" spans="36:37" x14ac:dyDescent="0.2">
      <c r="AJ1177" s="6" t="s">
        <v>780</v>
      </c>
      <c r="AK1177" s="25">
        <v>898</v>
      </c>
    </row>
    <row r="1178" spans="36:37" x14ac:dyDescent="0.2">
      <c r="AJ1178" s="7">
        <v>713</v>
      </c>
      <c r="AK1178" s="25">
        <v>898</v>
      </c>
    </row>
    <row r="1179" spans="36:37" x14ac:dyDescent="0.2">
      <c r="AJ1179" s="6" t="s">
        <v>40</v>
      </c>
      <c r="AK1179" s="25">
        <v>34</v>
      </c>
    </row>
    <row r="1180" spans="36:37" x14ac:dyDescent="0.2">
      <c r="AJ1180" s="7">
        <v>23</v>
      </c>
      <c r="AK1180" s="25">
        <v>34</v>
      </c>
    </row>
    <row r="1181" spans="36:37" x14ac:dyDescent="0.2">
      <c r="AJ1181" s="6" t="s">
        <v>609</v>
      </c>
      <c r="AK1181" s="25">
        <v>898</v>
      </c>
    </row>
    <row r="1182" spans="36:37" x14ac:dyDescent="0.2">
      <c r="AJ1182" s="7">
        <v>543</v>
      </c>
      <c r="AK1182" s="25">
        <v>898</v>
      </c>
    </row>
    <row r="1183" spans="36:37" x14ac:dyDescent="0.2">
      <c r="AJ1183" s="6" t="s">
        <v>759</v>
      </c>
      <c r="AK1183" s="25">
        <v>363</v>
      </c>
    </row>
    <row r="1184" spans="36:37" x14ac:dyDescent="0.2">
      <c r="AJ1184" s="7">
        <v>692</v>
      </c>
      <c r="AK1184" s="25">
        <v>363</v>
      </c>
    </row>
    <row r="1185" spans="36:37" x14ac:dyDescent="0.2">
      <c r="AJ1185" s="6" t="s">
        <v>711</v>
      </c>
      <c r="AK1185" s="25">
        <v>1001</v>
      </c>
    </row>
    <row r="1186" spans="36:37" x14ac:dyDescent="0.2">
      <c r="AJ1186" s="7">
        <v>645</v>
      </c>
      <c r="AK1186" s="25">
        <v>1001</v>
      </c>
    </row>
    <row r="1187" spans="36:37" x14ac:dyDescent="0.2">
      <c r="AJ1187" s="6" t="s">
        <v>795</v>
      </c>
      <c r="AK1187" s="25">
        <v>327</v>
      </c>
    </row>
    <row r="1188" spans="36:37" x14ac:dyDescent="0.2">
      <c r="AJ1188" s="7">
        <v>727</v>
      </c>
      <c r="AK1188" s="25">
        <v>327</v>
      </c>
    </row>
    <row r="1189" spans="36:37" x14ac:dyDescent="0.2">
      <c r="AJ1189" s="6" t="s">
        <v>960</v>
      </c>
      <c r="AK1189" s="25">
        <v>541</v>
      </c>
    </row>
    <row r="1190" spans="36:37" x14ac:dyDescent="0.2">
      <c r="AJ1190" s="7">
        <v>885</v>
      </c>
      <c r="AK1190" s="25">
        <v>541</v>
      </c>
    </row>
    <row r="1191" spans="36:37" x14ac:dyDescent="0.2">
      <c r="AJ1191" s="6" t="s">
        <v>774</v>
      </c>
      <c r="AK1191" s="25">
        <v>1001</v>
      </c>
    </row>
    <row r="1192" spans="36:37" x14ac:dyDescent="0.2">
      <c r="AJ1192" s="7">
        <v>707</v>
      </c>
      <c r="AK1192" s="25">
        <v>1001</v>
      </c>
    </row>
    <row r="1193" spans="36:37" x14ac:dyDescent="0.2">
      <c r="AJ1193" s="6" t="s">
        <v>398</v>
      </c>
      <c r="AK1193" s="25">
        <v>363</v>
      </c>
    </row>
    <row r="1194" spans="36:37" x14ac:dyDescent="0.2">
      <c r="AJ1194" s="7">
        <v>344</v>
      </c>
      <c r="AK1194" s="25">
        <v>363</v>
      </c>
    </row>
    <row r="1195" spans="36:37" x14ac:dyDescent="0.2">
      <c r="AJ1195" s="6" t="s">
        <v>873</v>
      </c>
      <c r="AK1195" s="25">
        <v>1001</v>
      </c>
    </row>
    <row r="1196" spans="36:37" x14ac:dyDescent="0.2">
      <c r="AJ1196" s="7">
        <v>800</v>
      </c>
      <c r="AK1196" s="25">
        <v>1001</v>
      </c>
    </row>
    <row r="1197" spans="36:37" x14ac:dyDescent="0.2">
      <c r="AJ1197" s="6" t="s">
        <v>1042</v>
      </c>
      <c r="AK1197" s="25">
        <v>1001</v>
      </c>
    </row>
    <row r="1198" spans="36:37" x14ac:dyDescent="0.2">
      <c r="AJ1198" s="7">
        <v>964</v>
      </c>
      <c r="AK1198" s="25">
        <v>1001</v>
      </c>
    </row>
    <row r="1199" spans="36:37" x14ac:dyDescent="0.2">
      <c r="AJ1199" s="6" t="s">
        <v>1000</v>
      </c>
      <c r="AK1199" s="25">
        <v>898</v>
      </c>
    </row>
    <row r="1200" spans="36:37" x14ac:dyDescent="0.2">
      <c r="AJ1200" s="7">
        <v>922</v>
      </c>
      <c r="AK1200" s="25">
        <v>898</v>
      </c>
    </row>
    <row r="1201" spans="36:37" x14ac:dyDescent="0.2">
      <c r="AJ1201" s="6" t="s">
        <v>947</v>
      </c>
      <c r="AK1201" s="25">
        <v>898</v>
      </c>
    </row>
    <row r="1202" spans="36:37" x14ac:dyDescent="0.2">
      <c r="AJ1202" s="7">
        <v>873</v>
      </c>
      <c r="AK1202" s="25">
        <v>898</v>
      </c>
    </row>
    <row r="1203" spans="36:37" x14ac:dyDescent="0.2">
      <c r="AJ1203" s="6" t="s">
        <v>205</v>
      </c>
      <c r="AK1203" s="25">
        <v>200</v>
      </c>
    </row>
    <row r="1204" spans="36:37" x14ac:dyDescent="0.2">
      <c r="AJ1204" s="7">
        <v>167</v>
      </c>
      <c r="AK1204" s="25">
        <v>200</v>
      </c>
    </row>
    <row r="1205" spans="36:37" x14ac:dyDescent="0.2">
      <c r="AJ1205" s="6" t="s">
        <v>1043</v>
      </c>
      <c r="AK1205" s="25">
        <v>1001</v>
      </c>
    </row>
    <row r="1206" spans="36:37" x14ac:dyDescent="0.2">
      <c r="AJ1206" s="7">
        <v>965</v>
      </c>
      <c r="AK1206" s="25">
        <v>1001</v>
      </c>
    </row>
    <row r="1207" spans="36:37" x14ac:dyDescent="0.2">
      <c r="AJ1207" s="6" t="s">
        <v>684</v>
      </c>
      <c r="AK1207" s="25">
        <v>673</v>
      </c>
    </row>
    <row r="1208" spans="36:37" x14ac:dyDescent="0.2">
      <c r="AJ1208" s="7">
        <v>618</v>
      </c>
      <c r="AK1208" s="25">
        <v>673</v>
      </c>
    </row>
    <row r="1209" spans="36:37" x14ac:dyDescent="0.2">
      <c r="AJ1209" s="6" t="s">
        <v>765</v>
      </c>
      <c r="AK1209" s="25">
        <v>898</v>
      </c>
    </row>
    <row r="1210" spans="36:37" x14ac:dyDescent="0.2">
      <c r="AJ1210" s="7">
        <v>698</v>
      </c>
      <c r="AK1210" s="25">
        <v>898</v>
      </c>
    </row>
    <row r="1211" spans="36:37" x14ac:dyDescent="0.2">
      <c r="AJ1211" s="6" t="s">
        <v>1032</v>
      </c>
      <c r="AK1211" s="25">
        <v>1001</v>
      </c>
    </row>
    <row r="1212" spans="36:37" x14ac:dyDescent="0.2">
      <c r="AJ1212" s="7">
        <v>954</v>
      </c>
      <c r="AK1212" s="25">
        <v>1001</v>
      </c>
    </row>
    <row r="1213" spans="36:37" x14ac:dyDescent="0.2">
      <c r="AJ1213" s="6" t="s">
        <v>228</v>
      </c>
      <c r="AK1213" s="25">
        <v>174</v>
      </c>
    </row>
    <row r="1214" spans="36:37" x14ac:dyDescent="0.2">
      <c r="AJ1214" s="7">
        <v>188</v>
      </c>
      <c r="AK1214" s="25">
        <v>174</v>
      </c>
    </row>
    <row r="1215" spans="36:37" x14ac:dyDescent="0.2">
      <c r="AJ1215" s="6" t="s">
        <v>42</v>
      </c>
      <c r="AK1215" s="25">
        <v>35</v>
      </c>
    </row>
    <row r="1216" spans="36:37" x14ac:dyDescent="0.2">
      <c r="AJ1216" s="7">
        <v>25</v>
      </c>
      <c r="AK1216" s="25">
        <v>35</v>
      </c>
    </row>
    <row r="1217" spans="36:37" x14ac:dyDescent="0.2">
      <c r="AJ1217" s="6" t="s">
        <v>1054</v>
      </c>
      <c r="AK1217" s="25">
        <v>898</v>
      </c>
    </row>
    <row r="1218" spans="36:37" x14ac:dyDescent="0.2">
      <c r="AJ1218" s="7">
        <v>976</v>
      </c>
      <c r="AK1218" s="25">
        <v>898</v>
      </c>
    </row>
    <row r="1219" spans="36:37" x14ac:dyDescent="0.2">
      <c r="AJ1219" s="6" t="s">
        <v>497</v>
      </c>
      <c r="AK1219" s="25">
        <v>673</v>
      </c>
    </row>
    <row r="1220" spans="36:37" x14ac:dyDescent="0.2">
      <c r="AJ1220" s="7">
        <v>439</v>
      </c>
      <c r="AK1220" s="25">
        <v>673</v>
      </c>
    </row>
    <row r="1221" spans="36:37" x14ac:dyDescent="0.2">
      <c r="AJ1221" s="6" t="s">
        <v>840</v>
      </c>
      <c r="AK1221" s="25">
        <v>541</v>
      </c>
    </row>
    <row r="1222" spans="36:37" x14ac:dyDescent="0.2">
      <c r="AJ1222" s="7">
        <v>770</v>
      </c>
      <c r="AK1222" s="25">
        <v>541</v>
      </c>
    </row>
    <row r="1223" spans="36:37" x14ac:dyDescent="0.2">
      <c r="AJ1223" s="6" t="s">
        <v>934</v>
      </c>
      <c r="AK1223" s="25">
        <v>541</v>
      </c>
    </row>
    <row r="1224" spans="36:37" x14ac:dyDescent="0.2">
      <c r="AJ1224" s="7">
        <v>860</v>
      </c>
      <c r="AK1224" s="25">
        <v>541</v>
      </c>
    </row>
    <row r="1225" spans="36:37" x14ac:dyDescent="0.2">
      <c r="AJ1225" s="6" t="s">
        <v>528</v>
      </c>
      <c r="AK1225" s="25">
        <v>898</v>
      </c>
    </row>
    <row r="1226" spans="36:37" x14ac:dyDescent="0.2">
      <c r="AJ1226" s="7">
        <v>467</v>
      </c>
      <c r="AK1226" s="25">
        <v>898</v>
      </c>
    </row>
    <row r="1227" spans="36:37" x14ac:dyDescent="0.2">
      <c r="AJ1227" s="6" t="s">
        <v>136</v>
      </c>
      <c r="AK1227" s="25">
        <v>85</v>
      </c>
    </row>
    <row r="1228" spans="36:37" x14ac:dyDescent="0.2">
      <c r="AJ1228" s="7">
        <v>103</v>
      </c>
      <c r="AK1228" s="25">
        <v>85</v>
      </c>
    </row>
    <row r="1229" spans="36:37" x14ac:dyDescent="0.2">
      <c r="AJ1229" s="6" t="s">
        <v>900</v>
      </c>
      <c r="AK1229" s="25">
        <v>1001</v>
      </c>
    </row>
    <row r="1230" spans="36:37" x14ac:dyDescent="0.2">
      <c r="AJ1230" s="7">
        <v>826</v>
      </c>
      <c r="AK1230" s="25">
        <v>1001</v>
      </c>
    </row>
    <row r="1231" spans="36:37" x14ac:dyDescent="0.2">
      <c r="AJ1231" s="6" t="s">
        <v>611</v>
      </c>
      <c r="AK1231" s="25">
        <v>541</v>
      </c>
    </row>
    <row r="1232" spans="36:37" x14ac:dyDescent="0.2">
      <c r="AJ1232" s="7">
        <v>545</v>
      </c>
      <c r="AK1232" s="25">
        <v>541</v>
      </c>
    </row>
    <row r="1233" spans="36:37" x14ac:dyDescent="0.2">
      <c r="AJ1233" s="6" t="s">
        <v>823</v>
      </c>
      <c r="AK1233" s="25">
        <v>1001</v>
      </c>
    </row>
    <row r="1234" spans="36:37" x14ac:dyDescent="0.2">
      <c r="AJ1234" s="7">
        <v>754</v>
      </c>
      <c r="AK1234" s="25">
        <v>1001</v>
      </c>
    </row>
    <row r="1235" spans="36:37" x14ac:dyDescent="0.2">
      <c r="AJ1235" s="6" t="s">
        <v>835</v>
      </c>
      <c r="AK1235" s="25">
        <v>898</v>
      </c>
    </row>
    <row r="1236" spans="36:37" x14ac:dyDescent="0.2">
      <c r="AJ1236" s="7">
        <v>766</v>
      </c>
      <c r="AK1236" s="25">
        <v>898</v>
      </c>
    </row>
    <row r="1237" spans="36:37" x14ac:dyDescent="0.2">
      <c r="AJ1237" s="6" t="s">
        <v>831</v>
      </c>
      <c r="AK1237" s="25">
        <v>673</v>
      </c>
    </row>
    <row r="1238" spans="36:37" x14ac:dyDescent="0.2">
      <c r="AJ1238" s="7">
        <v>762</v>
      </c>
      <c r="AK1238" s="25">
        <v>673</v>
      </c>
    </row>
    <row r="1239" spans="36:37" x14ac:dyDescent="0.2">
      <c r="AJ1239" s="6" t="s">
        <v>434</v>
      </c>
      <c r="AK1239" s="25">
        <v>460</v>
      </c>
    </row>
    <row r="1240" spans="36:37" x14ac:dyDescent="0.2">
      <c r="AJ1240" s="7">
        <v>378</v>
      </c>
      <c r="AK1240" s="25">
        <v>460</v>
      </c>
    </row>
    <row r="1241" spans="36:37" x14ac:dyDescent="0.2">
      <c r="AJ1241" s="6" t="s">
        <v>693</v>
      </c>
      <c r="AK1241" s="25">
        <v>460</v>
      </c>
    </row>
    <row r="1242" spans="36:37" x14ac:dyDescent="0.2">
      <c r="AJ1242" s="7">
        <v>627</v>
      </c>
      <c r="AK1242" s="25">
        <v>460</v>
      </c>
    </row>
    <row r="1243" spans="36:37" x14ac:dyDescent="0.2">
      <c r="AJ1243" s="6" t="s">
        <v>868</v>
      </c>
      <c r="AK1243" s="25">
        <v>1001</v>
      </c>
    </row>
    <row r="1244" spans="36:37" x14ac:dyDescent="0.2">
      <c r="AJ1244" s="7">
        <v>796</v>
      </c>
      <c r="AK1244" s="25">
        <v>1001</v>
      </c>
    </row>
    <row r="1245" spans="36:37" x14ac:dyDescent="0.2">
      <c r="AJ1245" s="6" t="s">
        <v>144</v>
      </c>
      <c r="AK1245" s="25">
        <v>151</v>
      </c>
    </row>
    <row r="1246" spans="36:37" x14ac:dyDescent="0.2">
      <c r="AJ1246" s="7">
        <v>109</v>
      </c>
      <c r="AK1246" s="25">
        <v>151</v>
      </c>
    </row>
    <row r="1247" spans="36:37" x14ac:dyDescent="0.2">
      <c r="AJ1247" s="6" t="s">
        <v>1045</v>
      </c>
      <c r="AK1247" s="25">
        <v>898</v>
      </c>
    </row>
    <row r="1248" spans="36:37" x14ac:dyDescent="0.2">
      <c r="AJ1248" s="7">
        <v>967</v>
      </c>
      <c r="AK1248" s="25">
        <v>898</v>
      </c>
    </row>
    <row r="1249" spans="36:37" x14ac:dyDescent="0.2">
      <c r="AJ1249" s="6" t="s">
        <v>920</v>
      </c>
      <c r="AK1249" s="25">
        <v>673</v>
      </c>
    </row>
    <row r="1250" spans="36:37" x14ac:dyDescent="0.2">
      <c r="AJ1250" s="7">
        <v>846</v>
      </c>
      <c r="AK1250" s="25">
        <v>673</v>
      </c>
    </row>
    <row r="1251" spans="36:37" x14ac:dyDescent="0.2">
      <c r="AJ1251" s="6" t="s">
        <v>659</v>
      </c>
      <c r="AK1251" s="25">
        <v>541</v>
      </c>
    </row>
    <row r="1252" spans="36:37" x14ac:dyDescent="0.2">
      <c r="AJ1252" s="7">
        <v>593</v>
      </c>
      <c r="AK1252" s="25">
        <v>541</v>
      </c>
    </row>
    <row r="1253" spans="36:37" x14ac:dyDescent="0.2">
      <c r="AJ1253" s="6" t="s">
        <v>801</v>
      </c>
      <c r="AK1253" s="25">
        <v>460</v>
      </c>
    </row>
    <row r="1254" spans="36:37" x14ac:dyDescent="0.2">
      <c r="AJ1254" s="7">
        <v>733</v>
      </c>
      <c r="AK1254" s="25">
        <v>460</v>
      </c>
    </row>
    <row r="1255" spans="36:37" x14ac:dyDescent="0.2">
      <c r="AJ1255" s="6" t="s">
        <v>596</v>
      </c>
      <c r="AK1255" s="25">
        <v>460</v>
      </c>
    </row>
    <row r="1256" spans="36:37" x14ac:dyDescent="0.2">
      <c r="AJ1256" s="7">
        <v>530</v>
      </c>
      <c r="AK1256" s="25">
        <v>460</v>
      </c>
    </row>
    <row r="1257" spans="36:37" x14ac:dyDescent="0.2">
      <c r="AJ1257" s="6" t="s">
        <v>625</v>
      </c>
      <c r="AK1257" s="25">
        <v>673</v>
      </c>
    </row>
    <row r="1258" spans="36:37" x14ac:dyDescent="0.2">
      <c r="AJ1258" s="7">
        <v>559</v>
      </c>
      <c r="AK1258" s="25">
        <v>673</v>
      </c>
    </row>
    <row r="1259" spans="36:37" x14ac:dyDescent="0.2">
      <c r="AJ1259" s="6" t="s">
        <v>586</v>
      </c>
      <c r="AK1259" s="25">
        <v>541</v>
      </c>
    </row>
    <row r="1260" spans="36:37" x14ac:dyDescent="0.2">
      <c r="AJ1260" s="7">
        <v>521</v>
      </c>
      <c r="AK1260" s="25">
        <v>541</v>
      </c>
    </row>
    <row r="1261" spans="36:37" x14ac:dyDescent="0.2">
      <c r="AJ1261" s="6" t="s">
        <v>485</v>
      </c>
      <c r="AK1261" s="25">
        <v>673</v>
      </c>
    </row>
    <row r="1262" spans="36:37" x14ac:dyDescent="0.2">
      <c r="AJ1262" s="7">
        <v>427</v>
      </c>
      <c r="AK1262" s="25">
        <v>673</v>
      </c>
    </row>
    <row r="1263" spans="36:37" x14ac:dyDescent="0.2">
      <c r="AJ1263" s="6" t="s">
        <v>345</v>
      </c>
      <c r="AK1263" s="25">
        <v>541</v>
      </c>
    </row>
    <row r="1264" spans="36:37" x14ac:dyDescent="0.2">
      <c r="AJ1264" s="7">
        <v>297</v>
      </c>
      <c r="AK1264" s="25">
        <v>541</v>
      </c>
    </row>
    <row r="1265" spans="36:37" x14ac:dyDescent="0.2">
      <c r="AJ1265" s="6" t="s">
        <v>566</v>
      </c>
      <c r="AK1265" s="25">
        <v>673</v>
      </c>
    </row>
    <row r="1266" spans="36:37" x14ac:dyDescent="0.2">
      <c r="AJ1266" s="7">
        <v>501</v>
      </c>
      <c r="AK1266" s="25">
        <v>673</v>
      </c>
    </row>
    <row r="1267" spans="36:37" x14ac:dyDescent="0.2">
      <c r="AJ1267" s="6" t="s">
        <v>303</v>
      </c>
      <c r="AK1267" s="25">
        <v>405</v>
      </c>
    </row>
    <row r="1268" spans="36:37" x14ac:dyDescent="0.2">
      <c r="AJ1268" s="7">
        <v>258</v>
      </c>
      <c r="AK1268" s="25">
        <v>405</v>
      </c>
    </row>
    <row r="1269" spans="36:37" x14ac:dyDescent="0.2">
      <c r="AJ1269" s="6" t="s">
        <v>353</v>
      </c>
      <c r="AK1269" s="25">
        <v>275</v>
      </c>
    </row>
    <row r="1270" spans="36:37" x14ac:dyDescent="0.2">
      <c r="AJ1270" s="7">
        <v>305</v>
      </c>
      <c r="AK1270" s="25">
        <v>275</v>
      </c>
    </row>
    <row r="1271" spans="36:37" x14ac:dyDescent="0.2">
      <c r="AJ1271" s="6" t="s">
        <v>933</v>
      </c>
      <c r="AK1271" s="25">
        <v>898</v>
      </c>
    </row>
    <row r="1272" spans="36:37" x14ac:dyDescent="0.2">
      <c r="AJ1272" s="7">
        <v>859</v>
      </c>
      <c r="AK1272" s="25">
        <v>898</v>
      </c>
    </row>
    <row r="1273" spans="36:37" x14ac:dyDescent="0.2">
      <c r="AJ1273" s="6" t="s">
        <v>213</v>
      </c>
      <c r="AK1273" s="25">
        <v>121</v>
      </c>
    </row>
    <row r="1274" spans="36:37" x14ac:dyDescent="0.2">
      <c r="AJ1274" s="7">
        <v>173</v>
      </c>
      <c r="AK1274" s="25">
        <v>121</v>
      </c>
    </row>
    <row r="1275" spans="36:37" x14ac:dyDescent="0.2">
      <c r="AJ1275" s="6" t="s">
        <v>388</v>
      </c>
      <c r="AK1275" s="25">
        <v>405</v>
      </c>
    </row>
    <row r="1276" spans="36:37" x14ac:dyDescent="0.2">
      <c r="AJ1276" s="7">
        <v>337</v>
      </c>
      <c r="AK1276" s="25">
        <v>405</v>
      </c>
    </row>
    <row r="1277" spans="36:37" x14ac:dyDescent="0.2">
      <c r="AJ1277" s="6" t="s">
        <v>653</v>
      </c>
      <c r="AK1277" s="25">
        <v>541</v>
      </c>
    </row>
    <row r="1278" spans="36:37" x14ac:dyDescent="0.2">
      <c r="AJ1278" s="7">
        <v>587</v>
      </c>
      <c r="AK1278" s="25">
        <v>541</v>
      </c>
    </row>
    <row r="1279" spans="36:37" x14ac:dyDescent="0.2">
      <c r="AJ1279" s="6" t="s">
        <v>1019</v>
      </c>
      <c r="AK1279" s="25">
        <v>1001</v>
      </c>
    </row>
    <row r="1280" spans="36:37" x14ac:dyDescent="0.2">
      <c r="AJ1280" s="7">
        <v>941</v>
      </c>
      <c r="AK1280" s="25">
        <v>1001</v>
      </c>
    </row>
    <row r="1281" spans="36:37" x14ac:dyDescent="0.2">
      <c r="AJ1281" s="6" t="s">
        <v>702</v>
      </c>
      <c r="AK1281" s="25">
        <v>673</v>
      </c>
    </row>
    <row r="1282" spans="36:37" x14ac:dyDescent="0.2">
      <c r="AJ1282" s="7">
        <v>636</v>
      </c>
      <c r="AK1282" s="25">
        <v>673</v>
      </c>
    </row>
    <row r="1283" spans="36:37" x14ac:dyDescent="0.2">
      <c r="AJ1283" s="6" t="s">
        <v>240</v>
      </c>
      <c r="AK1283" s="25">
        <v>163</v>
      </c>
    </row>
    <row r="1284" spans="36:37" x14ac:dyDescent="0.2">
      <c r="AJ1284" s="7">
        <v>200</v>
      </c>
      <c r="AK1284" s="25">
        <v>163</v>
      </c>
    </row>
    <row r="1285" spans="36:37" x14ac:dyDescent="0.2">
      <c r="AJ1285" s="6" t="s">
        <v>788</v>
      </c>
      <c r="AK1285" s="25">
        <v>898</v>
      </c>
    </row>
    <row r="1286" spans="36:37" x14ac:dyDescent="0.2">
      <c r="AJ1286" s="7">
        <v>721</v>
      </c>
      <c r="AK1286" s="25">
        <v>898</v>
      </c>
    </row>
    <row r="1287" spans="36:37" x14ac:dyDescent="0.2">
      <c r="AJ1287" s="6" t="s">
        <v>813</v>
      </c>
      <c r="AK1287" s="25">
        <v>898</v>
      </c>
    </row>
    <row r="1288" spans="36:37" x14ac:dyDescent="0.2">
      <c r="AJ1288" s="7">
        <v>745</v>
      </c>
      <c r="AK1288" s="25">
        <v>898</v>
      </c>
    </row>
    <row r="1289" spans="36:37" x14ac:dyDescent="0.2">
      <c r="AJ1289" s="6" t="s">
        <v>643</v>
      </c>
      <c r="AK1289" s="25">
        <v>1001</v>
      </c>
    </row>
    <row r="1290" spans="36:37" x14ac:dyDescent="0.2">
      <c r="AJ1290" s="7">
        <v>577</v>
      </c>
      <c r="AK1290" s="25">
        <v>1001</v>
      </c>
    </row>
    <row r="1291" spans="36:37" x14ac:dyDescent="0.2">
      <c r="AJ1291" s="6" t="s">
        <v>615</v>
      </c>
      <c r="AK1291" s="25">
        <v>673</v>
      </c>
    </row>
    <row r="1292" spans="36:37" x14ac:dyDescent="0.2">
      <c r="AJ1292" s="7">
        <v>549</v>
      </c>
      <c r="AK1292" s="25">
        <v>673</v>
      </c>
    </row>
    <row r="1293" spans="36:37" x14ac:dyDescent="0.2">
      <c r="AJ1293" s="6" t="s">
        <v>849</v>
      </c>
      <c r="AK1293" s="25">
        <v>898</v>
      </c>
    </row>
    <row r="1294" spans="36:37" x14ac:dyDescent="0.2">
      <c r="AJ1294" s="7">
        <v>778</v>
      </c>
      <c r="AK1294" s="25">
        <v>898</v>
      </c>
    </row>
    <row r="1295" spans="36:37" x14ac:dyDescent="0.2">
      <c r="AJ1295" s="6" t="s">
        <v>150</v>
      </c>
      <c r="AK1295" s="25">
        <v>222</v>
      </c>
    </row>
    <row r="1296" spans="36:37" x14ac:dyDescent="0.2">
      <c r="AJ1296" s="7">
        <v>113</v>
      </c>
      <c r="AK1296" s="25">
        <v>222</v>
      </c>
    </row>
    <row r="1297" spans="36:37" x14ac:dyDescent="0.2">
      <c r="AJ1297" s="6" t="s">
        <v>942</v>
      </c>
      <c r="AK1297" s="25">
        <v>673</v>
      </c>
    </row>
    <row r="1298" spans="36:37" x14ac:dyDescent="0.2">
      <c r="AJ1298" s="7">
        <v>868</v>
      </c>
      <c r="AK1298" s="25">
        <v>673</v>
      </c>
    </row>
    <row r="1299" spans="36:37" x14ac:dyDescent="0.2">
      <c r="AJ1299" s="6" t="s">
        <v>695</v>
      </c>
      <c r="AK1299" s="25">
        <v>460</v>
      </c>
    </row>
    <row r="1300" spans="36:37" x14ac:dyDescent="0.2">
      <c r="AJ1300" s="7">
        <v>629</v>
      </c>
      <c r="AK1300" s="25">
        <v>460</v>
      </c>
    </row>
    <row r="1301" spans="36:37" x14ac:dyDescent="0.2">
      <c r="AJ1301" s="6" t="s">
        <v>944</v>
      </c>
      <c r="AK1301" s="25">
        <v>1001</v>
      </c>
    </row>
    <row r="1302" spans="36:37" x14ac:dyDescent="0.2">
      <c r="AJ1302" s="7">
        <v>870</v>
      </c>
      <c r="AK1302" s="25">
        <v>1001</v>
      </c>
    </row>
    <row r="1303" spans="36:37" x14ac:dyDescent="0.2">
      <c r="AJ1303" s="6" t="s">
        <v>163</v>
      </c>
      <c r="AK1303" s="25">
        <v>304</v>
      </c>
    </row>
    <row r="1304" spans="36:37" x14ac:dyDescent="0.2">
      <c r="AJ1304" s="7">
        <v>126</v>
      </c>
      <c r="AK1304" s="25">
        <v>304</v>
      </c>
    </row>
    <row r="1305" spans="36:37" x14ac:dyDescent="0.2">
      <c r="AJ1305" s="6" t="s">
        <v>622</v>
      </c>
      <c r="AK1305" s="25">
        <v>673</v>
      </c>
    </row>
    <row r="1306" spans="36:37" x14ac:dyDescent="0.2">
      <c r="AJ1306" s="7">
        <v>556</v>
      </c>
      <c r="AK1306" s="25">
        <v>673</v>
      </c>
    </row>
    <row r="1307" spans="36:37" x14ac:dyDescent="0.2">
      <c r="AJ1307" s="6" t="s">
        <v>644</v>
      </c>
      <c r="AK1307" s="25">
        <v>460</v>
      </c>
    </row>
    <row r="1308" spans="36:37" x14ac:dyDescent="0.2">
      <c r="AJ1308" s="7">
        <v>578</v>
      </c>
      <c r="AK1308" s="25">
        <v>460</v>
      </c>
    </row>
    <row r="1309" spans="36:37" x14ac:dyDescent="0.2">
      <c r="AJ1309" s="6" t="s">
        <v>161</v>
      </c>
      <c r="AK1309" s="25">
        <v>101</v>
      </c>
    </row>
    <row r="1310" spans="36:37" x14ac:dyDescent="0.2">
      <c r="AJ1310" s="7">
        <v>124</v>
      </c>
      <c r="AK1310" s="25">
        <v>101</v>
      </c>
    </row>
    <row r="1311" spans="36:37" x14ac:dyDescent="0.2">
      <c r="AJ1311" s="6" t="s">
        <v>1055</v>
      </c>
      <c r="AK1311" s="25">
        <v>1001</v>
      </c>
    </row>
    <row r="1312" spans="36:37" x14ac:dyDescent="0.2">
      <c r="AJ1312" s="7">
        <v>977</v>
      </c>
      <c r="AK1312" s="25">
        <v>1001</v>
      </c>
    </row>
    <row r="1313" spans="36:37" x14ac:dyDescent="0.2">
      <c r="AJ1313" s="6" t="s">
        <v>704</v>
      </c>
      <c r="AK1313" s="25">
        <v>673</v>
      </c>
    </row>
    <row r="1314" spans="36:37" x14ac:dyDescent="0.2">
      <c r="AJ1314" s="7">
        <v>638</v>
      </c>
      <c r="AK1314" s="25">
        <v>673</v>
      </c>
    </row>
    <row r="1315" spans="36:37" x14ac:dyDescent="0.2">
      <c r="AJ1315" s="6" t="s">
        <v>382</v>
      </c>
      <c r="AK1315" s="25">
        <v>1001</v>
      </c>
    </row>
    <row r="1316" spans="36:37" x14ac:dyDescent="0.2">
      <c r="AJ1316" s="7">
        <v>331</v>
      </c>
      <c r="AK1316" s="25">
        <v>1001</v>
      </c>
    </row>
    <row r="1317" spans="36:37" x14ac:dyDescent="0.2">
      <c r="AJ1317" s="6" t="s">
        <v>938</v>
      </c>
      <c r="AK1317" s="25">
        <v>898</v>
      </c>
    </row>
    <row r="1318" spans="36:37" x14ac:dyDescent="0.2">
      <c r="AJ1318" s="7">
        <v>864</v>
      </c>
      <c r="AK1318" s="25">
        <v>898</v>
      </c>
    </row>
    <row r="1319" spans="36:37" x14ac:dyDescent="0.2">
      <c r="AJ1319" s="6" t="s">
        <v>1031</v>
      </c>
      <c r="AK1319" s="25">
        <v>673</v>
      </c>
    </row>
    <row r="1320" spans="36:37" x14ac:dyDescent="0.2">
      <c r="AJ1320" s="7">
        <v>953</v>
      </c>
      <c r="AK1320" s="25">
        <v>673</v>
      </c>
    </row>
    <row r="1321" spans="36:37" x14ac:dyDescent="0.2">
      <c r="AJ1321" s="6" t="s">
        <v>662</v>
      </c>
      <c r="AK1321" s="25">
        <v>460</v>
      </c>
    </row>
    <row r="1322" spans="36:37" x14ac:dyDescent="0.2">
      <c r="AJ1322" s="7">
        <v>596</v>
      </c>
      <c r="AK1322" s="25">
        <v>460</v>
      </c>
    </row>
    <row r="1323" spans="36:37" x14ac:dyDescent="0.2">
      <c r="AJ1323" s="6" t="s">
        <v>929</v>
      </c>
      <c r="AK1323" s="25">
        <v>673</v>
      </c>
    </row>
    <row r="1324" spans="36:37" x14ac:dyDescent="0.2">
      <c r="AJ1324" s="7">
        <v>855</v>
      </c>
      <c r="AK1324" s="25">
        <v>673</v>
      </c>
    </row>
    <row r="1325" spans="36:37" x14ac:dyDescent="0.2">
      <c r="AJ1325" s="6" t="s">
        <v>182</v>
      </c>
      <c r="AK1325" s="25">
        <v>65</v>
      </c>
    </row>
    <row r="1326" spans="36:37" x14ac:dyDescent="0.2">
      <c r="AJ1326" s="7">
        <v>144</v>
      </c>
      <c r="AK1326" s="25">
        <v>65</v>
      </c>
    </row>
    <row r="1327" spans="36:37" x14ac:dyDescent="0.2">
      <c r="AJ1327" s="6" t="s">
        <v>820</v>
      </c>
      <c r="AK1327" s="25">
        <v>541</v>
      </c>
    </row>
    <row r="1328" spans="36:37" x14ac:dyDescent="0.2">
      <c r="AJ1328" s="7">
        <v>751</v>
      </c>
      <c r="AK1328" s="25">
        <v>541</v>
      </c>
    </row>
    <row r="1329" spans="36:37" x14ac:dyDescent="0.2">
      <c r="AJ1329" s="6" t="s">
        <v>922</v>
      </c>
      <c r="AK1329" s="25">
        <v>673</v>
      </c>
    </row>
    <row r="1330" spans="36:37" x14ac:dyDescent="0.2">
      <c r="AJ1330" s="7">
        <v>848</v>
      </c>
      <c r="AK1330" s="25">
        <v>673</v>
      </c>
    </row>
    <row r="1331" spans="36:37" x14ac:dyDescent="0.2">
      <c r="AJ1331" s="6" t="s">
        <v>645</v>
      </c>
      <c r="AK1331" s="25">
        <v>460</v>
      </c>
    </row>
    <row r="1332" spans="36:37" x14ac:dyDescent="0.2">
      <c r="AJ1332" s="7">
        <v>579</v>
      </c>
      <c r="AK1332" s="25">
        <v>460</v>
      </c>
    </row>
    <row r="1333" spans="36:37" x14ac:dyDescent="0.2">
      <c r="AJ1333" s="6" t="s">
        <v>927</v>
      </c>
      <c r="AK1333" s="25">
        <v>898</v>
      </c>
    </row>
    <row r="1334" spans="36:37" x14ac:dyDescent="0.2">
      <c r="AJ1334" s="7">
        <v>853</v>
      </c>
      <c r="AK1334" s="25">
        <v>898</v>
      </c>
    </row>
    <row r="1335" spans="36:37" x14ac:dyDescent="0.2">
      <c r="AJ1335" s="6" t="s">
        <v>908</v>
      </c>
      <c r="AK1335" s="25">
        <v>673</v>
      </c>
    </row>
    <row r="1336" spans="36:37" x14ac:dyDescent="0.2">
      <c r="AJ1336" s="7">
        <v>834</v>
      </c>
      <c r="AK1336" s="25">
        <v>673</v>
      </c>
    </row>
    <row r="1337" spans="36:37" x14ac:dyDescent="0.2">
      <c r="AJ1337" s="6" t="s">
        <v>314</v>
      </c>
      <c r="AK1337" s="25">
        <v>200</v>
      </c>
    </row>
    <row r="1338" spans="36:37" x14ac:dyDescent="0.2">
      <c r="AJ1338" s="7">
        <v>267</v>
      </c>
      <c r="AK1338" s="25">
        <v>200</v>
      </c>
    </row>
    <row r="1339" spans="36:37" x14ac:dyDescent="0.2">
      <c r="AJ1339" s="6" t="s">
        <v>384</v>
      </c>
      <c r="AK1339" s="25">
        <v>222</v>
      </c>
    </row>
    <row r="1340" spans="36:37" x14ac:dyDescent="0.2">
      <c r="AJ1340" s="7">
        <v>333</v>
      </c>
      <c r="AK1340" s="25">
        <v>222</v>
      </c>
    </row>
    <row r="1341" spans="36:37" x14ac:dyDescent="0.2">
      <c r="AJ1341" s="6" t="s">
        <v>527</v>
      </c>
      <c r="AK1341" s="25">
        <v>275</v>
      </c>
    </row>
    <row r="1342" spans="36:37" x14ac:dyDescent="0.2">
      <c r="AJ1342" s="7">
        <v>466</v>
      </c>
      <c r="AK1342" s="25">
        <v>275</v>
      </c>
    </row>
    <row r="1343" spans="36:37" x14ac:dyDescent="0.2">
      <c r="AJ1343" s="6" t="s">
        <v>679</v>
      </c>
      <c r="AK1343" s="25">
        <v>898</v>
      </c>
    </row>
    <row r="1344" spans="36:37" x14ac:dyDescent="0.2">
      <c r="AJ1344" s="7">
        <v>613</v>
      </c>
      <c r="AK1344" s="25">
        <v>898</v>
      </c>
    </row>
    <row r="1345" spans="36:37" x14ac:dyDescent="0.2">
      <c r="AJ1345" s="6" t="s">
        <v>430</v>
      </c>
      <c r="AK1345" s="25">
        <v>327</v>
      </c>
    </row>
    <row r="1346" spans="36:37" x14ac:dyDescent="0.2">
      <c r="AJ1346" s="7">
        <v>374</v>
      </c>
      <c r="AK1346" s="25">
        <v>327</v>
      </c>
    </row>
    <row r="1347" spans="36:37" x14ac:dyDescent="0.2">
      <c r="AJ1347" s="6" t="s">
        <v>158</v>
      </c>
      <c r="AK1347" s="25">
        <v>57</v>
      </c>
    </row>
    <row r="1348" spans="36:37" x14ac:dyDescent="0.2">
      <c r="AJ1348" s="7">
        <v>121</v>
      </c>
      <c r="AK1348" s="25">
        <v>57</v>
      </c>
    </row>
    <row r="1349" spans="36:37" x14ac:dyDescent="0.2">
      <c r="AJ1349" s="6" t="s">
        <v>56</v>
      </c>
      <c r="AK1349" s="25">
        <v>39</v>
      </c>
    </row>
    <row r="1350" spans="36:37" x14ac:dyDescent="0.2">
      <c r="AJ1350" s="7">
        <v>37</v>
      </c>
      <c r="AK1350" s="25">
        <v>39</v>
      </c>
    </row>
    <row r="1351" spans="36:37" x14ac:dyDescent="0.2">
      <c r="AJ1351" s="6" t="s">
        <v>597</v>
      </c>
      <c r="AK1351" s="25">
        <v>405</v>
      </c>
    </row>
    <row r="1352" spans="36:37" x14ac:dyDescent="0.2">
      <c r="AJ1352" s="7">
        <v>531</v>
      </c>
      <c r="AK1352" s="25">
        <v>405</v>
      </c>
    </row>
    <row r="1353" spans="36:37" x14ac:dyDescent="0.2">
      <c r="AJ1353" s="6" t="s">
        <v>17</v>
      </c>
      <c r="AK1353" s="25">
        <v>6</v>
      </c>
    </row>
    <row r="1354" spans="36:37" x14ac:dyDescent="0.2">
      <c r="AJ1354" s="7">
        <v>3</v>
      </c>
      <c r="AK1354" s="25">
        <v>6</v>
      </c>
    </row>
    <row r="1355" spans="36:37" x14ac:dyDescent="0.2">
      <c r="AJ1355" s="6" t="s">
        <v>637</v>
      </c>
      <c r="AK1355" s="25">
        <v>898</v>
      </c>
    </row>
    <row r="1356" spans="36:37" x14ac:dyDescent="0.2">
      <c r="AJ1356" s="7">
        <v>571</v>
      </c>
      <c r="AK1356" s="25">
        <v>898</v>
      </c>
    </row>
    <row r="1357" spans="36:37" x14ac:dyDescent="0.2">
      <c r="AJ1357" s="6" t="s">
        <v>468</v>
      </c>
      <c r="AK1357" s="25">
        <v>541</v>
      </c>
    </row>
    <row r="1358" spans="36:37" x14ac:dyDescent="0.2">
      <c r="AJ1358" s="7">
        <v>412</v>
      </c>
      <c r="AK1358" s="25">
        <v>541</v>
      </c>
    </row>
    <row r="1359" spans="36:37" x14ac:dyDescent="0.2">
      <c r="AJ1359" s="6" t="s">
        <v>867</v>
      </c>
      <c r="AK1359" s="25">
        <v>898</v>
      </c>
    </row>
    <row r="1360" spans="36:37" x14ac:dyDescent="0.2">
      <c r="AJ1360" s="7">
        <v>795</v>
      </c>
      <c r="AK1360" s="25">
        <v>898</v>
      </c>
    </row>
    <row r="1361" spans="36:37" x14ac:dyDescent="0.2">
      <c r="AJ1361" s="6" t="s">
        <v>959</v>
      </c>
      <c r="AK1361" s="25">
        <v>898</v>
      </c>
    </row>
    <row r="1362" spans="36:37" x14ac:dyDescent="0.2">
      <c r="AJ1362" s="7">
        <v>884</v>
      </c>
      <c r="AK1362" s="25">
        <v>898</v>
      </c>
    </row>
    <row r="1363" spans="36:37" x14ac:dyDescent="0.2">
      <c r="AJ1363" s="6" t="s">
        <v>1066</v>
      </c>
      <c r="AK1363" s="25">
        <v>673</v>
      </c>
    </row>
    <row r="1364" spans="36:37" x14ac:dyDescent="0.2">
      <c r="AJ1364" s="7">
        <v>988</v>
      </c>
      <c r="AK1364" s="25">
        <v>673</v>
      </c>
    </row>
    <row r="1365" spans="36:37" x14ac:dyDescent="0.2">
      <c r="AJ1365" s="6" t="s">
        <v>841</v>
      </c>
      <c r="AK1365" s="25">
        <v>673</v>
      </c>
    </row>
    <row r="1366" spans="36:37" x14ac:dyDescent="0.2">
      <c r="AJ1366" s="7">
        <v>771</v>
      </c>
      <c r="AK1366" s="25">
        <v>673</v>
      </c>
    </row>
    <row r="1367" spans="36:37" x14ac:dyDescent="0.2">
      <c r="AJ1367" s="6" t="s">
        <v>532</v>
      </c>
      <c r="AK1367" s="25">
        <v>898</v>
      </c>
    </row>
    <row r="1368" spans="36:37" x14ac:dyDescent="0.2">
      <c r="AJ1368" s="7">
        <v>471</v>
      </c>
      <c r="AK1368" s="25">
        <v>898</v>
      </c>
    </row>
    <row r="1369" spans="36:37" x14ac:dyDescent="0.2">
      <c r="AJ1369" s="6" t="s">
        <v>374</v>
      </c>
      <c r="AK1369" s="25">
        <v>327</v>
      </c>
    </row>
    <row r="1370" spans="36:37" x14ac:dyDescent="0.2">
      <c r="AJ1370" s="7">
        <v>324</v>
      </c>
      <c r="AK1370" s="25">
        <v>327</v>
      </c>
    </row>
    <row r="1371" spans="36:37" x14ac:dyDescent="0.2">
      <c r="AJ1371" s="6" t="s">
        <v>294</v>
      </c>
      <c r="AK1371" s="25">
        <v>187</v>
      </c>
    </row>
    <row r="1372" spans="36:37" x14ac:dyDescent="0.2">
      <c r="AJ1372" s="7">
        <v>249</v>
      </c>
      <c r="AK1372" s="25">
        <v>187</v>
      </c>
    </row>
    <row r="1373" spans="36:37" x14ac:dyDescent="0.2">
      <c r="AJ1373" s="6" t="s">
        <v>128</v>
      </c>
      <c r="AK1373" s="25">
        <v>76</v>
      </c>
    </row>
    <row r="1374" spans="36:37" x14ac:dyDescent="0.2">
      <c r="AJ1374" s="7">
        <v>95</v>
      </c>
      <c r="AK1374" s="25">
        <v>76</v>
      </c>
    </row>
    <row r="1375" spans="36:37" x14ac:dyDescent="0.2">
      <c r="AJ1375" s="6" t="s">
        <v>70</v>
      </c>
      <c r="AK1375" s="25">
        <v>46</v>
      </c>
    </row>
    <row r="1376" spans="36:37" x14ac:dyDescent="0.2">
      <c r="AJ1376" s="7">
        <v>48</v>
      </c>
      <c r="AK1376" s="25">
        <v>46</v>
      </c>
    </row>
    <row r="1377" spans="36:37" x14ac:dyDescent="0.2">
      <c r="AJ1377" s="6" t="s">
        <v>592</v>
      </c>
      <c r="AK1377" s="25">
        <v>327</v>
      </c>
    </row>
    <row r="1378" spans="36:37" x14ac:dyDescent="0.2">
      <c r="AJ1378" s="7">
        <v>526</v>
      </c>
      <c r="AK1378" s="25">
        <v>327</v>
      </c>
    </row>
    <row r="1379" spans="36:37" x14ac:dyDescent="0.2">
      <c r="AJ1379" s="6" t="s">
        <v>260</v>
      </c>
      <c r="AK1379" s="25">
        <v>108</v>
      </c>
    </row>
    <row r="1380" spans="36:37" x14ac:dyDescent="0.2">
      <c r="AJ1380" s="7">
        <v>219</v>
      </c>
      <c r="AK1380" s="25">
        <v>108</v>
      </c>
    </row>
    <row r="1381" spans="36:37" x14ac:dyDescent="0.2">
      <c r="AJ1381" s="6" t="s">
        <v>678</v>
      </c>
      <c r="AK1381" s="25">
        <v>541</v>
      </c>
    </row>
    <row r="1382" spans="36:37" x14ac:dyDescent="0.2">
      <c r="AJ1382" s="7">
        <v>612</v>
      </c>
      <c r="AK1382" s="25">
        <v>541</v>
      </c>
    </row>
    <row r="1383" spans="36:37" x14ac:dyDescent="0.2">
      <c r="AJ1383" s="6" t="s">
        <v>301</v>
      </c>
      <c r="AK1383" s="25">
        <v>174</v>
      </c>
    </row>
    <row r="1384" spans="36:37" x14ac:dyDescent="0.2">
      <c r="AJ1384" s="7">
        <v>256</v>
      </c>
      <c r="AK1384" s="25">
        <v>174</v>
      </c>
    </row>
    <row r="1385" spans="36:37" x14ac:dyDescent="0.2">
      <c r="AJ1385" s="6" t="s">
        <v>321</v>
      </c>
      <c r="AK1385" s="25">
        <v>240</v>
      </c>
    </row>
    <row r="1386" spans="36:37" x14ac:dyDescent="0.2">
      <c r="AJ1386" s="7">
        <v>274</v>
      </c>
      <c r="AK1386" s="25">
        <v>240</v>
      </c>
    </row>
    <row r="1387" spans="36:37" x14ac:dyDescent="0.2">
      <c r="AJ1387" s="6" t="s">
        <v>1073</v>
      </c>
      <c r="AK1387" s="25">
        <v>898</v>
      </c>
    </row>
    <row r="1388" spans="36:37" x14ac:dyDescent="0.2">
      <c r="AJ1388" s="7">
        <v>994</v>
      </c>
      <c r="AK1388" s="25">
        <v>898</v>
      </c>
    </row>
    <row r="1389" spans="36:37" x14ac:dyDescent="0.2">
      <c r="AJ1389" s="6" t="s">
        <v>1061</v>
      </c>
      <c r="AK1389" s="25">
        <v>898</v>
      </c>
    </row>
    <row r="1390" spans="36:37" x14ac:dyDescent="0.2">
      <c r="AJ1390" s="7">
        <v>983</v>
      </c>
      <c r="AK1390" s="25">
        <v>898</v>
      </c>
    </row>
    <row r="1391" spans="36:37" x14ac:dyDescent="0.2">
      <c r="AJ1391" s="6" t="s">
        <v>762</v>
      </c>
      <c r="AK1391" s="25">
        <v>673</v>
      </c>
    </row>
    <row r="1392" spans="36:37" x14ac:dyDescent="0.2">
      <c r="AJ1392" s="7">
        <v>695</v>
      </c>
      <c r="AK1392" s="25">
        <v>673</v>
      </c>
    </row>
    <row r="1393" spans="36:37" x14ac:dyDescent="0.2">
      <c r="AJ1393" s="6" t="s">
        <v>411</v>
      </c>
      <c r="AK1393" s="25">
        <v>327</v>
      </c>
    </row>
    <row r="1394" spans="36:37" x14ac:dyDescent="0.2">
      <c r="AJ1394" s="7">
        <v>357</v>
      </c>
      <c r="AK1394" s="25">
        <v>327</v>
      </c>
    </row>
    <row r="1395" spans="36:37" x14ac:dyDescent="0.2">
      <c r="AJ1395" s="6" t="s">
        <v>334</v>
      </c>
      <c r="AK1395" s="25">
        <v>275</v>
      </c>
    </row>
    <row r="1396" spans="36:37" x14ac:dyDescent="0.2">
      <c r="AJ1396" s="7">
        <v>287</v>
      </c>
      <c r="AK1396" s="25">
        <v>275</v>
      </c>
    </row>
    <row r="1397" spans="36:37" x14ac:dyDescent="0.2">
      <c r="AJ1397" s="6" t="s">
        <v>121</v>
      </c>
      <c r="AK1397" s="25">
        <v>80</v>
      </c>
    </row>
    <row r="1398" spans="36:37" x14ac:dyDescent="0.2">
      <c r="AJ1398" s="7">
        <v>90</v>
      </c>
      <c r="AK1398" s="25">
        <v>80</v>
      </c>
    </row>
    <row r="1399" spans="36:37" x14ac:dyDescent="0.2">
      <c r="AJ1399" s="6" t="s">
        <v>565</v>
      </c>
      <c r="AK1399" s="25">
        <v>405</v>
      </c>
    </row>
    <row r="1400" spans="36:37" x14ac:dyDescent="0.2">
      <c r="AJ1400" s="7">
        <v>500</v>
      </c>
      <c r="AK1400" s="25">
        <v>405</v>
      </c>
    </row>
    <row r="1401" spans="36:37" x14ac:dyDescent="0.2">
      <c r="AJ1401" s="6" t="s">
        <v>316</v>
      </c>
      <c r="AK1401" s="25">
        <v>275</v>
      </c>
    </row>
    <row r="1402" spans="36:37" x14ac:dyDescent="0.2">
      <c r="AJ1402" s="7">
        <v>269</v>
      </c>
      <c r="AK1402" s="25">
        <v>275</v>
      </c>
    </row>
    <row r="1403" spans="36:37" x14ac:dyDescent="0.2">
      <c r="AJ1403" s="6" t="s">
        <v>520</v>
      </c>
      <c r="AK1403" s="25">
        <v>898</v>
      </c>
    </row>
    <row r="1404" spans="36:37" x14ac:dyDescent="0.2">
      <c r="AJ1404" s="7">
        <v>460</v>
      </c>
      <c r="AK1404" s="25">
        <v>898</v>
      </c>
    </row>
    <row r="1405" spans="36:37" x14ac:dyDescent="0.2">
      <c r="AJ1405" s="6" t="s">
        <v>442</v>
      </c>
      <c r="AK1405" s="25">
        <v>254</v>
      </c>
    </row>
    <row r="1406" spans="36:37" x14ac:dyDescent="0.2">
      <c r="AJ1406" s="7">
        <v>386</v>
      </c>
      <c r="AK1406" s="25">
        <v>254</v>
      </c>
    </row>
    <row r="1407" spans="36:37" x14ac:dyDescent="0.2">
      <c r="AJ1407" s="6" t="s">
        <v>600</v>
      </c>
      <c r="AK1407" s="25">
        <v>898</v>
      </c>
    </row>
    <row r="1408" spans="36:37" x14ac:dyDescent="0.2">
      <c r="AJ1408" s="7">
        <v>534</v>
      </c>
      <c r="AK1408" s="25">
        <v>898</v>
      </c>
    </row>
    <row r="1409" spans="36:37" x14ac:dyDescent="0.2">
      <c r="AJ1409" s="6" t="s">
        <v>270</v>
      </c>
      <c r="AK1409" s="25">
        <v>363</v>
      </c>
    </row>
    <row r="1410" spans="36:37" x14ac:dyDescent="0.2">
      <c r="AJ1410" s="7">
        <v>226</v>
      </c>
      <c r="AK1410" s="25">
        <v>363</v>
      </c>
    </row>
    <row r="1411" spans="36:37" x14ac:dyDescent="0.2">
      <c r="AJ1411" s="6" t="s">
        <v>464</v>
      </c>
      <c r="AK1411" s="25">
        <v>363</v>
      </c>
    </row>
    <row r="1412" spans="36:37" x14ac:dyDescent="0.2">
      <c r="AJ1412" s="7">
        <v>408</v>
      </c>
      <c r="AK1412" s="25">
        <v>363</v>
      </c>
    </row>
    <row r="1413" spans="36:37" x14ac:dyDescent="0.2">
      <c r="AJ1413" s="6" t="s">
        <v>441</v>
      </c>
      <c r="AK1413" s="25">
        <v>460</v>
      </c>
    </row>
    <row r="1414" spans="36:37" x14ac:dyDescent="0.2">
      <c r="AJ1414" s="7">
        <v>385</v>
      </c>
      <c r="AK1414" s="25">
        <v>460</v>
      </c>
    </row>
    <row r="1415" spans="36:37" x14ac:dyDescent="0.2">
      <c r="AJ1415" s="6" t="s">
        <v>43</v>
      </c>
      <c r="AK1415" s="25">
        <v>101</v>
      </c>
    </row>
    <row r="1416" spans="36:37" x14ac:dyDescent="0.2">
      <c r="AJ1416" s="7">
        <v>26</v>
      </c>
      <c r="AK1416" s="25">
        <v>101</v>
      </c>
    </row>
    <row r="1417" spans="36:37" x14ac:dyDescent="0.2">
      <c r="AJ1417" s="6" t="s">
        <v>991</v>
      </c>
      <c r="AK1417" s="25">
        <v>541</v>
      </c>
    </row>
    <row r="1418" spans="36:37" x14ac:dyDescent="0.2">
      <c r="AJ1418" s="7">
        <v>913</v>
      </c>
      <c r="AK1418" s="25">
        <v>541</v>
      </c>
    </row>
    <row r="1419" spans="36:37" x14ac:dyDescent="0.2">
      <c r="AJ1419" s="6" t="s">
        <v>694</v>
      </c>
      <c r="AK1419" s="25">
        <v>898</v>
      </c>
    </row>
    <row r="1420" spans="36:37" x14ac:dyDescent="0.2">
      <c r="AJ1420" s="7">
        <v>628</v>
      </c>
      <c r="AK1420" s="25">
        <v>898</v>
      </c>
    </row>
    <row r="1421" spans="36:37" x14ac:dyDescent="0.2">
      <c r="AJ1421" s="6" t="s">
        <v>142</v>
      </c>
      <c r="AK1421" s="25">
        <v>66</v>
      </c>
    </row>
    <row r="1422" spans="36:37" x14ac:dyDescent="0.2">
      <c r="AJ1422" s="7">
        <v>107</v>
      </c>
      <c r="AK1422" s="25">
        <v>66</v>
      </c>
    </row>
    <row r="1423" spans="36:37" x14ac:dyDescent="0.2">
      <c r="AJ1423" s="6" t="s">
        <v>282</v>
      </c>
      <c r="AK1423" s="25">
        <v>363</v>
      </c>
    </row>
    <row r="1424" spans="36:37" x14ac:dyDescent="0.2">
      <c r="AJ1424" s="7">
        <v>237</v>
      </c>
      <c r="AK1424" s="25">
        <v>363</v>
      </c>
    </row>
    <row r="1425" spans="36:37" x14ac:dyDescent="0.2">
      <c r="AJ1425" s="6" t="s">
        <v>610</v>
      </c>
      <c r="AK1425" s="25">
        <v>673</v>
      </c>
    </row>
    <row r="1426" spans="36:37" x14ac:dyDescent="0.2">
      <c r="AJ1426" s="7">
        <v>544</v>
      </c>
      <c r="AK1426" s="25">
        <v>673</v>
      </c>
    </row>
    <row r="1427" spans="36:37" x14ac:dyDescent="0.2">
      <c r="AJ1427" s="6" t="s">
        <v>333</v>
      </c>
      <c r="AK1427" s="25">
        <v>327</v>
      </c>
    </row>
    <row r="1428" spans="36:37" x14ac:dyDescent="0.2">
      <c r="AJ1428" s="7">
        <v>286</v>
      </c>
      <c r="AK1428" s="25">
        <v>327</v>
      </c>
    </row>
    <row r="1429" spans="36:37" x14ac:dyDescent="0.2">
      <c r="AJ1429" s="6" t="s">
        <v>667</v>
      </c>
      <c r="AK1429" s="25">
        <v>898</v>
      </c>
    </row>
    <row r="1430" spans="36:37" x14ac:dyDescent="0.2">
      <c r="AJ1430" s="7">
        <v>601</v>
      </c>
      <c r="AK1430" s="25">
        <v>898</v>
      </c>
    </row>
    <row r="1431" spans="36:37" x14ac:dyDescent="0.2">
      <c r="AJ1431" s="6" t="s">
        <v>94</v>
      </c>
      <c r="AK1431" s="25">
        <v>72</v>
      </c>
    </row>
    <row r="1432" spans="36:37" x14ac:dyDescent="0.2">
      <c r="AJ1432" s="7">
        <v>68</v>
      </c>
      <c r="AK1432" s="25">
        <v>72</v>
      </c>
    </row>
    <row r="1433" spans="36:37" x14ac:dyDescent="0.2">
      <c r="AJ1433" s="6" t="s">
        <v>479</v>
      </c>
      <c r="AK1433" s="25">
        <v>898</v>
      </c>
    </row>
    <row r="1434" spans="36:37" x14ac:dyDescent="0.2">
      <c r="AJ1434" s="7">
        <v>421</v>
      </c>
      <c r="AK1434" s="25">
        <v>898</v>
      </c>
    </row>
    <row r="1435" spans="36:37" x14ac:dyDescent="0.2">
      <c r="AJ1435" s="6" t="s">
        <v>1034</v>
      </c>
      <c r="AK1435" s="25">
        <v>898</v>
      </c>
    </row>
    <row r="1436" spans="36:37" x14ac:dyDescent="0.2">
      <c r="AJ1436" s="7">
        <v>956</v>
      </c>
      <c r="AK1436" s="25">
        <v>898</v>
      </c>
    </row>
    <row r="1437" spans="36:37" x14ac:dyDescent="0.2">
      <c r="AJ1437" s="6" t="s">
        <v>856</v>
      </c>
      <c r="AK1437" s="25">
        <v>673</v>
      </c>
    </row>
    <row r="1438" spans="36:37" x14ac:dyDescent="0.2">
      <c r="AJ1438" s="7">
        <v>784</v>
      </c>
      <c r="AK1438" s="25">
        <v>673</v>
      </c>
    </row>
    <row r="1439" spans="36:37" x14ac:dyDescent="0.2">
      <c r="AJ1439" s="6" t="s">
        <v>492</v>
      </c>
      <c r="AK1439" s="25">
        <v>898</v>
      </c>
    </row>
    <row r="1440" spans="36:37" x14ac:dyDescent="0.2">
      <c r="AJ1440" s="7">
        <v>434</v>
      </c>
      <c r="AK1440" s="25">
        <v>898</v>
      </c>
    </row>
    <row r="1441" spans="36:37" x14ac:dyDescent="0.2">
      <c r="AJ1441" s="6" t="s">
        <v>372</v>
      </c>
      <c r="AK1441" s="25">
        <v>363</v>
      </c>
    </row>
    <row r="1442" spans="36:37" x14ac:dyDescent="0.2">
      <c r="AJ1442" s="7">
        <v>323</v>
      </c>
      <c r="AK1442" s="25">
        <v>363</v>
      </c>
    </row>
    <row r="1443" spans="36:37" x14ac:dyDescent="0.2">
      <c r="AJ1443" s="6" t="s">
        <v>745</v>
      </c>
      <c r="AK1443" s="25">
        <v>405</v>
      </c>
    </row>
    <row r="1444" spans="36:37" x14ac:dyDescent="0.2">
      <c r="AJ1444" s="7">
        <v>678</v>
      </c>
      <c r="AK1444" s="25">
        <v>405</v>
      </c>
    </row>
    <row r="1445" spans="36:37" x14ac:dyDescent="0.2">
      <c r="AJ1445" s="6" t="s">
        <v>1068</v>
      </c>
      <c r="AK1445" s="25">
        <v>898</v>
      </c>
    </row>
    <row r="1446" spans="36:37" x14ac:dyDescent="0.2">
      <c r="AJ1446" s="7">
        <v>990</v>
      </c>
      <c r="AK1446" s="25">
        <v>898</v>
      </c>
    </row>
    <row r="1447" spans="36:37" x14ac:dyDescent="0.2">
      <c r="AJ1447" s="6" t="s">
        <v>754</v>
      </c>
      <c r="AK1447" s="25">
        <v>673</v>
      </c>
    </row>
    <row r="1448" spans="36:37" x14ac:dyDescent="0.2">
      <c r="AJ1448" s="7">
        <v>687</v>
      </c>
      <c r="AK1448" s="25">
        <v>673</v>
      </c>
    </row>
    <row r="1449" spans="36:37" x14ac:dyDescent="0.2">
      <c r="AJ1449" s="6" t="s">
        <v>215</v>
      </c>
      <c r="AK1449" s="25">
        <v>363</v>
      </c>
    </row>
    <row r="1450" spans="36:37" x14ac:dyDescent="0.2">
      <c r="AJ1450" s="7">
        <v>175</v>
      </c>
      <c r="AK1450" s="25">
        <v>363</v>
      </c>
    </row>
    <row r="1451" spans="36:37" x14ac:dyDescent="0.2">
      <c r="AJ1451" s="6" t="s">
        <v>781</v>
      </c>
      <c r="AK1451" s="25">
        <v>541</v>
      </c>
    </row>
    <row r="1452" spans="36:37" x14ac:dyDescent="0.2">
      <c r="AJ1452" s="7">
        <v>714</v>
      </c>
      <c r="AK1452" s="25">
        <v>541</v>
      </c>
    </row>
    <row r="1453" spans="36:37" x14ac:dyDescent="0.2">
      <c r="AJ1453" s="6" t="s">
        <v>71</v>
      </c>
      <c r="AK1453" s="25">
        <v>108</v>
      </c>
    </row>
    <row r="1454" spans="36:37" x14ac:dyDescent="0.2">
      <c r="AJ1454" s="7">
        <v>49</v>
      </c>
      <c r="AK1454" s="25">
        <v>108</v>
      </c>
    </row>
    <row r="1455" spans="36:37" x14ac:dyDescent="0.2">
      <c r="AJ1455" s="6" t="s">
        <v>276</v>
      </c>
      <c r="AK1455" s="25">
        <v>275</v>
      </c>
    </row>
    <row r="1456" spans="36:37" x14ac:dyDescent="0.2">
      <c r="AJ1456" s="7">
        <v>232</v>
      </c>
      <c r="AK1456" s="25">
        <v>275</v>
      </c>
    </row>
    <row r="1457" spans="36:37" x14ac:dyDescent="0.2">
      <c r="AJ1457" s="6" t="s">
        <v>721</v>
      </c>
      <c r="AK1457" s="25">
        <v>898</v>
      </c>
    </row>
    <row r="1458" spans="36:37" x14ac:dyDescent="0.2">
      <c r="AJ1458" s="7">
        <v>655</v>
      </c>
      <c r="AK1458" s="25">
        <v>898</v>
      </c>
    </row>
    <row r="1459" spans="36:37" x14ac:dyDescent="0.2">
      <c r="AJ1459" s="6" t="s">
        <v>416</v>
      </c>
      <c r="AK1459" s="25">
        <v>254</v>
      </c>
    </row>
    <row r="1460" spans="36:37" x14ac:dyDescent="0.2">
      <c r="AJ1460" s="7">
        <v>362</v>
      </c>
      <c r="AK1460" s="25">
        <v>254</v>
      </c>
    </row>
    <row r="1461" spans="36:37" x14ac:dyDescent="0.2">
      <c r="AJ1461" s="6" t="s">
        <v>690</v>
      </c>
      <c r="AK1461" s="25">
        <v>460</v>
      </c>
    </row>
    <row r="1462" spans="36:37" x14ac:dyDescent="0.2">
      <c r="AJ1462" s="7">
        <v>624</v>
      </c>
      <c r="AK1462" s="25">
        <v>460</v>
      </c>
    </row>
    <row r="1463" spans="36:37" x14ac:dyDescent="0.2">
      <c r="AJ1463" s="6" t="s">
        <v>627</v>
      </c>
      <c r="AK1463" s="25">
        <v>673</v>
      </c>
    </row>
    <row r="1464" spans="36:37" x14ac:dyDescent="0.2">
      <c r="AJ1464" s="7">
        <v>561</v>
      </c>
      <c r="AK1464" s="25">
        <v>673</v>
      </c>
    </row>
    <row r="1465" spans="36:37" x14ac:dyDescent="0.2">
      <c r="AJ1465" s="6" t="s">
        <v>343</v>
      </c>
      <c r="AK1465" s="25">
        <v>673</v>
      </c>
    </row>
    <row r="1466" spans="36:37" x14ac:dyDescent="0.2">
      <c r="AJ1466" s="7">
        <v>295</v>
      </c>
      <c r="AK1466" s="25">
        <v>673</v>
      </c>
    </row>
    <row r="1467" spans="36:37" x14ac:dyDescent="0.2">
      <c r="AJ1467" s="6" t="s">
        <v>957</v>
      </c>
      <c r="AK1467" s="25">
        <v>1001</v>
      </c>
    </row>
    <row r="1468" spans="36:37" x14ac:dyDescent="0.2">
      <c r="AJ1468" s="7">
        <v>882</v>
      </c>
      <c r="AK1468" s="25">
        <v>1001</v>
      </c>
    </row>
    <row r="1469" spans="36:37" x14ac:dyDescent="0.2">
      <c r="AJ1469" s="6" t="s">
        <v>1078</v>
      </c>
      <c r="AK1469" s="25">
        <v>673</v>
      </c>
    </row>
    <row r="1470" spans="36:37" x14ac:dyDescent="0.2">
      <c r="AJ1470" s="7">
        <v>998</v>
      </c>
      <c r="AK1470" s="25">
        <v>673</v>
      </c>
    </row>
    <row r="1471" spans="36:37" x14ac:dyDescent="0.2">
      <c r="AJ1471" s="6" t="s">
        <v>768</v>
      </c>
      <c r="AK1471" s="25">
        <v>673</v>
      </c>
    </row>
    <row r="1472" spans="36:37" x14ac:dyDescent="0.2">
      <c r="AJ1472" s="7">
        <v>701</v>
      </c>
      <c r="AK1472" s="25">
        <v>673</v>
      </c>
    </row>
    <row r="1473" spans="36:37" x14ac:dyDescent="0.2">
      <c r="AJ1473" s="6" t="s">
        <v>32</v>
      </c>
      <c r="AK1473" s="25">
        <v>3</v>
      </c>
    </row>
    <row r="1474" spans="36:37" x14ac:dyDescent="0.2">
      <c r="AJ1474" s="7">
        <v>16</v>
      </c>
      <c r="AK1474" s="25">
        <v>3</v>
      </c>
    </row>
    <row r="1475" spans="36:37" x14ac:dyDescent="0.2">
      <c r="AJ1475" s="6" t="s">
        <v>1053</v>
      </c>
      <c r="AK1475" s="25">
        <v>1001</v>
      </c>
    </row>
    <row r="1476" spans="36:37" x14ac:dyDescent="0.2">
      <c r="AJ1476" s="7">
        <v>975</v>
      </c>
      <c r="AK1476" s="25">
        <v>1001</v>
      </c>
    </row>
    <row r="1477" spans="36:37" x14ac:dyDescent="0.2">
      <c r="AJ1477" s="6" t="s">
        <v>278</v>
      </c>
      <c r="AK1477" s="25">
        <v>254</v>
      </c>
    </row>
    <row r="1478" spans="36:37" x14ac:dyDescent="0.2">
      <c r="AJ1478" s="7">
        <v>234</v>
      </c>
      <c r="AK1478" s="25">
        <v>254</v>
      </c>
    </row>
    <row r="1479" spans="36:37" x14ac:dyDescent="0.2">
      <c r="AJ1479" s="6" t="s">
        <v>758</v>
      </c>
      <c r="AK1479" s="25">
        <v>1001</v>
      </c>
    </row>
    <row r="1480" spans="36:37" x14ac:dyDescent="0.2">
      <c r="AJ1480" s="7">
        <v>691</v>
      </c>
      <c r="AK1480" s="25">
        <v>1001</v>
      </c>
    </row>
    <row r="1481" spans="36:37" x14ac:dyDescent="0.2">
      <c r="AJ1481" s="6" t="s">
        <v>385</v>
      </c>
      <c r="AK1481" s="25">
        <v>1001</v>
      </c>
    </row>
    <row r="1482" spans="36:37" x14ac:dyDescent="0.2">
      <c r="AJ1482" s="7">
        <v>334</v>
      </c>
      <c r="AK1482" s="25">
        <v>1001</v>
      </c>
    </row>
    <row r="1483" spans="36:37" x14ac:dyDescent="0.2">
      <c r="AJ1483" s="6" t="s">
        <v>939</v>
      </c>
      <c r="AK1483" s="25">
        <v>541</v>
      </c>
    </row>
    <row r="1484" spans="36:37" x14ac:dyDescent="0.2">
      <c r="AJ1484" s="7">
        <v>865</v>
      </c>
      <c r="AK1484" s="25">
        <v>541</v>
      </c>
    </row>
    <row r="1485" spans="36:37" x14ac:dyDescent="0.2">
      <c r="AJ1485" s="6" t="s">
        <v>791</v>
      </c>
      <c r="AK1485" s="25">
        <v>1001</v>
      </c>
    </row>
    <row r="1486" spans="36:37" x14ac:dyDescent="0.2">
      <c r="AJ1486" s="7">
        <v>724</v>
      </c>
      <c r="AK1486" s="25">
        <v>1001</v>
      </c>
    </row>
    <row r="1487" spans="36:37" x14ac:dyDescent="0.2">
      <c r="AJ1487" s="6" t="s">
        <v>747</v>
      </c>
      <c r="AK1487" s="25">
        <v>898</v>
      </c>
    </row>
    <row r="1488" spans="36:37" x14ac:dyDescent="0.2">
      <c r="AJ1488" s="7">
        <v>680</v>
      </c>
      <c r="AK1488" s="25">
        <v>898</v>
      </c>
    </row>
    <row r="1489" spans="36:37" x14ac:dyDescent="0.2">
      <c r="AJ1489" s="6" t="s">
        <v>824</v>
      </c>
      <c r="AK1489" s="25">
        <v>1001</v>
      </c>
    </row>
    <row r="1490" spans="36:37" x14ac:dyDescent="0.2">
      <c r="AJ1490" s="7">
        <v>755</v>
      </c>
      <c r="AK1490" s="25">
        <v>1001</v>
      </c>
    </row>
    <row r="1491" spans="36:37" x14ac:dyDescent="0.2">
      <c r="AJ1491" s="6" t="s">
        <v>958</v>
      </c>
      <c r="AK1491" s="25">
        <v>1001</v>
      </c>
    </row>
    <row r="1492" spans="36:37" x14ac:dyDescent="0.2">
      <c r="AJ1492" s="7">
        <v>883</v>
      </c>
      <c r="AK1492" s="25">
        <v>1001</v>
      </c>
    </row>
    <row r="1493" spans="36:37" x14ac:dyDescent="0.2">
      <c r="AJ1493" s="6" t="s">
        <v>852</v>
      </c>
      <c r="AK1493" s="25">
        <v>673</v>
      </c>
    </row>
    <row r="1494" spans="36:37" x14ac:dyDescent="0.2">
      <c r="AJ1494" s="7">
        <v>781</v>
      </c>
      <c r="AK1494" s="25">
        <v>673</v>
      </c>
    </row>
    <row r="1495" spans="36:37" x14ac:dyDescent="0.2">
      <c r="AJ1495" s="6" t="s">
        <v>1018</v>
      </c>
      <c r="AK1495" s="25">
        <v>898</v>
      </c>
    </row>
    <row r="1496" spans="36:37" x14ac:dyDescent="0.2">
      <c r="AJ1496" s="7">
        <v>940</v>
      </c>
      <c r="AK1496" s="25">
        <v>898</v>
      </c>
    </row>
    <row r="1497" spans="36:37" x14ac:dyDescent="0.2">
      <c r="AJ1497" s="6" t="s">
        <v>446</v>
      </c>
      <c r="AK1497" s="25">
        <v>327</v>
      </c>
    </row>
    <row r="1498" spans="36:37" x14ac:dyDescent="0.2">
      <c r="AJ1498" s="7">
        <v>390</v>
      </c>
      <c r="AK1498" s="25">
        <v>327</v>
      </c>
    </row>
    <row r="1499" spans="36:37" x14ac:dyDescent="0.2">
      <c r="AJ1499" s="6" t="s">
        <v>437</v>
      </c>
      <c r="AK1499" s="25">
        <v>460</v>
      </c>
    </row>
    <row r="1500" spans="36:37" x14ac:dyDescent="0.2">
      <c r="AJ1500" s="7">
        <v>381</v>
      </c>
      <c r="AK1500" s="25">
        <v>460</v>
      </c>
    </row>
    <row r="1501" spans="36:37" x14ac:dyDescent="0.2">
      <c r="AJ1501" s="6" t="s">
        <v>830</v>
      </c>
      <c r="AK1501" s="25">
        <v>460</v>
      </c>
    </row>
    <row r="1502" spans="36:37" x14ac:dyDescent="0.2">
      <c r="AJ1502" s="7">
        <v>761</v>
      </c>
      <c r="AK1502" s="25">
        <v>460</v>
      </c>
    </row>
    <row r="1503" spans="36:37" x14ac:dyDescent="0.2">
      <c r="AJ1503" s="6" t="s">
        <v>1024</v>
      </c>
      <c r="AK1503" s="25">
        <v>460</v>
      </c>
    </row>
    <row r="1504" spans="36:37" x14ac:dyDescent="0.2">
      <c r="AJ1504" s="7">
        <v>946</v>
      </c>
      <c r="AK1504" s="25">
        <v>460</v>
      </c>
    </row>
    <row r="1505" spans="36:37" x14ac:dyDescent="0.2">
      <c r="AJ1505" s="6" t="s">
        <v>626</v>
      </c>
      <c r="AK1505" s="25">
        <v>673</v>
      </c>
    </row>
    <row r="1506" spans="36:37" x14ac:dyDescent="0.2">
      <c r="AJ1506" s="7">
        <v>560</v>
      </c>
      <c r="AK1506" s="25">
        <v>673</v>
      </c>
    </row>
    <row r="1507" spans="36:37" x14ac:dyDescent="0.2">
      <c r="AJ1507" s="6" t="s">
        <v>714</v>
      </c>
      <c r="AK1507" s="25">
        <v>405</v>
      </c>
    </row>
    <row r="1508" spans="36:37" x14ac:dyDescent="0.2">
      <c r="AJ1508" s="7">
        <v>648</v>
      </c>
      <c r="AK1508" s="25">
        <v>405</v>
      </c>
    </row>
    <row r="1509" spans="36:37" x14ac:dyDescent="0.2">
      <c r="AJ1509" s="6" t="s">
        <v>426</v>
      </c>
      <c r="AK1509" s="25">
        <v>460</v>
      </c>
    </row>
    <row r="1510" spans="36:37" x14ac:dyDescent="0.2">
      <c r="AJ1510" s="7">
        <v>371</v>
      </c>
      <c r="AK1510" s="25">
        <v>460</v>
      </c>
    </row>
    <row r="1511" spans="36:37" x14ac:dyDescent="0.2">
      <c r="AJ1511" s="6" t="s">
        <v>708</v>
      </c>
      <c r="AK1511" s="25">
        <v>405</v>
      </c>
    </row>
    <row r="1512" spans="36:37" x14ac:dyDescent="0.2">
      <c r="AJ1512" s="7">
        <v>642</v>
      </c>
      <c r="AK1512" s="25">
        <v>405</v>
      </c>
    </row>
    <row r="1513" spans="36:37" x14ac:dyDescent="0.2">
      <c r="AJ1513" s="6" t="s">
        <v>829</v>
      </c>
      <c r="AK1513" s="25">
        <v>673</v>
      </c>
    </row>
    <row r="1514" spans="36:37" x14ac:dyDescent="0.2">
      <c r="AJ1514" s="7">
        <v>760</v>
      </c>
      <c r="AK1514" s="25">
        <v>673</v>
      </c>
    </row>
    <row r="1515" spans="36:37" x14ac:dyDescent="0.2">
      <c r="AJ1515" s="6" t="s">
        <v>217</v>
      </c>
      <c r="AK1515" s="25">
        <v>222</v>
      </c>
    </row>
    <row r="1516" spans="36:37" x14ac:dyDescent="0.2">
      <c r="AJ1516" s="7">
        <v>177</v>
      </c>
      <c r="AK1516" s="25">
        <v>222</v>
      </c>
    </row>
    <row r="1517" spans="36:37" x14ac:dyDescent="0.2">
      <c r="AJ1517" s="6" t="s">
        <v>716</v>
      </c>
      <c r="AK1517" s="25">
        <v>327</v>
      </c>
    </row>
    <row r="1518" spans="36:37" x14ac:dyDescent="0.2">
      <c r="AJ1518" s="7">
        <v>650</v>
      </c>
      <c r="AK1518" s="25">
        <v>327</v>
      </c>
    </row>
    <row r="1519" spans="36:37" x14ac:dyDescent="0.2">
      <c r="AJ1519" s="6" t="s">
        <v>494</v>
      </c>
      <c r="AK1519" s="25">
        <v>1001</v>
      </c>
    </row>
    <row r="1520" spans="36:37" x14ac:dyDescent="0.2">
      <c r="AJ1520" s="7">
        <v>436</v>
      </c>
      <c r="AK1520" s="25">
        <v>1001</v>
      </c>
    </row>
    <row r="1521" spans="36:37" x14ac:dyDescent="0.2">
      <c r="AJ1521" s="6" t="s">
        <v>1046</v>
      </c>
      <c r="AK1521" s="25">
        <v>898</v>
      </c>
    </row>
    <row r="1522" spans="36:37" x14ac:dyDescent="0.2">
      <c r="AJ1522" s="7">
        <v>968</v>
      </c>
      <c r="AK1522" s="25">
        <v>898</v>
      </c>
    </row>
    <row r="1523" spans="36:37" x14ac:dyDescent="0.2">
      <c r="AJ1523" s="6" t="s">
        <v>751</v>
      </c>
      <c r="AK1523" s="25">
        <v>673</v>
      </c>
    </row>
    <row r="1524" spans="36:37" x14ac:dyDescent="0.2">
      <c r="AJ1524" s="7">
        <v>684</v>
      </c>
      <c r="AK1524" s="25">
        <v>673</v>
      </c>
    </row>
    <row r="1525" spans="36:37" x14ac:dyDescent="0.2">
      <c r="AJ1525" s="6" t="s">
        <v>963</v>
      </c>
      <c r="AK1525" s="25">
        <v>1001</v>
      </c>
    </row>
    <row r="1526" spans="36:37" x14ac:dyDescent="0.2">
      <c r="AJ1526" s="7">
        <v>888</v>
      </c>
      <c r="AK1526" s="25">
        <v>1001</v>
      </c>
    </row>
    <row r="1527" spans="36:37" x14ac:dyDescent="0.2">
      <c r="AJ1527" s="6" t="s">
        <v>675</v>
      </c>
      <c r="AK1527" s="25">
        <v>673</v>
      </c>
    </row>
    <row r="1528" spans="36:37" x14ac:dyDescent="0.2">
      <c r="AJ1528" s="7">
        <v>609</v>
      </c>
      <c r="AK1528" s="25">
        <v>673</v>
      </c>
    </row>
    <row r="1529" spans="36:37" x14ac:dyDescent="0.2">
      <c r="AJ1529" s="6" t="s">
        <v>181</v>
      </c>
      <c r="AK1529" s="25">
        <v>163</v>
      </c>
    </row>
    <row r="1530" spans="36:37" x14ac:dyDescent="0.2">
      <c r="AJ1530" s="7">
        <v>143</v>
      </c>
      <c r="AK1530" s="25">
        <v>163</v>
      </c>
    </row>
    <row r="1531" spans="36:37" x14ac:dyDescent="0.2">
      <c r="AJ1531" s="6" t="s">
        <v>279</v>
      </c>
      <c r="AK1531" s="25">
        <v>222</v>
      </c>
    </row>
    <row r="1532" spans="36:37" x14ac:dyDescent="0.2">
      <c r="AJ1532" s="7">
        <v>235</v>
      </c>
      <c r="AK1532" s="25">
        <v>222</v>
      </c>
    </row>
    <row r="1533" spans="36:37" x14ac:dyDescent="0.2">
      <c r="AJ1533" s="6" t="s">
        <v>932</v>
      </c>
      <c r="AK1533" s="25">
        <v>898</v>
      </c>
    </row>
    <row r="1534" spans="36:37" x14ac:dyDescent="0.2">
      <c r="AJ1534" s="7">
        <v>858</v>
      </c>
      <c r="AK1534" s="25">
        <v>898</v>
      </c>
    </row>
    <row r="1535" spans="36:37" x14ac:dyDescent="0.2">
      <c r="AJ1535" s="6" t="s">
        <v>717</v>
      </c>
      <c r="AK1535" s="25">
        <v>898</v>
      </c>
    </row>
    <row r="1536" spans="36:37" x14ac:dyDescent="0.2">
      <c r="AJ1536" s="7">
        <v>651</v>
      </c>
      <c r="AK1536" s="25">
        <v>898</v>
      </c>
    </row>
    <row r="1537" spans="36:37" x14ac:dyDescent="0.2">
      <c r="AJ1537" s="6" t="s">
        <v>743</v>
      </c>
      <c r="AK1537" s="25">
        <v>1001</v>
      </c>
    </row>
    <row r="1538" spans="36:37" x14ac:dyDescent="0.2">
      <c r="AJ1538" s="7">
        <v>676</v>
      </c>
      <c r="AK1538" s="25">
        <v>1001</v>
      </c>
    </row>
    <row r="1539" spans="36:37" x14ac:dyDescent="0.2">
      <c r="AJ1539" s="6" t="s">
        <v>870</v>
      </c>
      <c r="AK1539" s="25">
        <v>1001</v>
      </c>
    </row>
    <row r="1540" spans="36:37" x14ac:dyDescent="0.2">
      <c r="AJ1540" s="7">
        <v>798</v>
      </c>
      <c r="AK1540" s="25">
        <v>1001</v>
      </c>
    </row>
    <row r="1541" spans="36:37" x14ac:dyDescent="0.2">
      <c r="AJ1541" s="6" t="s">
        <v>737</v>
      </c>
      <c r="AK1541" s="25">
        <v>1001</v>
      </c>
    </row>
    <row r="1542" spans="36:37" x14ac:dyDescent="0.2">
      <c r="AJ1542" s="7">
        <v>671</v>
      </c>
      <c r="AK1542" s="25">
        <v>1001</v>
      </c>
    </row>
    <row r="1543" spans="36:37" x14ac:dyDescent="0.2">
      <c r="AJ1543" s="6" t="s">
        <v>681</v>
      </c>
      <c r="AK1543" s="25">
        <v>673</v>
      </c>
    </row>
    <row r="1544" spans="36:37" x14ac:dyDescent="0.2">
      <c r="AJ1544" s="7">
        <v>615</v>
      </c>
      <c r="AK1544" s="25">
        <v>673</v>
      </c>
    </row>
    <row r="1545" spans="36:37" x14ac:dyDescent="0.2">
      <c r="AJ1545" s="6" t="s">
        <v>477</v>
      </c>
      <c r="AK1545" s="25">
        <v>405</v>
      </c>
    </row>
    <row r="1546" spans="36:37" x14ac:dyDescent="0.2">
      <c r="AJ1546" s="7">
        <v>420</v>
      </c>
      <c r="AK1546" s="25">
        <v>405</v>
      </c>
    </row>
    <row r="1547" spans="36:37" x14ac:dyDescent="0.2">
      <c r="AJ1547" s="6" t="s">
        <v>997</v>
      </c>
      <c r="AK1547" s="25">
        <v>1001</v>
      </c>
    </row>
    <row r="1548" spans="36:37" x14ac:dyDescent="0.2">
      <c r="AJ1548" s="7">
        <v>919</v>
      </c>
      <c r="AK1548" s="25">
        <v>1001</v>
      </c>
    </row>
    <row r="1549" spans="36:37" x14ac:dyDescent="0.2">
      <c r="AJ1549" s="6" t="s">
        <v>49</v>
      </c>
      <c r="AK1549" s="25">
        <v>29</v>
      </c>
    </row>
    <row r="1550" spans="36:37" x14ac:dyDescent="0.2">
      <c r="AJ1550" s="7">
        <v>30</v>
      </c>
      <c r="AK1550" s="25">
        <v>29</v>
      </c>
    </row>
    <row r="1551" spans="36:37" x14ac:dyDescent="0.2">
      <c r="AJ1551" s="6" t="s">
        <v>819</v>
      </c>
      <c r="AK1551" s="25">
        <v>541</v>
      </c>
    </row>
    <row r="1552" spans="36:37" x14ac:dyDescent="0.2">
      <c r="AJ1552" s="7">
        <v>750</v>
      </c>
      <c r="AK1552" s="25">
        <v>541</v>
      </c>
    </row>
    <row r="1553" spans="36:37" x14ac:dyDescent="0.2">
      <c r="AJ1553" s="6" t="s">
        <v>191</v>
      </c>
      <c r="AK1553" s="25">
        <v>101</v>
      </c>
    </row>
    <row r="1554" spans="36:37" x14ac:dyDescent="0.2">
      <c r="AJ1554" s="7">
        <v>153</v>
      </c>
      <c r="AK1554" s="25">
        <v>101</v>
      </c>
    </row>
    <row r="1555" spans="36:37" x14ac:dyDescent="0.2">
      <c r="AJ1555" s="6" t="s">
        <v>1041</v>
      </c>
      <c r="AK1555" s="25">
        <v>898</v>
      </c>
    </row>
    <row r="1556" spans="36:37" x14ac:dyDescent="0.2">
      <c r="AJ1556" s="7">
        <v>963</v>
      </c>
      <c r="AK1556" s="25">
        <v>898</v>
      </c>
    </row>
    <row r="1557" spans="36:37" x14ac:dyDescent="0.2">
      <c r="AJ1557" s="6" t="s">
        <v>561</v>
      </c>
      <c r="AK1557" s="25">
        <v>541</v>
      </c>
    </row>
    <row r="1558" spans="36:37" x14ac:dyDescent="0.2">
      <c r="AJ1558" s="7">
        <v>496</v>
      </c>
      <c r="AK1558" s="25">
        <v>541</v>
      </c>
    </row>
    <row r="1559" spans="36:37" x14ac:dyDescent="0.2">
      <c r="AJ1559" s="6" t="s">
        <v>134</v>
      </c>
      <c r="AK1559" s="25">
        <v>80</v>
      </c>
    </row>
    <row r="1560" spans="36:37" x14ac:dyDescent="0.2">
      <c r="AJ1560" s="7">
        <v>101</v>
      </c>
      <c r="AK1560" s="25">
        <v>80</v>
      </c>
    </row>
    <row r="1561" spans="36:37" x14ac:dyDescent="0.2">
      <c r="AJ1561" s="6" t="s">
        <v>323</v>
      </c>
      <c r="AK1561" s="25">
        <v>541</v>
      </c>
    </row>
    <row r="1562" spans="36:37" x14ac:dyDescent="0.2">
      <c r="AJ1562" s="7">
        <v>276</v>
      </c>
      <c r="AK1562" s="25">
        <v>541</v>
      </c>
    </row>
    <row r="1563" spans="36:37" x14ac:dyDescent="0.2">
      <c r="AJ1563" s="6" t="s">
        <v>654</v>
      </c>
      <c r="AK1563" s="25">
        <v>898</v>
      </c>
    </row>
    <row r="1564" spans="36:37" x14ac:dyDescent="0.2">
      <c r="AJ1564" s="7">
        <v>588</v>
      </c>
      <c r="AK1564" s="25">
        <v>898</v>
      </c>
    </row>
    <row r="1565" spans="36:37" x14ac:dyDescent="0.2">
      <c r="AJ1565" s="6" t="s">
        <v>1025</v>
      </c>
      <c r="AK1565" s="25">
        <v>541</v>
      </c>
    </row>
    <row r="1566" spans="36:37" x14ac:dyDescent="0.2">
      <c r="AJ1566" s="7">
        <v>947</v>
      </c>
      <c r="AK1566" s="25">
        <v>541</v>
      </c>
    </row>
    <row r="1567" spans="36:37" x14ac:dyDescent="0.2">
      <c r="AJ1567" s="6" t="s">
        <v>391</v>
      </c>
      <c r="AK1567" s="25">
        <v>254</v>
      </c>
    </row>
    <row r="1568" spans="36:37" x14ac:dyDescent="0.2">
      <c r="AJ1568" s="7">
        <v>340</v>
      </c>
      <c r="AK1568" s="25">
        <v>254</v>
      </c>
    </row>
    <row r="1569" spans="36:37" x14ac:dyDescent="0.2">
      <c r="AJ1569" s="6" t="s">
        <v>393</v>
      </c>
      <c r="AK1569" s="25">
        <v>304</v>
      </c>
    </row>
    <row r="1570" spans="36:37" x14ac:dyDescent="0.2">
      <c r="AJ1570" s="7">
        <v>342</v>
      </c>
      <c r="AK1570" s="25">
        <v>304</v>
      </c>
    </row>
    <row r="1571" spans="36:37" x14ac:dyDescent="0.2">
      <c r="AJ1571" s="6" t="s">
        <v>812</v>
      </c>
      <c r="AK1571" s="25">
        <v>673</v>
      </c>
    </row>
    <row r="1572" spans="36:37" x14ac:dyDescent="0.2">
      <c r="AJ1572" s="7">
        <v>744</v>
      </c>
      <c r="AK1572" s="25">
        <v>673</v>
      </c>
    </row>
    <row r="1573" spans="36:37" x14ac:dyDescent="0.2">
      <c r="AJ1573" s="6" t="s">
        <v>214</v>
      </c>
      <c r="AK1573" s="25">
        <v>304</v>
      </c>
    </row>
    <row r="1574" spans="36:37" x14ac:dyDescent="0.2">
      <c r="AJ1574" s="7">
        <v>174</v>
      </c>
      <c r="AK1574" s="25">
        <v>304</v>
      </c>
    </row>
    <row r="1575" spans="36:37" x14ac:dyDescent="0.2">
      <c r="AJ1575" s="6" t="s">
        <v>1033</v>
      </c>
      <c r="AK1575" s="25">
        <v>1001</v>
      </c>
    </row>
    <row r="1576" spans="36:37" x14ac:dyDescent="0.2">
      <c r="AJ1576" s="7">
        <v>955</v>
      </c>
      <c r="AK1576" s="25">
        <v>1001</v>
      </c>
    </row>
    <row r="1577" spans="36:37" x14ac:dyDescent="0.2">
      <c r="AJ1577" s="6" t="s">
        <v>984</v>
      </c>
      <c r="AK1577" s="25">
        <v>1001</v>
      </c>
    </row>
    <row r="1578" spans="36:37" x14ac:dyDescent="0.2">
      <c r="AJ1578" s="7">
        <v>907</v>
      </c>
      <c r="AK1578" s="25">
        <v>1001</v>
      </c>
    </row>
    <row r="1579" spans="36:37" x14ac:dyDescent="0.2">
      <c r="AJ1579" s="6" t="s">
        <v>433</v>
      </c>
      <c r="AK1579" s="25">
        <v>541</v>
      </c>
    </row>
    <row r="1580" spans="36:37" x14ac:dyDescent="0.2">
      <c r="AJ1580" s="7">
        <v>377</v>
      </c>
      <c r="AK1580" s="25">
        <v>541</v>
      </c>
    </row>
    <row r="1581" spans="36:37" x14ac:dyDescent="0.2">
      <c r="AJ1581" s="6" t="s">
        <v>833</v>
      </c>
      <c r="AK1581" s="25">
        <v>1001</v>
      </c>
    </row>
    <row r="1582" spans="36:37" x14ac:dyDescent="0.2">
      <c r="AJ1582" s="7">
        <v>764</v>
      </c>
      <c r="AK1582" s="25">
        <v>1001</v>
      </c>
    </row>
    <row r="1583" spans="36:37" x14ac:dyDescent="0.2">
      <c r="AJ1583" s="6" t="s">
        <v>67</v>
      </c>
      <c r="AK1583" s="25">
        <v>53</v>
      </c>
    </row>
    <row r="1584" spans="36:37" x14ac:dyDescent="0.2">
      <c r="AJ1584" s="7">
        <v>46</v>
      </c>
      <c r="AK1584" s="25">
        <v>53</v>
      </c>
    </row>
    <row r="1585" spans="36:37" x14ac:dyDescent="0.2">
      <c r="AJ1585" s="6" t="s">
        <v>950</v>
      </c>
      <c r="AK1585" s="25">
        <v>1001</v>
      </c>
    </row>
    <row r="1586" spans="36:37" x14ac:dyDescent="0.2">
      <c r="AJ1586" s="7">
        <v>876</v>
      </c>
      <c r="AK1586" s="25">
        <v>1001</v>
      </c>
    </row>
    <row r="1587" spans="36:37" x14ac:dyDescent="0.2">
      <c r="AJ1587" s="6" t="s">
        <v>655</v>
      </c>
      <c r="AK1587" s="25">
        <v>1001</v>
      </c>
    </row>
    <row r="1588" spans="36:37" x14ac:dyDescent="0.2">
      <c r="AJ1588" s="7">
        <v>589</v>
      </c>
      <c r="AK1588" s="25">
        <v>1001</v>
      </c>
    </row>
    <row r="1589" spans="36:37" x14ac:dyDescent="0.2">
      <c r="AJ1589" s="6" t="s">
        <v>86</v>
      </c>
      <c r="AK1589" s="25">
        <v>405</v>
      </c>
    </row>
    <row r="1590" spans="36:37" x14ac:dyDescent="0.2">
      <c r="AJ1590" s="7">
        <v>61</v>
      </c>
      <c r="AK1590" s="25">
        <v>405</v>
      </c>
    </row>
    <row r="1591" spans="36:37" x14ac:dyDescent="0.2">
      <c r="AJ1591" s="6" t="s">
        <v>14</v>
      </c>
      <c r="AK1591" s="25">
        <v>1</v>
      </c>
    </row>
    <row r="1592" spans="36:37" x14ac:dyDescent="0.2">
      <c r="AJ1592" s="7">
        <v>1</v>
      </c>
      <c r="AK1592" s="25">
        <v>1</v>
      </c>
    </row>
    <row r="1593" spans="36:37" x14ac:dyDescent="0.2">
      <c r="AJ1593" s="6" t="s">
        <v>832</v>
      </c>
      <c r="AK1593" s="25">
        <v>898</v>
      </c>
    </row>
    <row r="1594" spans="36:37" x14ac:dyDescent="0.2">
      <c r="AJ1594" s="7">
        <v>763</v>
      </c>
      <c r="AK1594" s="25">
        <v>898</v>
      </c>
    </row>
    <row r="1595" spans="36:37" x14ac:dyDescent="0.2">
      <c r="AJ1595" s="6" t="s">
        <v>348</v>
      </c>
      <c r="AK1595" s="25">
        <v>405</v>
      </c>
    </row>
    <row r="1596" spans="36:37" x14ac:dyDescent="0.2">
      <c r="AJ1596" s="7">
        <v>300</v>
      </c>
      <c r="AK1596" s="25">
        <v>405</v>
      </c>
    </row>
    <row r="1597" spans="36:37" x14ac:dyDescent="0.2">
      <c r="AJ1597" s="6" t="s">
        <v>925</v>
      </c>
      <c r="AK1597" s="25">
        <v>673</v>
      </c>
    </row>
    <row r="1598" spans="36:37" x14ac:dyDescent="0.2">
      <c r="AJ1598" s="7">
        <v>851</v>
      </c>
      <c r="AK1598" s="25">
        <v>673</v>
      </c>
    </row>
    <row r="1599" spans="36:37" x14ac:dyDescent="0.2">
      <c r="AJ1599" s="6" t="s">
        <v>387</v>
      </c>
      <c r="AK1599" s="25">
        <v>460</v>
      </c>
    </row>
    <row r="1600" spans="36:37" x14ac:dyDescent="0.2">
      <c r="AJ1600" s="7">
        <v>336</v>
      </c>
      <c r="AK1600" s="25">
        <v>460</v>
      </c>
    </row>
    <row r="1601" spans="36:37" x14ac:dyDescent="0.2">
      <c r="AJ1601" s="6" t="s">
        <v>404</v>
      </c>
      <c r="AK1601" s="25">
        <v>460</v>
      </c>
    </row>
    <row r="1602" spans="36:37" x14ac:dyDescent="0.2">
      <c r="AJ1602" s="7">
        <v>350</v>
      </c>
      <c r="AK1602" s="25">
        <v>460</v>
      </c>
    </row>
    <row r="1603" spans="36:37" x14ac:dyDescent="0.2">
      <c r="AJ1603" s="6" t="s">
        <v>994</v>
      </c>
      <c r="AK1603" s="25">
        <v>1001</v>
      </c>
    </row>
    <row r="1604" spans="36:37" x14ac:dyDescent="0.2">
      <c r="AJ1604" s="7">
        <v>916</v>
      </c>
      <c r="AK1604" s="25">
        <v>1001</v>
      </c>
    </row>
    <row r="1605" spans="36:37" x14ac:dyDescent="0.2">
      <c r="AJ1605" s="6" t="s">
        <v>590</v>
      </c>
      <c r="AK1605" s="25">
        <v>460</v>
      </c>
    </row>
    <row r="1606" spans="36:37" x14ac:dyDescent="0.2">
      <c r="AJ1606" s="7">
        <v>525</v>
      </c>
      <c r="AK1606" s="25">
        <v>460</v>
      </c>
    </row>
    <row r="1607" spans="36:37" x14ac:dyDescent="0.2">
      <c r="AJ1607" s="6" t="s">
        <v>757</v>
      </c>
      <c r="AK1607" s="25">
        <v>673</v>
      </c>
    </row>
    <row r="1608" spans="36:37" x14ac:dyDescent="0.2">
      <c r="AJ1608" s="7">
        <v>690</v>
      </c>
      <c r="AK1608" s="25">
        <v>673</v>
      </c>
    </row>
    <row r="1609" spans="36:37" x14ac:dyDescent="0.2">
      <c r="AJ1609" s="6" t="s">
        <v>726</v>
      </c>
      <c r="AK1609" s="25">
        <v>460</v>
      </c>
    </row>
    <row r="1610" spans="36:37" x14ac:dyDescent="0.2">
      <c r="AJ1610" s="7">
        <v>660</v>
      </c>
      <c r="AK1610" s="25">
        <v>460</v>
      </c>
    </row>
    <row r="1611" spans="36:37" x14ac:dyDescent="0.2">
      <c r="AJ1611" s="6" t="s">
        <v>890</v>
      </c>
      <c r="AK1611" s="25">
        <v>898</v>
      </c>
    </row>
    <row r="1612" spans="36:37" x14ac:dyDescent="0.2">
      <c r="AJ1612" s="7">
        <v>816</v>
      </c>
      <c r="AK1612" s="25">
        <v>898</v>
      </c>
    </row>
    <row r="1613" spans="36:37" x14ac:dyDescent="0.2">
      <c r="AJ1613" s="6" t="s">
        <v>1050</v>
      </c>
      <c r="AK1613" s="25">
        <v>1001</v>
      </c>
    </row>
    <row r="1614" spans="36:37" x14ac:dyDescent="0.2">
      <c r="AJ1614" s="7">
        <v>972</v>
      </c>
      <c r="AK1614" s="25">
        <v>1001</v>
      </c>
    </row>
    <row r="1615" spans="36:37" x14ac:dyDescent="0.2">
      <c r="AJ1615" s="6" t="s">
        <v>1023</v>
      </c>
      <c r="AK1615" s="25">
        <v>898</v>
      </c>
    </row>
    <row r="1616" spans="36:37" x14ac:dyDescent="0.2">
      <c r="AJ1616" s="7">
        <v>945</v>
      </c>
      <c r="AK1616" s="25">
        <v>898</v>
      </c>
    </row>
    <row r="1617" spans="36:37" x14ac:dyDescent="0.2">
      <c r="AJ1617" s="6" t="s">
        <v>405</v>
      </c>
      <c r="AK1617" s="25">
        <v>240</v>
      </c>
    </row>
    <row r="1618" spans="36:37" x14ac:dyDescent="0.2">
      <c r="AJ1618" s="7">
        <v>351</v>
      </c>
      <c r="AK1618" s="25">
        <v>240</v>
      </c>
    </row>
    <row r="1619" spans="36:37" x14ac:dyDescent="0.2">
      <c r="AJ1619" s="6" t="s">
        <v>380</v>
      </c>
      <c r="AK1619" s="25">
        <v>200</v>
      </c>
    </row>
    <row r="1620" spans="36:37" x14ac:dyDescent="0.2">
      <c r="AJ1620" s="7">
        <v>329</v>
      </c>
      <c r="AK1620" s="25">
        <v>200</v>
      </c>
    </row>
    <row r="1621" spans="36:37" x14ac:dyDescent="0.2">
      <c r="AJ1621" s="6" t="s">
        <v>130</v>
      </c>
      <c r="AK1621" s="25">
        <v>93</v>
      </c>
    </row>
    <row r="1622" spans="36:37" x14ac:dyDescent="0.2">
      <c r="AJ1622" s="7">
        <v>97</v>
      </c>
      <c r="AK1622" s="25">
        <v>93</v>
      </c>
    </row>
    <row r="1623" spans="36:37" x14ac:dyDescent="0.2">
      <c r="AJ1623" s="6" t="s">
        <v>785</v>
      </c>
      <c r="AK1623" s="25">
        <v>460</v>
      </c>
    </row>
    <row r="1624" spans="36:37" x14ac:dyDescent="0.2">
      <c r="AJ1624" s="7">
        <v>718</v>
      </c>
      <c r="AK1624" s="25">
        <v>460</v>
      </c>
    </row>
    <row r="1625" spans="36:37" x14ac:dyDescent="0.2">
      <c r="AJ1625" s="6" t="s">
        <v>787</v>
      </c>
      <c r="AK1625" s="25">
        <v>1001</v>
      </c>
    </row>
    <row r="1626" spans="36:37" x14ac:dyDescent="0.2">
      <c r="AJ1626" s="7">
        <v>720</v>
      </c>
      <c r="AK1626" s="25">
        <v>1001</v>
      </c>
    </row>
    <row r="1627" spans="36:37" x14ac:dyDescent="0.2">
      <c r="AJ1627" s="6" t="s">
        <v>187</v>
      </c>
      <c r="AK1627" s="25">
        <v>222</v>
      </c>
    </row>
    <row r="1628" spans="36:37" x14ac:dyDescent="0.2">
      <c r="AJ1628" s="7">
        <v>149</v>
      </c>
      <c r="AK1628" s="25">
        <v>222</v>
      </c>
    </row>
    <row r="1629" spans="36:37" x14ac:dyDescent="0.2">
      <c r="AJ1629" s="6" t="s">
        <v>971</v>
      </c>
      <c r="AK1629" s="25">
        <v>1001</v>
      </c>
    </row>
    <row r="1630" spans="36:37" x14ac:dyDescent="0.2">
      <c r="AJ1630" s="7">
        <v>896</v>
      </c>
      <c r="AK1630" s="25">
        <v>1001</v>
      </c>
    </row>
    <row r="1631" spans="36:37" x14ac:dyDescent="0.2">
      <c r="AJ1631" s="6" t="s">
        <v>138</v>
      </c>
      <c r="AK1631" s="25">
        <v>101</v>
      </c>
    </row>
    <row r="1632" spans="36:37" x14ac:dyDescent="0.2">
      <c r="AJ1632" s="7">
        <v>104</v>
      </c>
      <c r="AK1632" s="25">
        <v>101</v>
      </c>
    </row>
    <row r="1633" spans="36:37" x14ac:dyDescent="0.2">
      <c r="AJ1633" s="6" t="s">
        <v>544</v>
      </c>
      <c r="AK1633" s="25">
        <v>405</v>
      </c>
    </row>
    <row r="1634" spans="36:37" x14ac:dyDescent="0.2">
      <c r="AJ1634" s="7">
        <v>480</v>
      </c>
      <c r="AK1634" s="25">
        <v>405</v>
      </c>
    </row>
    <row r="1635" spans="36:37" x14ac:dyDescent="0.2">
      <c r="AJ1635" s="6" t="s">
        <v>177</v>
      </c>
      <c r="AK1635" s="25">
        <v>222</v>
      </c>
    </row>
    <row r="1636" spans="36:37" x14ac:dyDescent="0.2">
      <c r="AJ1636" s="7">
        <v>139</v>
      </c>
      <c r="AK1636" s="25">
        <v>222</v>
      </c>
    </row>
    <row r="1637" spans="36:37" x14ac:dyDescent="0.2">
      <c r="AJ1637" s="6" t="s">
        <v>336</v>
      </c>
      <c r="AK1637" s="25">
        <v>275</v>
      </c>
    </row>
    <row r="1638" spans="36:37" x14ac:dyDescent="0.2">
      <c r="AJ1638" s="7">
        <v>289</v>
      </c>
      <c r="AK1638" s="25">
        <v>275</v>
      </c>
    </row>
    <row r="1639" spans="36:37" x14ac:dyDescent="0.2">
      <c r="AJ1639" s="6" t="s">
        <v>357</v>
      </c>
      <c r="AK1639" s="25">
        <v>405</v>
      </c>
    </row>
    <row r="1640" spans="36:37" x14ac:dyDescent="0.2">
      <c r="AJ1640" s="7">
        <v>308</v>
      </c>
      <c r="AK1640" s="25">
        <v>405</v>
      </c>
    </row>
    <row r="1641" spans="36:37" x14ac:dyDescent="0.2">
      <c r="AJ1641" s="6" t="s">
        <v>371</v>
      </c>
      <c r="AK1641" s="25">
        <v>460</v>
      </c>
    </row>
    <row r="1642" spans="36:37" x14ac:dyDescent="0.2">
      <c r="AJ1642" s="7">
        <v>322</v>
      </c>
      <c r="AK1642" s="25">
        <v>460</v>
      </c>
    </row>
    <row r="1643" spans="36:37" x14ac:dyDescent="0.2">
      <c r="AJ1643" s="6" t="s">
        <v>746</v>
      </c>
      <c r="AK1643" s="25">
        <v>541</v>
      </c>
    </row>
    <row r="1644" spans="36:37" x14ac:dyDescent="0.2">
      <c r="AJ1644" s="7">
        <v>679</v>
      </c>
      <c r="AK1644" s="25">
        <v>541</v>
      </c>
    </row>
    <row r="1645" spans="36:37" x14ac:dyDescent="0.2">
      <c r="AJ1645" s="6" t="s">
        <v>926</v>
      </c>
      <c r="AK1645" s="25">
        <v>898</v>
      </c>
    </row>
    <row r="1646" spans="36:37" x14ac:dyDescent="0.2">
      <c r="AJ1646" s="7">
        <v>852</v>
      </c>
      <c r="AK1646" s="25">
        <v>898</v>
      </c>
    </row>
    <row r="1647" spans="36:37" x14ac:dyDescent="0.2">
      <c r="AJ1647" s="6" t="s">
        <v>983</v>
      </c>
      <c r="AK1647" s="25">
        <v>1001</v>
      </c>
    </row>
    <row r="1648" spans="36:37" x14ac:dyDescent="0.2">
      <c r="AJ1648" s="7">
        <v>906</v>
      </c>
      <c r="AK1648" s="25">
        <v>1001</v>
      </c>
    </row>
    <row r="1649" spans="36:37" x14ac:dyDescent="0.2">
      <c r="AJ1649" s="6" t="s">
        <v>738</v>
      </c>
      <c r="AK1649" s="25">
        <v>363</v>
      </c>
    </row>
    <row r="1650" spans="36:37" x14ac:dyDescent="0.2">
      <c r="AJ1650" s="7">
        <v>672</v>
      </c>
      <c r="AK1650" s="25">
        <v>363</v>
      </c>
    </row>
    <row r="1651" spans="36:37" x14ac:dyDescent="0.2">
      <c r="AJ1651" s="6" t="s">
        <v>208</v>
      </c>
      <c r="AK1651" s="25">
        <v>275</v>
      </c>
    </row>
    <row r="1652" spans="36:37" x14ac:dyDescent="0.2">
      <c r="AJ1652" s="7">
        <v>170</v>
      </c>
      <c r="AK1652" s="25">
        <v>275</v>
      </c>
    </row>
    <row r="1653" spans="36:37" x14ac:dyDescent="0.2">
      <c r="AJ1653" s="6" t="s">
        <v>111</v>
      </c>
      <c r="AK1653" s="25">
        <v>85</v>
      </c>
    </row>
    <row r="1654" spans="36:37" x14ac:dyDescent="0.2">
      <c r="AJ1654" s="7">
        <v>81</v>
      </c>
      <c r="AK1654" s="25">
        <v>85</v>
      </c>
    </row>
    <row r="1655" spans="36:37" x14ac:dyDescent="0.2">
      <c r="AJ1655" s="6" t="s">
        <v>698</v>
      </c>
      <c r="AK1655" s="25">
        <v>898</v>
      </c>
    </row>
    <row r="1656" spans="36:37" x14ac:dyDescent="0.2">
      <c r="AJ1656" s="7">
        <v>632</v>
      </c>
      <c r="AK1656" s="25">
        <v>898</v>
      </c>
    </row>
    <row r="1657" spans="36:37" x14ac:dyDescent="0.2">
      <c r="AJ1657" s="6" t="s">
        <v>964</v>
      </c>
      <c r="AK1657" s="25">
        <v>1001</v>
      </c>
    </row>
    <row r="1658" spans="36:37" x14ac:dyDescent="0.2">
      <c r="AJ1658" s="7">
        <v>889</v>
      </c>
      <c r="AK1658" s="25">
        <v>1001</v>
      </c>
    </row>
    <row r="1659" spans="36:37" x14ac:dyDescent="0.2">
      <c r="AJ1659" s="6" t="s">
        <v>293</v>
      </c>
      <c r="AK1659" s="25">
        <v>139</v>
      </c>
    </row>
    <row r="1660" spans="36:37" x14ac:dyDescent="0.2">
      <c r="AJ1660" s="7">
        <v>248</v>
      </c>
      <c r="AK1660" s="25">
        <v>139</v>
      </c>
    </row>
    <row r="1661" spans="36:37" x14ac:dyDescent="0.2">
      <c r="AJ1661" s="6" t="s">
        <v>598</v>
      </c>
      <c r="AK1661" s="25">
        <v>541</v>
      </c>
    </row>
    <row r="1662" spans="36:37" x14ac:dyDescent="0.2">
      <c r="AJ1662" s="7">
        <v>532</v>
      </c>
      <c r="AK1662" s="25">
        <v>541</v>
      </c>
    </row>
    <row r="1663" spans="36:37" x14ac:dyDescent="0.2">
      <c r="AJ1663" s="6" t="s">
        <v>990</v>
      </c>
      <c r="AK1663" s="25">
        <v>327</v>
      </c>
    </row>
    <row r="1664" spans="36:37" x14ac:dyDescent="0.2">
      <c r="AJ1664" s="7">
        <v>912</v>
      </c>
      <c r="AK1664" s="25">
        <v>327</v>
      </c>
    </row>
    <row r="1665" spans="36:37" x14ac:dyDescent="0.2">
      <c r="AJ1665" s="6" t="s">
        <v>558</v>
      </c>
      <c r="AK1665" s="25">
        <v>541</v>
      </c>
    </row>
    <row r="1666" spans="36:37" x14ac:dyDescent="0.2">
      <c r="AJ1666" s="7">
        <v>493</v>
      </c>
      <c r="AK1666" s="25">
        <v>541</v>
      </c>
    </row>
    <row r="1667" spans="36:37" x14ac:dyDescent="0.2">
      <c r="AJ1667" s="6" t="s">
        <v>946</v>
      </c>
      <c r="AK1667" s="25">
        <v>898</v>
      </c>
    </row>
    <row r="1668" spans="36:37" x14ac:dyDescent="0.2">
      <c r="AJ1668" s="7">
        <v>872</v>
      </c>
      <c r="AK1668" s="25">
        <v>898</v>
      </c>
    </row>
    <row r="1669" spans="36:37" x14ac:dyDescent="0.2">
      <c r="AJ1669" s="6" t="s">
        <v>928</v>
      </c>
      <c r="AK1669" s="25">
        <v>222</v>
      </c>
    </row>
    <row r="1670" spans="36:37" x14ac:dyDescent="0.2">
      <c r="AJ1670" s="7">
        <v>854</v>
      </c>
      <c r="AK1670" s="25">
        <v>222</v>
      </c>
    </row>
    <row r="1671" spans="36:37" x14ac:dyDescent="0.2">
      <c r="AJ1671" s="6" t="s">
        <v>807</v>
      </c>
      <c r="AK1671" s="25">
        <v>541</v>
      </c>
    </row>
    <row r="1672" spans="36:37" x14ac:dyDescent="0.2">
      <c r="AJ1672" s="7">
        <v>739</v>
      </c>
      <c r="AK1672" s="25">
        <v>541</v>
      </c>
    </row>
    <row r="1673" spans="36:37" x14ac:dyDescent="0.2">
      <c r="AJ1673" s="6" t="s">
        <v>1005</v>
      </c>
      <c r="AK1673" s="25">
        <v>1001</v>
      </c>
    </row>
    <row r="1674" spans="36:37" x14ac:dyDescent="0.2">
      <c r="AJ1674" s="7">
        <v>927</v>
      </c>
      <c r="AK1674" s="25">
        <v>1001</v>
      </c>
    </row>
    <row r="1675" spans="36:37" x14ac:dyDescent="0.2">
      <c r="AJ1675" s="6" t="s">
        <v>761</v>
      </c>
      <c r="AK1675" s="25">
        <v>1001</v>
      </c>
    </row>
    <row r="1676" spans="36:37" x14ac:dyDescent="0.2">
      <c r="AJ1676" s="7">
        <v>694</v>
      </c>
      <c r="AK1676" s="25">
        <v>1001</v>
      </c>
    </row>
    <row r="1677" spans="36:37" x14ac:dyDescent="0.2">
      <c r="AJ1677" s="6" t="s">
        <v>500</v>
      </c>
      <c r="AK1677" s="25">
        <v>327</v>
      </c>
    </row>
    <row r="1678" spans="36:37" x14ac:dyDescent="0.2">
      <c r="AJ1678" s="7">
        <v>442</v>
      </c>
      <c r="AK1678" s="25">
        <v>327</v>
      </c>
    </row>
    <row r="1679" spans="36:37" x14ac:dyDescent="0.2">
      <c r="AJ1679" s="6" t="s">
        <v>921</v>
      </c>
      <c r="AK1679" s="25">
        <v>1001</v>
      </c>
    </row>
    <row r="1680" spans="36:37" x14ac:dyDescent="0.2">
      <c r="AJ1680" s="7">
        <v>847</v>
      </c>
      <c r="AK1680" s="25">
        <v>1001</v>
      </c>
    </row>
    <row r="1681" spans="36:37" x14ac:dyDescent="0.2">
      <c r="AJ1681" s="6" t="s">
        <v>454</v>
      </c>
      <c r="AK1681" s="25">
        <v>460</v>
      </c>
    </row>
    <row r="1682" spans="36:37" x14ac:dyDescent="0.2">
      <c r="AJ1682" s="7">
        <v>398</v>
      </c>
      <c r="AK1682" s="25">
        <v>460</v>
      </c>
    </row>
    <row r="1683" spans="36:37" x14ac:dyDescent="0.2">
      <c r="AJ1683" s="6" t="s">
        <v>346</v>
      </c>
      <c r="AK1683" s="25">
        <v>304</v>
      </c>
    </row>
    <row r="1684" spans="36:37" x14ac:dyDescent="0.2">
      <c r="AJ1684" s="7">
        <v>298</v>
      </c>
      <c r="AK1684" s="25">
        <v>304</v>
      </c>
    </row>
    <row r="1685" spans="36:37" x14ac:dyDescent="0.2">
      <c r="AJ1685" s="6" t="s">
        <v>914</v>
      </c>
      <c r="AK1685" s="25">
        <v>1001</v>
      </c>
    </row>
    <row r="1686" spans="36:37" x14ac:dyDescent="0.2">
      <c r="AJ1686" s="7">
        <v>840</v>
      </c>
      <c r="AK1686" s="25">
        <v>1001</v>
      </c>
    </row>
    <row r="1687" spans="36:37" x14ac:dyDescent="0.2">
      <c r="AJ1687" s="6" t="s">
        <v>961</v>
      </c>
      <c r="AK1687" s="25">
        <v>673</v>
      </c>
    </row>
    <row r="1688" spans="36:37" x14ac:dyDescent="0.2">
      <c r="AJ1688" s="7">
        <v>886</v>
      </c>
      <c r="AK1688" s="25">
        <v>673</v>
      </c>
    </row>
    <row r="1689" spans="36:37" x14ac:dyDescent="0.2">
      <c r="AJ1689" s="6" t="s">
        <v>776</v>
      </c>
      <c r="AK1689" s="25">
        <v>1001</v>
      </c>
    </row>
    <row r="1690" spans="36:37" x14ac:dyDescent="0.2">
      <c r="AJ1690" s="7">
        <v>709</v>
      </c>
      <c r="AK1690" s="25">
        <v>1001</v>
      </c>
    </row>
    <row r="1691" spans="36:37" x14ac:dyDescent="0.2">
      <c r="AJ1691" s="6" t="s">
        <v>462</v>
      </c>
      <c r="AK1691" s="25">
        <v>460</v>
      </c>
    </row>
    <row r="1692" spans="36:37" x14ac:dyDescent="0.2">
      <c r="AJ1692" s="7">
        <v>406</v>
      </c>
      <c r="AK1692" s="25">
        <v>460</v>
      </c>
    </row>
    <row r="1693" spans="36:37" x14ac:dyDescent="0.2">
      <c r="AJ1693" s="6" t="s">
        <v>967</v>
      </c>
      <c r="AK1693" s="25">
        <v>673</v>
      </c>
    </row>
    <row r="1694" spans="36:37" x14ac:dyDescent="0.2">
      <c r="AJ1694" s="7">
        <v>892</v>
      </c>
      <c r="AK1694" s="25">
        <v>673</v>
      </c>
    </row>
    <row r="1695" spans="36:37" x14ac:dyDescent="0.2">
      <c r="AJ1695" s="6" t="s">
        <v>888</v>
      </c>
      <c r="AK1695" s="25">
        <v>898</v>
      </c>
    </row>
    <row r="1696" spans="36:37" x14ac:dyDescent="0.2">
      <c r="AJ1696" s="7">
        <v>814</v>
      </c>
      <c r="AK1696" s="25">
        <v>898</v>
      </c>
    </row>
    <row r="1697" spans="36:37" x14ac:dyDescent="0.2">
      <c r="AJ1697" s="6" t="s">
        <v>1063</v>
      </c>
      <c r="AK1697" s="25">
        <v>1001</v>
      </c>
    </row>
    <row r="1698" spans="36:37" x14ac:dyDescent="0.2">
      <c r="AJ1698" s="7">
        <v>985</v>
      </c>
      <c r="AK1698" s="25">
        <v>1001</v>
      </c>
    </row>
    <row r="1699" spans="36:37" x14ac:dyDescent="0.2">
      <c r="AJ1699" s="6" t="s">
        <v>604</v>
      </c>
      <c r="AK1699" s="25">
        <v>673</v>
      </c>
    </row>
    <row r="1700" spans="36:37" x14ac:dyDescent="0.2">
      <c r="AJ1700" s="7">
        <v>538</v>
      </c>
      <c r="AK1700" s="25">
        <v>673</v>
      </c>
    </row>
    <row r="1701" spans="36:37" x14ac:dyDescent="0.2">
      <c r="AJ1701" s="6" t="s">
        <v>45</v>
      </c>
      <c r="AK1701" s="25">
        <v>59</v>
      </c>
    </row>
    <row r="1702" spans="36:37" x14ac:dyDescent="0.2">
      <c r="AJ1702" s="7">
        <v>28</v>
      </c>
      <c r="AK1702" s="25">
        <v>59</v>
      </c>
    </row>
    <row r="1703" spans="36:37" x14ac:dyDescent="0.2">
      <c r="AJ1703" s="6" t="s">
        <v>718</v>
      </c>
      <c r="AK1703" s="25">
        <v>673</v>
      </c>
    </row>
    <row r="1704" spans="36:37" x14ac:dyDescent="0.2">
      <c r="AJ1704" s="7">
        <v>652</v>
      </c>
      <c r="AK1704" s="25">
        <v>673</v>
      </c>
    </row>
    <row r="1705" spans="36:37" x14ac:dyDescent="0.2">
      <c r="AJ1705" s="6" t="s">
        <v>948</v>
      </c>
      <c r="AK1705" s="25">
        <v>541</v>
      </c>
    </row>
    <row r="1706" spans="36:37" x14ac:dyDescent="0.2">
      <c r="AJ1706" s="7">
        <v>874</v>
      </c>
      <c r="AK1706" s="25">
        <v>541</v>
      </c>
    </row>
    <row r="1707" spans="36:37" x14ac:dyDescent="0.2">
      <c r="AJ1707" s="6" t="s">
        <v>141</v>
      </c>
      <c r="AK1707" s="25">
        <v>72</v>
      </c>
    </row>
    <row r="1708" spans="36:37" x14ac:dyDescent="0.2">
      <c r="AJ1708" s="7">
        <v>106</v>
      </c>
      <c r="AK1708" s="25">
        <v>72</v>
      </c>
    </row>
    <row r="1709" spans="36:37" x14ac:dyDescent="0.2">
      <c r="AJ1709" s="6" t="s">
        <v>110</v>
      </c>
      <c r="AK1709" s="25">
        <v>63</v>
      </c>
    </row>
    <row r="1710" spans="36:37" x14ac:dyDescent="0.2">
      <c r="AJ1710" s="7">
        <v>80</v>
      </c>
      <c r="AK1710" s="25">
        <v>63</v>
      </c>
    </row>
    <row r="1711" spans="36:37" x14ac:dyDescent="0.2">
      <c r="AJ1711" s="6" t="s">
        <v>435</v>
      </c>
      <c r="AK1711" s="25">
        <v>541</v>
      </c>
    </row>
    <row r="1712" spans="36:37" x14ac:dyDescent="0.2">
      <c r="AJ1712" s="7">
        <v>379</v>
      </c>
      <c r="AK1712" s="25">
        <v>541</v>
      </c>
    </row>
    <row r="1713" spans="36:37" x14ac:dyDescent="0.2">
      <c r="AJ1713" s="6" t="s">
        <v>815</v>
      </c>
      <c r="AK1713" s="25">
        <v>898</v>
      </c>
    </row>
    <row r="1714" spans="36:37" x14ac:dyDescent="0.2">
      <c r="AJ1714" s="7">
        <v>747</v>
      </c>
      <c r="AK1714" s="25">
        <v>898</v>
      </c>
    </row>
    <row r="1715" spans="36:37" x14ac:dyDescent="0.2">
      <c r="AJ1715" s="6" t="s">
        <v>682</v>
      </c>
      <c r="AK1715" s="25">
        <v>363</v>
      </c>
    </row>
    <row r="1716" spans="36:37" x14ac:dyDescent="0.2">
      <c r="AJ1716" s="7">
        <v>616</v>
      </c>
      <c r="AK1716" s="25">
        <v>363</v>
      </c>
    </row>
    <row r="1717" spans="36:37" x14ac:dyDescent="0.2">
      <c r="AJ1717" s="6" t="s">
        <v>1058</v>
      </c>
      <c r="AK1717" s="25">
        <v>327</v>
      </c>
    </row>
    <row r="1718" spans="36:37" x14ac:dyDescent="0.2">
      <c r="AJ1718" s="7">
        <v>980</v>
      </c>
      <c r="AK1718" s="25">
        <v>327</v>
      </c>
    </row>
    <row r="1719" spans="36:37" x14ac:dyDescent="0.2">
      <c r="AJ1719" s="6" t="s">
        <v>562</v>
      </c>
      <c r="AK1719" s="25">
        <v>898</v>
      </c>
    </row>
    <row r="1720" spans="36:37" x14ac:dyDescent="0.2">
      <c r="AJ1720" s="7">
        <v>497</v>
      </c>
      <c r="AK1720" s="25">
        <v>898</v>
      </c>
    </row>
    <row r="1721" spans="36:37" x14ac:dyDescent="0.2">
      <c r="AJ1721" s="6" t="s">
        <v>599</v>
      </c>
      <c r="AK1721" s="25">
        <v>1001</v>
      </c>
    </row>
    <row r="1722" spans="36:37" x14ac:dyDescent="0.2">
      <c r="AJ1722" s="7">
        <v>533</v>
      </c>
      <c r="AK1722" s="25">
        <v>1001</v>
      </c>
    </row>
    <row r="1723" spans="36:37" x14ac:dyDescent="0.2">
      <c r="AJ1723" s="6" t="s">
        <v>909</v>
      </c>
      <c r="AK1723" s="25">
        <v>898</v>
      </c>
    </row>
    <row r="1724" spans="36:37" x14ac:dyDescent="0.2">
      <c r="AJ1724" s="7">
        <v>835</v>
      </c>
      <c r="AK1724" s="25">
        <v>898</v>
      </c>
    </row>
    <row r="1725" spans="36:37" x14ac:dyDescent="0.2">
      <c r="AJ1725" s="6" t="s">
        <v>469</v>
      </c>
      <c r="AK1725" s="25">
        <v>405</v>
      </c>
    </row>
    <row r="1726" spans="36:37" x14ac:dyDescent="0.2">
      <c r="AJ1726" s="7">
        <v>413</v>
      </c>
      <c r="AK1726" s="25">
        <v>405</v>
      </c>
    </row>
    <row r="1727" spans="36:37" x14ac:dyDescent="0.2">
      <c r="AJ1727" s="6" t="s">
        <v>232</v>
      </c>
      <c r="AK1727" s="25">
        <v>240</v>
      </c>
    </row>
    <row r="1728" spans="36:37" x14ac:dyDescent="0.2">
      <c r="AJ1728" s="7">
        <v>192</v>
      </c>
      <c r="AK1728" s="25">
        <v>240</v>
      </c>
    </row>
    <row r="1729" spans="36:37" x14ac:dyDescent="0.2">
      <c r="AJ1729" s="6" t="s">
        <v>41</v>
      </c>
      <c r="AK1729" s="25">
        <v>14</v>
      </c>
    </row>
    <row r="1730" spans="36:37" x14ac:dyDescent="0.2">
      <c r="AJ1730" s="7">
        <v>24</v>
      </c>
      <c r="AK1730" s="25">
        <v>14</v>
      </c>
    </row>
    <row r="1731" spans="36:37" x14ac:dyDescent="0.2">
      <c r="AJ1731" s="6" t="s">
        <v>1014</v>
      </c>
      <c r="AK1731" s="25">
        <v>673</v>
      </c>
    </row>
    <row r="1732" spans="36:37" x14ac:dyDescent="0.2">
      <c r="AJ1732" s="7">
        <v>936</v>
      </c>
      <c r="AK1732" s="25">
        <v>673</v>
      </c>
    </row>
    <row r="1733" spans="36:37" x14ac:dyDescent="0.2">
      <c r="AJ1733" s="6" t="s">
        <v>408</v>
      </c>
      <c r="AK1733" s="25">
        <v>187</v>
      </c>
    </row>
    <row r="1734" spans="36:37" x14ac:dyDescent="0.2">
      <c r="AJ1734" s="7">
        <v>354</v>
      </c>
      <c r="AK1734" s="25">
        <v>187</v>
      </c>
    </row>
    <row r="1735" spans="36:37" x14ac:dyDescent="0.2">
      <c r="AJ1735" s="6" t="s">
        <v>772</v>
      </c>
      <c r="AK1735" s="25">
        <v>460</v>
      </c>
    </row>
    <row r="1736" spans="36:37" x14ac:dyDescent="0.2">
      <c r="AJ1736" s="7">
        <v>705</v>
      </c>
      <c r="AK1736" s="25">
        <v>460</v>
      </c>
    </row>
    <row r="1737" spans="36:37" x14ac:dyDescent="0.2">
      <c r="AJ1737" s="6" t="s">
        <v>952</v>
      </c>
      <c r="AK1737" s="25">
        <v>1001</v>
      </c>
    </row>
    <row r="1738" spans="36:37" x14ac:dyDescent="0.2">
      <c r="AJ1738" s="7">
        <v>878</v>
      </c>
      <c r="AK1738" s="25">
        <v>1001</v>
      </c>
    </row>
    <row r="1739" spans="36:37" x14ac:dyDescent="0.2">
      <c r="AJ1739" s="6" t="s">
        <v>1016</v>
      </c>
      <c r="AK1739" s="25">
        <v>898</v>
      </c>
    </row>
    <row r="1740" spans="36:37" x14ac:dyDescent="0.2">
      <c r="AJ1740" s="7">
        <v>938</v>
      </c>
      <c r="AK1740" s="25">
        <v>898</v>
      </c>
    </row>
    <row r="1741" spans="36:37" x14ac:dyDescent="0.2">
      <c r="AJ1741" s="6" t="s">
        <v>331</v>
      </c>
      <c r="AK1741" s="25">
        <v>363</v>
      </c>
    </row>
    <row r="1742" spans="36:37" x14ac:dyDescent="0.2">
      <c r="AJ1742" s="7">
        <v>284</v>
      </c>
      <c r="AK1742" s="25">
        <v>363</v>
      </c>
    </row>
    <row r="1743" spans="36:37" x14ac:dyDescent="0.2">
      <c r="AJ1743" s="6" t="s">
        <v>443</v>
      </c>
      <c r="AK1743" s="25">
        <v>254</v>
      </c>
    </row>
    <row r="1744" spans="36:37" x14ac:dyDescent="0.2">
      <c r="AJ1744" s="7">
        <v>387</v>
      </c>
      <c r="AK1744" s="25">
        <v>254</v>
      </c>
    </row>
    <row r="1745" spans="36:37" x14ac:dyDescent="0.2">
      <c r="AJ1745" s="6" t="s">
        <v>159</v>
      </c>
      <c r="AK1745" s="25">
        <v>240</v>
      </c>
    </row>
    <row r="1746" spans="36:37" x14ac:dyDescent="0.2">
      <c r="AJ1746" s="7">
        <v>122</v>
      </c>
      <c r="AK1746" s="25">
        <v>240</v>
      </c>
    </row>
    <row r="1747" spans="36:37" x14ac:dyDescent="0.2">
      <c r="AJ1747" s="6" t="s">
        <v>884</v>
      </c>
      <c r="AK1747" s="25">
        <v>460</v>
      </c>
    </row>
    <row r="1748" spans="36:37" x14ac:dyDescent="0.2">
      <c r="AJ1748" s="7">
        <v>810</v>
      </c>
      <c r="AK1748" s="25">
        <v>460</v>
      </c>
    </row>
    <row r="1749" spans="36:37" x14ac:dyDescent="0.2">
      <c r="AJ1749" s="6" t="s">
        <v>400</v>
      </c>
      <c r="AK1749" s="25">
        <v>405</v>
      </c>
    </row>
    <row r="1750" spans="36:37" x14ac:dyDescent="0.2">
      <c r="AJ1750" s="7">
        <v>346</v>
      </c>
      <c r="AK1750" s="25">
        <v>405</v>
      </c>
    </row>
    <row r="1751" spans="36:37" x14ac:dyDescent="0.2">
      <c r="AJ1751" s="6" t="s">
        <v>325</v>
      </c>
      <c r="AK1751" s="25">
        <v>200</v>
      </c>
    </row>
    <row r="1752" spans="36:37" x14ac:dyDescent="0.2">
      <c r="AJ1752" s="7">
        <v>278</v>
      </c>
      <c r="AK1752" s="25">
        <v>200</v>
      </c>
    </row>
    <row r="1753" spans="36:37" x14ac:dyDescent="0.2">
      <c r="AJ1753" s="6" t="s">
        <v>733</v>
      </c>
      <c r="AK1753" s="25">
        <v>460</v>
      </c>
    </row>
    <row r="1754" spans="36:37" x14ac:dyDescent="0.2">
      <c r="AJ1754" s="7">
        <v>667</v>
      </c>
      <c r="AK1754" s="25">
        <v>460</v>
      </c>
    </row>
    <row r="1755" spans="36:37" x14ac:dyDescent="0.2">
      <c r="AJ1755" s="6" t="s">
        <v>456</v>
      </c>
      <c r="AK1755" s="25">
        <v>898</v>
      </c>
    </row>
    <row r="1756" spans="36:37" x14ac:dyDescent="0.2">
      <c r="AJ1756" s="7">
        <v>400</v>
      </c>
      <c r="AK1756" s="25">
        <v>898</v>
      </c>
    </row>
    <row r="1757" spans="36:37" x14ac:dyDescent="0.2">
      <c r="AJ1757" s="6" t="s">
        <v>936</v>
      </c>
      <c r="AK1757" s="25">
        <v>460</v>
      </c>
    </row>
    <row r="1758" spans="36:37" x14ac:dyDescent="0.2">
      <c r="AJ1758" s="7">
        <v>862</v>
      </c>
      <c r="AK1758" s="25">
        <v>460</v>
      </c>
    </row>
    <row r="1759" spans="36:37" x14ac:dyDescent="0.2">
      <c r="AJ1759" s="6" t="s">
        <v>895</v>
      </c>
      <c r="AK1759" s="25">
        <v>673</v>
      </c>
    </row>
    <row r="1760" spans="36:37" x14ac:dyDescent="0.2">
      <c r="AJ1760" s="7">
        <v>821</v>
      </c>
      <c r="AK1760" s="25">
        <v>673</v>
      </c>
    </row>
    <row r="1761" spans="36:37" x14ac:dyDescent="0.2">
      <c r="AJ1761" s="6" t="s">
        <v>30</v>
      </c>
      <c r="AK1761" s="25">
        <v>40</v>
      </c>
    </row>
    <row r="1762" spans="36:37" x14ac:dyDescent="0.2">
      <c r="AJ1762" s="7">
        <v>14</v>
      </c>
      <c r="AK1762" s="25">
        <v>40</v>
      </c>
    </row>
    <row r="1763" spans="36:37" x14ac:dyDescent="0.2">
      <c r="AJ1763" s="6" t="s">
        <v>786</v>
      </c>
      <c r="AK1763" s="25">
        <v>1001</v>
      </c>
    </row>
    <row r="1764" spans="36:37" x14ac:dyDescent="0.2">
      <c r="AJ1764" s="7">
        <v>719</v>
      </c>
      <c r="AK1764" s="25">
        <v>1001</v>
      </c>
    </row>
    <row r="1765" spans="36:37" x14ac:dyDescent="0.2">
      <c r="AJ1765" s="6" t="s">
        <v>995</v>
      </c>
      <c r="AK1765" s="25">
        <v>898</v>
      </c>
    </row>
    <row r="1766" spans="36:37" x14ac:dyDescent="0.2">
      <c r="AJ1766" s="7">
        <v>917</v>
      </c>
      <c r="AK1766" s="25">
        <v>898</v>
      </c>
    </row>
    <row r="1767" spans="36:37" x14ac:dyDescent="0.2">
      <c r="AJ1767" s="6" t="s">
        <v>311</v>
      </c>
      <c r="AK1767" s="25">
        <v>363</v>
      </c>
    </row>
    <row r="1768" spans="36:37" x14ac:dyDescent="0.2">
      <c r="AJ1768" s="7">
        <v>264</v>
      </c>
      <c r="AK1768" s="25">
        <v>363</v>
      </c>
    </row>
    <row r="1769" spans="36:37" x14ac:dyDescent="0.2">
      <c r="AJ1769" s="6" t="s">
        <v>739</v>
      </c>
      <c r="AK1769" s="25">
        <v>541</v>
      </c>
    </row>
    <row r="1770" spans="36:37" x14ac:dyDescent="0.2">
      <c r="AJ1770" s="7">
        <v>673</v>
      </c>
      <c r="AK1770" s="25">
        <v>541</v>
      </c>
    </row>
    <row r="1771" spans="36:37" x14ac:dyDescent="0.2">
      <c r="AJ1771" s="6" t="s">
        <v>23</v>
      </c>
      <c r="AK1771" s="25">
        <v>10</v>
      </c>
    </row>
    <row r="1772" spans="36:37" x14ac:dyDescent="0.2">
      <c r="AJ1772" s="7">
        <v>8</v>
      </c>
      <c r="AK1772" s="25">
        <v>10</v>
      </c>
    </row>
    <row r="1773" spans="36:37" x14ac:dyDescent="0.2">
      <c r="AJ1773" s="6" t="s">
        <v>289</v>
      </c>
      <c r="AK1773" s="25">
        <v>304</v>
      </c>
    </row>
    <row r="1774" spans="36:37" x14ac:dyDescent="0.2">
      <c r="AJ1774" s="7">
        <v>244</v>
      </c>
      <c r="AK1774" s="25">
        <v>304</v>
      </c>
    </row>
    <row r="1775" spans="36:37" x14ac:dyDescent="0.2">
      <c r="AJ1775" s="6" t="s">
        <v>594</v>
      </c>
      <c r="AK1775" s="25">
        <v>405</v>
      </c>
    </row>
    <row r="1776" spans="36:37" x14ac:dyDescent="0.2">
      <c r="AJ1776" s="7">
        <v>528</v>
      </c>
      <c r="AK1776" s="25">
        <v>405</v>
      </c>
    </row>
    <row r="1777" spans="36:37" x14ac:dyDescent="0.2">
      <c r="AJ1777" s="6" t="s">
        <v>648</v>
      </c>
      <c r="AK1777" s="25">
        <v>405</v>
      </c>
    </row>
    <row r="1778" spans="36:37" x14ac:dyDescent="0.2">
      <c r="AJ1778" s="7">
        <v>582</v>
      </c>
      <c r="AK1778" s="25">
        <v>405</v>
      </c>
    </row>
    <row r="1779" spans="36:37" x14ac:dyDescent="0.2">
      <c r="AJ1779" s="6" t="s">
        <v>560</v>
      </c>
      <c r="AK1779" s="25">
        <v>405</v>
      </c>
    </row>
    <row r="1780" spans="36:37" x14ac:dyDescent="0.2">
      <c r="AJ1780" s="7">
        <v>495</v>
      </c>
      <c r="AK1780" s="25">
        <v>405</v>
      </c>
    </row>
    <row r="1781" spans="36:37" x14ac:dyDescent="0.2">
      <c r="AJ1781" s="6" t="s">
        <v>263</v>
      </c>
      <c r="AK1781" s="25">
        <v>254</v>
      </c>
    </row>
    <row r="1782" spans="36:37" x14ac:dyDescent="0.2">
      <c r="AJ1782" s="7">
        <v>221</v>
      </c>
      <c r="AK1782" s="25">
        <v>254</v>
      </c>
    </row>
    <row r="1783" spans="36:37" x14ac:dyDescent="0.2">
      <c r="AJ1783" s="6" t="s">
        <v>966</v>
      </c>
      <c r="AK1783" s="25">
        <v>898</v>
      </c>
    </row>
    <row r="1784" spans="36:37" x14ac:dyDescent="0.2">
      <c r="AJ1784" s="7">
        <v>891</v>
      </c>
      <c r="AK1784" s="25">
        <v>898</v>
      </c>
    </row>
    <row r="1785" spans="36:37" x14ac:dyDescent="0.2">
      <c r="AJ1785" s="6" t="s">
        <v>412</v>
      </c>
      <c r="AK1785" s="25">
        <v>327</v>
      </c>
    </row>
    <row r="1786" spans="36:37" x14ac:dyDescent="0.2">
      <c r="AJ1786" s="7">
        <v>358</v>
      </c>
      <c r="AK1786" s="25">
        <v>327</v>
      </c>
    </row>
    <row r="1787" spans="36:37" x14ac:dyDescent="0.2">
      <c r="AJ1787" s="6" t="s">
        <v>773</v>
      </c>
      <c r="AK1787" s="25">
        <v>673</v>
      </c>
    </row>
    <row r="1788" spans="36:37" x14ac:dyDescent="0.2">
      <c r="AJ1788" s="7">
        <v>706</v>
      </c>
      <c r="AK1788" s="25">
        <v>673</v>
      </c>
    </row>
    <row r="1789" spans="36:37" x14ac:dyDescent="0.2">
      <c r="AJ1789" s="6" t="s">
        <v>651</v>
      </c>
      <c r="AK1789" s="25">
        <v>673</v>
      </c>
    </row>
    <row r="1790" spans="36:37" x14ac:dyDescent="0.2">
      <c r="AJ1790" s="7">
        <v>585</v>
      </c>
      <c r="AK1790" s="25">
        <v>673</v>
      </c>
    </row>
    <row r="1791" spans="36:37" x14ac:dyDescent="0.2">
      <c r="AJ1791" s="6" t="s">
        <v>673</v>
      </c>
      <c r="AK1791" s="25">
        <v>1001</v>
      </c>
    </row>
    <row r="1792" spans="36:37" x14ac:dyDescent="0.2">
      <c r="AJ1792" s="7">
        <v>607</v>
      </c>
      <c r="AK1792" s="25">
        <v>1001</v>
      </c>
    </row>
    <row r="1793" spans="36:37" x14ac:dyDescent="0.2">
      <c r="AJ1793" s="6" t="s">
        <v>885</v>
      </c>
      <c r="AK1793" s="25">
        <v>898</v>
      </c>
    </row>
    <row r="1794" spans="36:37" x14ac:dyDescent="0.2">
      <c r="AJ1794" s="7">
        <v>811</v>
      </c>
      <c r="AK1794" s="25">
        <v>898</v>
      </c>
    </row>
    <row r="1795" spans="36:37" x14ac:dyDescent="0.2">
      <c r="AJ1795" s="6" t="s">
        <v>674</v>
      </c>
      <c r="AK1795" s="25">
        <v>673</v>
      </c>
    </row>
    <row r="1796" spans="36:37" x14ac:dyDescent="0.2">
      <c r="AJ1796" s="7">
        <v>608</v>
      </c>
      <c r="AK1796" s="25">
        <v>673</v>
      </c>
    </row>
    <row r="1797" spans="36:37" x14ac:dyDescent="0.2">
      <c r="AJ1797" s="6" t="s">
        <v>1049</v>
      </c>
      <c r="AK1797" s="25">
        <v>898</v>
      </c>
    </row>
    <row r="1798" spans="36:37" x14ac:dyDescent="0.2">
      <c r="AJ1798" s="7">
        <v>971</v>
      </c>
      <c r="AK1798" s="25">
        <v>898</v>
      </c>
    </row>
    <row r="1799" spans="36:37" x14ac:dyDescent="0.2">
      <c r="AJ1799" s="6" t="s">
        <v>949</v>
      </c>
      <c r="AK1799" s="25">
        <v>898</v>
      </c>
    </row>
    <row r="1800" spans="36:37" x14ac:dyDescent="0.2">
      <c r="AJ1800" s="7">
        <v>875</v>
      </c>
      <c r="AK1800" s="25">
        <v>898</v>
      </c>
    </row>
    <row r="1801" spans="36:37" x14ac:dyDescent="0.2">
      <c r="AJ1801" s="6" t="s">
        <v>552</v>
      </c>
      <c r="AK1801" s="25">
        <v>460</v>
      </c>
    </row>
    <row r="1802" spans="36:37" x14ac:dyDescent="0.2">
      <c r="AJ1802" s="7">
        <v>488</v>
      </c>
      <c r="AK1802" s="25">
        <v>460</v>
      </c>
    </row>
    <row r="1803" spans="36:37" x14ac:dyDescent="0.2">
      <c r="AJ1803" s="6" t="s">
        <v>490</v>
      </c>
      <c r="AK1803" s="25">
        <v>405</v>
      </c>
    </row>
    <row r="1804" spans="36:37" x14ac:dyDescent="0.2">
      <c r="AJ1804" s="7">
        <v>432</v>
      </c>
      <c r="AK1804" s="25">
        <v>405</v>
      </c>
    </row>
    <row r="1805" spans="36:37" x14ac:dyDescent="0.2">
      <c r="AJ1805" s="6" t="s">
        <v>601</v>
      </c>
      <c r="AK1805" s="25">
        <v>898</v>
      </c>
    </row>
    <row r="1806" spans="36:37" x14ac:dyDescent="0.2">
      <c r="AJ1806" s="7">
        <v>535</v>
      </c>
      <c r="AK1806" s="25">
        <v>898</v>
      </c>
    </row>
    <row r="1807" spans="36:37" x14ac:dyDescent="0.2">
      <c r="AJ1807" s="6" t="s">
        <v>965</v>
      </c>
      <c r="AK1807" s="25">
        <v>1001</v>
      </c>
    </row>
    <row r="1808" spans="36:37" x14ac:dyDescent="0.2">
      <c r="AJ1808" s="7">
        <v>890</v>
      </c>
      <c r="AK1808" s="25">
        <v>1001</v>
      </c>
    </row>
    <row r="1809" spans="36:37" x14ac:dyDescent="0.2">
      <c r="AJ1809" s="6" t="s">
        <v>646</v>
      </c>
      <c r="AK1809" s="25">
        <v>898</v>
      </c>
    </row>
    <row r="1810" spans="36:37" x14ac:dyDescent="0.2">
      <c r="AJ1810" s="7">
        <v>580</v>
      </c>
      <c r="AK1810" s="25">
        <v>898</v>
      </c>
    </row>
    <row r="1811" spans="36:37" x14ac:dyDescent="0.2">
      <c r="AJ1811" s="6" t="s">
        <v>218</v>
      </c>
      <c r="AK1811" s="25">
        <v>174</v>
      </c>
    </row>
    <row r="1812" spans="36:37" x14ac:dyDescent="0.2">
      <c r="AJ1812" s="7">
        <v>178</v>
      </c>
      <c r="AK1812" s="25">
        <v>174</v>
      </c>
    </row>
    <row r="1813" spans="36:37" x14ac:dyDescent="0.2">
      <c r="AJ1813" s="6" t="s">
        <v>350</v>
      </c>
      <c r="AK1813" s="25">
        <v>363</v>
      </c>
    </row>
    <row r="1814" spans="36:37" x14ac:dyDescent="0.2">
      <c r="AJ1814" s="7">
        <v>302</v>
      </c>
      <c r="AK1814" s="25">
        <v>363</v>
      </c>
    </row>
    <row r="1815" spans="36:37" x14ac:dyDescent="0.2">
      <c r="AJ1815" s="6" t="s">
        <v>701</v>
      </c>
      <c r="AK1815" s="25">
        <v>898</v>
      </c>
    </row>
    <row r="1816" spans="36:37" x14ac:dyDescent="0.2">
      <c r="AJ1816" s="7">
        <v>635</v>
      </c>
      <c r="AK1816" s="25">
        <v>898</v>
      </c>
    </row>
    <row r="1817" spans="36:37" x14ac:dyDescent="0.2">
      <c r="AJ1817" s="6" t="s">
        <v>864</v>
      </c>
      <c r="AK1817" s="25">
        <v>898</v>
      </c>
    </row>
    <row r="1818" spans="36:37" x14ac:dyDescent="0.2">
      <c r="AJ1818" s="7">
        <v>792</v>
      </c>
      <c r="AK1818" s="25">
        <v>898</v>
      </c>
    </row>
    <row r="1819" spans="36:37" x14ac:dyDescent="0.2">
      <c r="AJ1819" s="6" t="s">
        <v>526</v>
      </c>
      <c r="AK1819" s="25">
        <v>460</v>
      </c>
    </row>
    <row r="1820" spans="36:37" x14ac:dyDescent="0.2">
      <c r="AJ1820" s="7">
        <v>465</v>
      </c>
      <c r="AK1820" s="25">
        <v>460</v>
      </c>
    </row>
    <row r="1821" spans="36:37" x14ac:dyDescent="0.2">
      <c r="AJ1821" s="6" t="s">
        <v>951</v>
      </c>
      <c r="AK1821" s="25">
        <v>1001</v>
      </c>
    </row>
    <row r="1822" spans="36:37" x14ac:dyDescent="0.2">
      <c r="AJ1822" s="7">
        <v>877</v>
      </c>
      <c r="AK1822" s="25">
        <v>1001</v>
      </c>
    </row>
    <row r="1823" spans="36:37" x14ac:dyDescent="0.2">
      <c r="AJ1823" s="6" t="s">
        <v>614</v>
      </c>
      <c r="AK1823" s="25">
        <v>1001</v>
      </c>
    </row>
    <row r="1824" spans="36:37" x14ac:dyDescent="0.2">
      <c r="AJ1824" s="7">
        <v>548</v>
      </c>
      <c r="AK1824" s="25">
        <v>1001</v>
      </c>
    </row>
    <row r="1825" spans="36:37" x14ac:dyDescent="0.2">
      <c r="AJ1825" s="6" t="s">
        <v>857</v>
      </c>
      <c r="AK1825" s="25">
        <v>1001</v>
      </c>
    </row>
    <row r="1826" spans="36:37" x14ac:dyDescent="0.2">
      <c r="AJ1826" s="7">
        <v>785</v>
      </c>
      <c r="AK1826" s="25">
        <v>1001</v>
      </c>
    </row>
    <row r="1827" spans="36:37" x14ac:dyDescent="0.2">
      <c r="AJ1827" s="6" t="s">
        <v>911</v>
      </c>
      <c r="AK1827" s="25">
        <v>1001</v>
      </c>
    </row>
    <row r="1828" spans="36:37" x14ac:dyDescent="0.2">
      <c r="AJ1828" s="7">
        <v>837</v>
      </c>
      <c r="AK1828" s="25">
        <v>1001</v>
      </c>
    </row>
    <row r="1829" spans="36:37" x14ac:dyDescent="0.2">
      <c r="AJ1829" s="6" t="s">
        <v>452</v>
      </c>
      <c r="AK1829" s="25">
        <v>673</v>
      </c>
    </row>
    <row r="1830" spans="36:37" x14ac:dyDescent="0.2">
      <c r="AJ1830" s="7">
        <v>396</v>
      </c>
      <c r="AK1830" s="25">
        <v>673</v>
      </c>
    </row>
    <row r="1831" spans="36:37" x14ac:dyDescent="0.2">
      <c r="AJ1831" s="6" t="s">
        <v>546</v>
      </c>
      <c r="AK1831" s="25">
        <v>898</v>
      </c>
    </row>
    <row r="1832" spans="36:37" x14ac:dyDescent="0.2">
      <c r="AJ1832" s="7">
        <v>482</v>
      </c>
      <c r="AK1832" s="25">
        <v>898</v>
      </c>
    </row>
    <row r="1833" spans="36:37" x14ac:dyDescent="0.2">
      <c r="AJ1833" s="6" t="s">
        <v>865</v>
      </c>
      <c r="AK1833" s="25">
        <v>673</v>
      </c>
    </row>
    <row r="1834" spans="36:37" x14ac:dyDescent="0.2">
      <c r="AJ1834" s="7">
        <v>793</v>
      </c>
      <c r="AK1834" s="25">
        <v>673</v>
      </c>
    </row>
    <row r="1835" spans="36:37" x14ac:dyDescent="0.2">
      <c r="AJ1835" s="6" t="s">
        <v>243</v>
      </c>
      <c r="AK1835" s="25">
        <v>200</v>
      </c>
    </row>
    <row r="1836" spans="36:37" x14ac:dyDescent="0.2">
      <c r="AJ1836" s="7">
        <v>203</v>
      </c>
      <c r="AK1836" s="25">
        <v>200</v>
      </c>
    </row>
    <row r="1837" spans="36:37" x14ac:dyDescent="0.2">
      <c r="AJ1837" s="6" t="s">
        <v>575</v>
      </c>
      <c r="AK1837" s="25">
        <v>1001</v>
      </c>
    </row>
    <row r="1838" spans="36:37" x14ac:dyDescent="0.2">
      <c r="AJ1838" s="7">
        <v>510</v>
      </c>
      <c r="AK1838" s="25">
        <v>1001</v>
      </c>
    </row>
    <row r="1839" spans="36:37" x14ac:dyDescent="0.2">
      <c r="AJ1839" s="6" t="s">
        <v>525</v>
      </c>
      <c r="AK1839" s="25">
        <v>673</v>
      </c>
    </row>
    <row r="1840" spans="36:37" x14ac:dyDescent="0.2">
      <c r="AJ1840" s="7">
        <v>464</v>
      </c>
      <c r="AK1840" s="25">
        <v>673</v>
      </c>
    </row>
    <row r="1841" spans="36:37" x14ac:dyDescent="0.2">
      <c r="AJ1841" s="6" t="s">
        <v>652</v>
      </c>
      <c r="AK1841" s="25">
        <v>673</v>
      </c>
    </row>
    <row r="1842" spans="36:37" x14ac:dyDescent="0.2">
      <c r="AJ1842" s="7">
        <v>586</v>
      </c>
      <c r="AK1842" s="25">
        <v>673</v>
      </c>
    </row>
    <row r="1843" spans="36:37" x14ac:dyDescent="0.2">
      <c r="AJ1843" s="6" t="s">
        <v>379</v>
      </c>
      <c r="AK1843" s="25">
        <v>460</v>
      </c>
    </row>
    <row r="1844" spans="36:37" x14ac:dyDescent="0.2">
      <c r="AJ1844" s="7">
        <v>328</v>
      </c>
      <c r="AK1844" s="25">
        <v>460</v>
      </c>
    </row>
    <row r="1845" spans="36:37" x14ac:dyDescent="0.2">
      <c r="AJ1845" s="6" t="s">
        <v>760</v>
      </c>
      <c r="AK1845" s="25">
        <v>541</v>
      </c>
    </row>
    <row r="1846" spans="36:37" x14ac:dyDescent="0.2">
      <c r="AJ1846" s="7">
        <v>693</v>
      </c>
      <c r="AK1846" s="25">
        <v>541</v>
      </c>
    </row>
    <row r="1847" spans="36:37" x14ac:dyDescent="0.2">
      <c r="AJ1847" s="6" t="s">
        <v>473</v>
      </c>
      <c r="AK1847" s="25">
        <v>327</v>
      </c>
    </row>
    <row r="1848" spans="36:37" x14ac:dyDescent="0.2">
      <c r="AJ1848" s="7">
        <v>416</v>
      </c>
      <c r="AK1848" s="25">
        <v>327</v>
      </c>
    </row>
    <row r="1849" spans="36:37" x14ac:dyDescent="0.2">
      <c r="AJ1849" s="6" t="s">
        <v>618</v>
      </c>
      <c r="AK1849" s="25">
        <v>673</v>
      </c>
    </row>
    <row r="1850" spans="36:37" x14ac:dyDescent="0.2">
      <c r="AJ1850" s="7">
        <v>552</v>
      </c>
      <c r="AK1850" s="25">
        <v>673</v>
      </c>
    </row>
    <row r="1851" spans="36:37" x14ac:dyDescent="0.2">
      <c r="AJ1851" s="6" t="s">
        <v>180</v>
      </c>
      <c r="AK1851" s="25">
        <v>76</v>
      </c>
    </row>
    <row r="1852" spans="36:37" x14ac:dyDescent="0.2">
      <c r="AJ1852" s="7">
        <v>142</v>
      </c>
      <c r="AK1852" s="25">
        <v>76</v>
      </c>
    </row>
    <row r="1853" spans="36:37" x14ac:dyDescent="0.2">
      <c r="AJ1853" s="6" t="s">
        <v>122</v>
      </c>
      <c r="AK1853" s="25">
        <v>129</v>
      </c>
    </row>
    <row r="1854" spans="36:37" x14ac:dyDescent="0.2">
      <c r="AJ1854" s="7">
        <v>91</v>
      </c>
      <c r="AK1854" s="25">
        <v>129</v>
      </c>
    </row>
    <row r="1855" spans="36:37" x14ac:dyDescent="0.2">
      <c r="AJ1855" s="6" t="s">
        <v>902</v>
      </c>
      <c r="AK1855" s="25">
        <v>898</v>
      </c>
    </row>
    <row r="1856" spans="36:37" x14ac:dyDescent="0.2">
      <c r="AJ1856" s="7">
        <v>828</v>
      </c>
      <c r="AK1856" s="25">
        <v>898</v>
      </c>
    </row>
    <row r="1857" spans="36:37" x14ac:dyDescent="0.2">
      <c r="AJ1857" s="6" t="s">
        <v>623</v>
      </c>
      <c r="AK1857" s="25">
        <v>405</v>
      </c>
    </row>
    <row r="1858" spans="36:37" x14ac:dyDescent="0.2">
      <c r="AJ1858" s="7">
        <v>557</v>
      </c>
      <c r="AK1858" s="25">
        <v>405</v>
      </c>
    </row>
    <row r="1859" spans="36:37" x14ac:dyDescent="0.2">
      <c r="AJ1859" s="6" t="s">
        <v>784</v>
      </c>
      <c r="AK1859" s="25">
        <v>541</v>
      </c>
    </row>
    <row r="1860" spans="36:37" x14ac:dyDescent="0.2">
      <c r="AJ1860" s="7">
        <v>717</v>
      </c>
      <c r="AK1860" s="25">
        <v>541</v>
      </c>
    </row>
    <row r="1861" spans="36:37" x14ac:dyDescent="0.2">
      <c r="AJ1861" s="6" t="s">
        <v>169</v>
      </c>
      <c r="AK1861" s="25">
        <v>121</v>
      </c>
    </row>
    <row r="1862" spans="36:37" x14ac:dyDescent="0.2">
      <c r="AJ1862" s="7">
        <v>131</v>
      </c>
      <c r="AK1862" s="25">
        <v>121</v>
      </c>
    </row>
    <row r="1863" spans="36:37" x14ac:dyDescent="0.2">
      <c r="AJ1863" s="6" t="s">
        <v>1080</v>
      </c>
      <c r="AK1863" s="25">
        <v>1001</v>
      </c>
    </row>
    <row r="1864" spans="36:37" x14ac:dyDescent="0.2">
      <c r="AJ1864" s="7">
        <v>1000</v>
      </c>
      <c r="AK1864" s="25">
        <v>1001</v>
      </c>
    </row>
    <row r="1865" spans="36:37" x14ac:dyDescent="0.2">
      <c r="AJ1865" s="6" t="s">
        <v>491</v>
      </c>
      <c r="AK1865" s="25">
        <v>405</v>
      </c>
    </row>
    <row r="1866" spans="36:37" x14ac:dyDescent="0.2">
      <c r="AJ1866" s="7">
        <v>433</v>
      </c>
      <c r="AK1866" s="25">
        <v>405</v>
      </c>
    </row>
    <row r="1867" spans="36:37" x14ac:dyDescent="0.2">
      <c r="AJ1867" s="6" t="s">
        <v>24</v>
      </c>
      <c r="AK1867" s="25">
        <v>31</v>
      </c>
    </row>
    <row r="1868" spans="36:37" x14ac:dyDescent="0.2">
      <c r="AJ1868" s="7">
        <v>9</v>
      </c>
      <c r="AK1868" s="25">
        <v>31</v>
      </c>
    </row>
    <row r="1869" spans="36:37" x14ac:dyDescent="0.2">
      <c r="AJ1869" s="6" t="s">
        <v>511</v>
      </c>
      <c r="AK1869" s="25">
        <v>541</v>
      </c>
    </row>
    <row r="1870" spans="36:37" x14ac:dyDescent="0.2">
      <c r="AJ1870" s="7">
        <v>452</v>
      </c>
      <c r="AK1870" s="25">
        <v>541</v>
      </c>
    </row>
    <row r="1871" spans="36:37" x14ac:dyDescent="0.2">
      <c r="AJ1871" s="6" t="s">
        <v>897</v>
      </c>
      <c r="AK1871" s="25">
        <v>673</v>
      </c>
    </row>
    <row r="1872" spans="36:37" x14ac:dyDescent="0.2">
      <c r="AJ1872" s="7">
        <v>823</v>
      </c>
      <c r="AK1872" s="25">
        <v>673</v>
      </c>
    </row>
    <row r="1873" spans="36:37" x14ac:dyDescent="0.2">
      <c r="AJ1873" s="6" t="s">
        <v>741</v>
      </c>
      <c r="AK1873" s="25">
        <v>673</v>
      </c>
    </row>
    <row r="1874" spans="36:37" x14ac:dyDescent="0.2">
      <c r="AJ1874" s="7">
        <v>674</v>
      </c>
      <c r="AK1874" s="25">
        <v>673</v>
      </c>
    </row>
    <row r="1875" spans="36:37" x14ac:dyDescent="0.2">
      <c r="AJ1875" s="6" t="s">
        <v>82</v>
      </c>
      <c r="AK1875" s="25">
        <v>80</v>
      </c>
    </row>
    <row r="1876" spans="36:37" x14ac:dyDescent="0.2">
      <c r="AJ1876" s="7">
        <v>58</v>
      </c>
      <c r="AK1876" s="25">
        <v>80</v>
      </c>
    </row>
    <row r="1877" spans="36:37" x14ac:dyDescent="0.2">
      <c r="AJ1877" s="6" t="s">
        <v>573</v>
      </c>
      <c r="AK1877" s="25">
        <v>405</v>
      </c>
    </row>
    <row r="1878" spans="36:37" x14ac:dyDescent="0.2">
      <c r="AJ1878" s="7">
        <v>508</v>
      </c>
      <c r="AK1878" s="25">
        <v>405</v>
      </c>
    </row>
    <row r="1879" spans="36:37" x14ac:dyDescent="0.2">
      <c r="AJ1879" s="6" t="s">
        <v>649</v>
      </c>
      <c r="AK1879" s="25">
        <v>673</v>
      </c>
    </row>
    <row r="1880" spans="36:37" x14ac:dyDescent="0.2">
      <c r="AJ1880" s="7">
        <v>583</v>
      </c>
      <c r="AK1880" s="25">
        <v>673</v>
      </c>
    </row>
    <row r="1881" spans="36:37" x14ac:dyDescent="0.2">
      <c r="AJ1881" s="6" t="s">
        <v>295</v>
      </c>
      <c r="AK1881" s="25">
        <v>405</v>
      </c>
    </row>
    <row r="1882" spans="36:37" x14ac:dyDescent="0.2">
      <c r="AJ1882" s="7">
        <v>250</v>
      </c>
      <c r="AK1882" s="25">
        <v>405</v>
      </c>
    </row>
    <row r="1883" spans="36:37" x14ac:dyDescent="0.2">
      <c r="AJ1883" s="6" t="s">
        <v>79</v>
      </c>
      <c r="AK1883" s="25">
        <v>26</v>
      </c>
    </row>
    <row r="1884" spans="36:37" x14ac:dyDescent="0.2">
      <c r="AJ1884" s="7">
        <v>56</v>
      </c>
      <c r="AK1884" s="25">
        <v>26</v>
      </c>
    </row>
    <row r="1885" spans="36:37" x14ac:dyDescent="0.2">
      <c r="AJ1885" s="6" t="s">
        <v>577</v>
      </c>
      <c r="AK1885" s="25">
        <v>363</v>
      </c>
    </row>
    <row r="1886" spans="36:37" x14ac:dyDescent="0.2">
      <c r="AJ1886" s="7">
        <v>512</v>
      </c>
      <c r="AK1886" s="25">
        <v>363</v>
      </c>
    </row>
    <row r="1887" spans="36:37" x14ac:dyDescent="0.2">
      <c r="AJ1887" s="6" t="s">
        <v>808</v>
      </c>
      <c r="AK1887" s="25">
        <v>363</v>
      </c>
    </row>
    <row r="1888" spans="36:37" x14ac:dyDescent="0.2">
      <c r="AJ1888" s="7">
        <v>740</v>
      </c>
      <c r="AK1888" s="25">
        <v>363</v>
      </c>
    </row>
    <row r="1889" spans="36:37" x14ac:dyDescent="0.2">
      <c r="AJ1889" s="6" t="s">
        <v>631</v>
      </c>
      <c r="AK1889" s="25">
        <v>673</v>
      </c>
    </row>
    <row r="1890" spans="36:37" x14ac:dyDescent="0.2">
      <c r="AJ1890" s="7">
        <v>565</v>
      </c>
      <c r="AK1890" s="25">
        <v>673</v>
      </c>
    </row>
    <row r="1891" spans="36:37" x14ac:dyDescent="0.2">
      <c r="AJ1891" s="6" t="s">
        <v>917</v>
      </c>
      <c r="AK1891" s="25">
        <v>898</v>
      </c>
    </row>
    <row r="1892" spans="36:37" x14ac:dyDescent="0.2">
      <c r="AJ1892" s="7">
        <v>843</v>
      </c>
      <c r="AK1892" s="25">
        <v>898</v>
      </c>
    </row>
    <row r="1893" spans="36:37" x14ac:dyDescent="0.2">
      <c r="AJ1893" s="6" t="s">
        <v>861</v>
      </c>
      <c r="AK1893" s="25">
        <v>460</v>
      </c>
    </row>
    <row r="1894" spans="36:37" x14ac:dyDescent="0.2">
      <c r="AJ1894" s="7">
        <v>789</v>
      </c>
      <c r="AK1894" s="25">
        <v>460</v>
      </c>
    </row>
    <row r="1895" spans="36:37" x14ac:dyDescent="0.2">
      <c r="AJ1895" s="6" t="s">
        <v>608</v>
      </c>
      <c r="AK1895" s="25">
        <v>541</v>
      </c>
    </row>
    <row r="1896" spans="36:37" x14ac:dyDescent="0.2">
      <c r="AJ1896" s="7">
        <v>542</v>
      </c>
      <c r="AK1896" s="25">
        <v>541</v>
      </c>
    </row>
    <row r="1897" spans="36:37" x14ac:dyDescent="0.2">
      <c r="AJ1897" s="6" t="s">
        <v>450</v>
      </c>
      <c r="AK1897" s="25">
        <v>673</v>
      </c>
    </row>
    <row r="1898" spans="36:37" x14ac:dyDescent="0.2">
      <c r="AJ1898" s="7">
        <v>394</v>
      </c>
      <c r="AK1898" s="25">
        <v>673</v>
      </c>
    </row>
    <row r="1899" spans="36:37" x14ac:dyDescent="0.2">
      <c r="AJ1899" s="6" t="s">
        <v>905</v>
      </c>
      <c r="AK1899" s="25">
        <v>1001</v>
      </c>
    </row>
    <row r="1900" spans="36:37" x14ac:dyDescent="0.2">
      <c r="AJ1900" s="7">
        <v>831</v>
      </c>
      <c r="AK1900" s="25">
        <v>1001</v>
      </c>
    </row>
    <row r="1901" spans="36:37" x14ac:dyDescent="0.2">
      <c r="AJ1901" s="6" t="s">
        <v>969</v>
      </c>
      <c r="AK1901" s="25">
        <v>1001</v>
      </c>
    </row>
    <row r="1902" spans="36:37" x14ac:dyDescent="0.2">
      <c r="AJ1902" s="7">
        <v>894</v>
      </c>
      <c r="AK1902" s="25">
        <v>1001</v>
      </c>
    </row>
    <row r="1903" spans="36:37" x14ac:dyDescent="0.2">
      <c r="AJ1903" s="6" t="s">
        <v>664</v>
      </c>
      <c r="AK1903" s="25">
        <v>673</v>
      </c>
    </row>
    <row r="1904" spans="36:37" x14ac:dyDescent="0.2">
      <c r="AJ1904" s="7">
        <v>598</v>
      </c>
      <c r="AK1904" s="25">
        <v>673</v>
      </c>
    </row>
    <row r="1905" spans="36:37" x14ac:dyDescent="0.2">
      <c r="AJ1905" s="6" t="s">
        <v>439</v>
      </c>
      <c r="AK1905" s="25">
        <v>541</v>
      </c>
    </row>
    <row r="1906" spans="36:37" x14ac:dyDescent="0.2">
      <c r="AJ1906" s="7">
        <v>383</v>
      </c>
      <c r="AK1906" s="25">
        <v>541</v>
      </c>
    </row>
    <row r="1907" spans="36:37" x14ac:dyDescent="0.2">
      <c r="AJ1907" s="6" t="s">
        <v>910</v>
      </c>
      <c r="AK1907" s="25">
        <v>1001</v>
      </c>
    </row>
    <row r="1908" spans="36:37" x14ac:dyDescent="0.2">
      <c r="AJ1908" s="7">
        <v>836</v>
      </c>
      <c r="AK1908" s="25">
        <v>1001</v>
      </c>
    </row>
    <row r="1909" spans="36:37" x14ac:dyDescent="0.2">
      <c r="AJ1909" s="6" t="s">
        <v>580</v>
      </c>
      <c r="AK1909" s="25">
        <v>673</v>
      </c>
    </row>
    <row r="1910" spans="36:37" x14ac:dyDescent="0.2">
      <c r="AJ1910" s="7">
        <v>515</v>
      </c>
      <c r="AK1910" s="25">
        <v>673</v>
      </c>
    </row>
    <row r="1911" spans="36:37" x14ac:dyDescent="0.2">
      <c r="AJ1911" s="6" t="s">
        <v>1060</v>
      </c>
      <c r="AK1911" s="25">
        <v>1001</v>
      </c>
    </row>
    <row r="1912" spans="36:37" x14ac:dyDescent="0.2">
      <c r="AJ1912" s="7">
        <v>982</v>
      </c>
      <c r="AK1912" s="25">
        <v>1001</v>
      </c>
    </row>
    <row r="1913" spans="36:37" x14ac:dyDescent="0.2">
      <c r="AJ1913" s="6" t="s">
        <v>549</v>
      </c>
      <c r="AK1913" s="25">
        <v>1001</v>
      </c>
    </row>
    <row r="1914" spans="36:37" x14ac:dyDescent="0.2">
      <c r="AJ1914" s="7">
        <v>485</v>
      </c>
      <c r="AK1914" s="25">
        <v>1001</v>
      </c>
    </row>
    <row r="1915" spans="36:37" x14ac:dyDescent="0.2">
      <c r="AJ1915" s="6" t="s">
        <v>634</v>
      </c>
      <c r="AK1915" s="25">
        <v>363</v>
      </c>
    </row>
    <row r="1916" spans="36:37" x14ac:dyDescent="0.2">
      <c r="AJ1916" s="7">
        <v>568</v>
      </c>
      <c r="AK1916" s="25">
        <v>363</v>
      </c>
    </row>
    <row r="1917" spans="36:37" x14ac:dyDescent="0.2">
      <c r="AJ1917" s="6" t="s">
        <v>127</v>
      </c>
      <c r="AK1917" s="25">
        <v>53</v>
      </c>
    </row>
    <row r="1918" spans="36:37" x14ac:dyDescent="0.2">
      <c r="AJ1918" s="7">
        <v>94</v>
      </c>
      <c r="AK1918" s="25">
        <v>53</v>
      </c>
    </row>
    <row r="1919" spans="36:37" x14ac:dyDescent="0.2">
      <c r="AJ1919" s="6" t="s">
        <v>557</v>
      </c>
      <c r="AK1919" s="25">
        <v>673</v>
      </c>
    </row>
    <row r="1920" spans="36:37" x14ac:dyDescent="0.2">
      <c r="AJ1920" s="7">
        <v>492</v>
      </c>
      <c r="AK1920" s="25">
        <v>673</v>
      </c>
    </row>
    <row r="1921" spans="36:37" x14ac:dyDescent="0.2">
      <c r="AJ1921" s="6" t="s">
        <v>806</v>
      </c>
      <c r="AK1921" s="25">
        <v>673</v>
      </c>
    </row>
    <row r="1922" spans="36:37" x14ac:dyDescent="0.2">
      <c r="AJ1922" s="7">
        <v>738</v>
      </c>
      <c r="AK1922" s="25">
        <v>673</v>
      </c>
    </row>
    <row r="1923" spans="36:37" x14ac:dyDescent="0.2">
      <c r="AJ1923" s="6" t="s">
        <v>845</v>
      </c>
      <c r="AK1923" s="25">
        <v>898</v>
      </c>
    </row>
    <row r="1924" spans="36:37" x14ac:dyDescent="0.2">
      <c r="AJ1924" s="7">
        <v>774</v>
      </c>
      <c r="AK1924" s="25">
        <v>898</v>
      </c>
    </row>
    <row r="1925" spans="36:37" x14ac:dyDescent="0.2">
      <c r="AJ1925" s="6" t="s">
        <v>875</v>
      </c>
      <c r="AK1925" s="25">
        <v>673</v>
      </c>
    </row>
    <row r="1926" spans="36:37" x14ac:dyDescent="0.2">
      <c r="AJ1926" s="7">
        <v>802</v>
      </c>
      <c r="AK1926" s="25">
        <v>673</v>
      </c>
    </row>
    <row r="1927" spans="36:37" x14ac:dyDescent="0.2">
      <c r="AJ1927" s="6" t="s">
        <v>327</v>
      </c>
      <c r="AK1927" s="25">
        <v>240</v>
      </c>
    </row>
    <row r="1928" spans="36:37" x14ac:dyDescent="0.2">
      <c r="AJ1928" s="7">
        <v>280</v>
      </c>
      <c r="AK1928" s="25">
        <v>240</v>
      </c>
    </row>
    <row r="1929" spans="36:37" x14ac:dyDescent="0.2">
      <c r="AJ1929" s="6" t="s">
        <v>190</v>
      </c>
      <c r="AK1929" s="25">
        <v>187</v>
      </c>
    </row>
    <row r="1930" spans="36:37" x14ac:dyDescent="0.2">
      <c r="AJ1930" s="7">
        <v>152</v>
      </c>
      <c r="AK1930" s="25">
        <v>187</v>
      </c>
    </row>
    <row r="1931" spans="36:37" x14ac:dyDescent="0.2">
      <c r="AJ1931" s="6" t="s">
        <v>112</v>
      </c>
      <c r="AK1931" s="25">
        <v>121</v>
      </c>
    </row>
    <row r="1932" spans="36:37" x14ac:dyDescent="0.2">
      <c r="AJ1932" s="7">
        <v>82</v>
      </c>
      <c r="AK1932" s="25">
        <v>121</v>
      </c>
    </row>
    <row r="1933" spans="36:37" x14ac:dyDescent="0.2">
      <c r="AJ1933" s="6" t="s">
        <v>707</v>
      </c>
      <c r="AK1933" s="25">
        <v>673</v>
      </c>
    </row>
    <row r="1934" spans="36:37" x14ac:dyDescent="0.2">
      <c r="AJ1934" s="7">
        <v>641</v>
      </c>
      <c r="AK1934" s="25">
        <v>673</v>
      </c>
    </row>
    <row r="1935" spans="36:37" x14ac:dyDescent="0.2">
      <c r="AJ1935" s="6" t="s">
        <v>612</v>
      </c>
      <c r="AK1935" s="25">
        <v>673</v>
      </c>
    </row>
    <row r="1936" spans="36:37" x14ac:dyDescent="0.2">
      <c r="AJ1936" s="7">
        <v>546</v>
      </c>
      <c r="AK1936" s="25">
        <v>673</v>
      </c>
    </row>
    <row r="1937" spans="36:37" x14ac:dyDescent="0.2">
      <c r="AJ1937" s="6" t="s">
        <v>1057</v>
      </c>
      <c r="AK1937" s="25">
        <v>898</v>
      </c>
    </row>
    <row r="1938" spans="36:37" x14ac:dyDescent="0.2">
      <c r="AJ1938" s="7">
        <v>979</v>
      </c>
      <c r="AK1938" s="25">
        <v>898</v>
      </c>
    </row>
    <row r="1939" spans="36:37" x14ac:dyDescent="0.2">
      <c r="AJ1939" s="6" t="s">
        <v>755</v>
      </c>
      <c r="AK1939" s="25">
        <v>898</v>
      </c>
    </row>
    <row r="1940" spans="36:37" x14ac:dyDescent="0.2">
      <c r="AJ1940" s="7">
        <v>688</v>
      </c>
      <c r="AK1940" s="25">
        <v>898</v>
      </c>
    </row>
    <row r="1941" spans="36:37" x14ac:dyDescent="0.2">
      <c r="AJ1941" s="6" t="s">
        <v>151</v>
      </c>
      <c r="AK1941" s="25">
        <v>114</v>
      </c>
    </row>
    <row r="1942" spans="36:37" x14ac:dyDescent="0.2">
      <c r="AJ1942" s="7">
        <v>114</v>
      </c>
      <c r="AK1942" s="25">
        <v>114</v>
      </c>
    </row>
    <row r="1943" spans="36:37" x14ac:dyDescent="0.2">
      <c r="AJ1943" s="6" t="s">
        <v>431</v>
      </c>
      <c r="AK1943" s="25">
        <v>240</v>
      </c>
    </row>
    <row r="1944" spans="36:37" x14ac:dyDescent="0.2">
      <c r="AJ1944" s="7">
        <v>375</v>
      </c>
      <c r="AK1944" s="25">
        <v>240</v>
      </c>
    </row>
    <row r="1945" spans="36:37" x14ac:dyDescent="0.2">
      <c r="AJ1945" s="6" t="s">
        <v>691</v>
      </c>
      <c r="AK1945" s="25">
        <v>541</v>
      </c>
    </row>
    <row r="1946" spans="36:37" x14ac:dyDescent="0.2">
      <c r="AJ1946" s="7">
        <v>625</v>
      </c>
      <c r="AK1946" s="25">
        <v>541</v>
      </c>
    </row>
    <row r="1947" spans="36:37" x14ac:dyDescent="0.2">
      <c r="AJ1947" s="6" t="s">
        <v>992</v>
      </c>
      <c r="AK1947" s="25">
        <v>898</v>
      </c>
    </row>
    <row r="1948" spans="36:37" x14ac:dyDescent="0.2">
      <c r="AJ1948" s="7">
        <v>914</v>
      </c>
      <c r="AK1948" s="25">
        <v>898</v>
      </c>
    </row>
    <row r="1949" spans="36:37" x14ac:dyDescent="0.2">
      <c r="AJ1949" s="6" t="s">
        <v>756</v>
      </c>
      <c r="AK1949" s="25">
        <v>898</v>
      </c>
    </row>
    <row r="1950" spans="36:37" x14ac:dyDescent="0.2">
      <c r="AJ1950" s="7">
        <v>689</v>
      </c>
      <c r="AK1950" s="25">
        <v>898</v>
      </c>
    </row>
    <row r="1951" spans="36:37" x14ac:dyDescent="0.2">
      <c r="AJ1951" s="6" t="s">
        <v>1051</v>
      </c>
      <c r="AK1951" s="25">
        <v>1001</v>
      </c>
    </row>
    <row r="1952" spans="36:37" x14ac:dyDescent="0.2">
      <c r="AJ1952" s="7">
        <v>973</v>
      </c>
      <c r="AK1952" s="25">
        <v>1001</v>
      </c>
    </row>
    <row r="1953" spans="36:37" x14ac:dyDescent="0.2">
      <c r="AJ1953" s="6" t="s">
        <v>854</v>
      </c>
      <c r="AK1953" s="25">
        <v>673</v>
      </c>
    </row>
    <row r="1954" spans="36:37" x14ac:dyDescent="0.2">
      <c r="AJ1954" s="7">
        <v>783</v>
      </c>
      <c r="AK1954" s="25">
        <v>673</v>
      </c>
    </row>
    <row r="1955" spans="36:37" x14ac:dyDescent="0.2">
      <c r="AJ1955" s="6" t="s">
        <v>800</v>
      </c>
      <c r="AK1955" s="25">
        <v>541</v>
      </c>
    </row>
    <row r="1956" spans="36:37" x14ac:dyDescent="0.2">
      <c r="AJ1956" s="7">
        <v>732</v>
      </c>
      <c r="AK1956" s="25">
        <v>541</v>
      </c>
    </row>
    <row r="1957" spans="36:37" x14ac:dyDescent="0.2">
      <c r="AJ1957" s="6" t="s">
        <v>978</v>
      </c>
      <c r="AK1957" s="25">
        <v>898</v>
      </c>
    </row>
    <row r="1958" spans="36:37" x14ac:dyDescent="0.2">
      <c r="AJ1958" s="7">
        <v>903</v>
      </c>
      <c r="AK1958" s="25">
        <v>898</v>
      </c>
    </row>
    <row r="1959" spans="36:37" x14ac:dyDescent="0.2">
      <c r="AJ1959" s="6" t="s">
        <v>767</v>
      </c>
      <c r="AK1959" s="25">
        <v>898</v>
      </c>
    </row>
    <row r="1960" spans="36:37" x14ac:dyDescent="0.2">
      <c r="AJ1960" s="7">
        <v>700</v>
      </c>
      <c r="AK1960" s="25">
        <v>898</v>
      </c>
    </row>
    <row r="1961" spans="36:37" x14ac:dyDescent="0.2">
      <c r="AJ1961" s="6" t="s">
        <v>176</v>
      </c>
      <c r="AK1961" s="25">
        <v>139</v>
      </c>
    </row>
    <row r="1962" spans="36:37" x14ac:dyDescent="0.2">
      <c r="AJ1962" s="7">
        <v>138</v>
      </c>
      <c r="AK1962" s="25">
        <v>139</v>
      </c>
    </row>
    <row r="1963" spans="36:37" x14ac:dyDescent="0.2">
      <c r="AJ1963" s="6" t="s">
        <v>782</v>
      </c>
      <c r="AK1963" s="25">
        <v>541</v>
      </c>
    </row>
    <row r="1964" spans="36:37" x14ac:dyDescent="0.2">
      <c r="AJ1964" s="7">
        <v>715</v>
      </c>
      <c r="AK1964" s="25">
        <v>541</v>
      </c>
    </row>
    <row r="1965" spans="36:37" x14ac:dyDescent="0.2">
      <c r="AJ1965" s="6" t="s">
        <v>551</v>
      </c>
      <c r="AK1965" s="25">
        <v>460</v>
      </c>
    </row>
    <row r="1966" spans="36:37" x14ac:dyDescent="0.2">
      <c r="AJ1966" s="7">
        <v>487</v>
      </c>
      <c r="AK1966" s="25">
        <v>460</v>
      </c>
    </row>
    <row r="1967" spans="36:37" x14ac:dyDescent="0.2">
      <c r="AJ1967" s="6" t="s">
        <v>699</v>
      </c>
      <c r="AK1967" s="25">
        <v>541</v>
      </c>
    </row>
    <row r="1968" spans="36:37" x14ac:dyDescent="0.2">
      <c r="AJ1968" s="7">
        <v>633</v>
      </c>
      <c r="AK1968" s="25">
        <v>541</v>
      </c>
    </row>
    <row r="1969" spans="36:37" x14ac:dyDescent="0.2">
      <c r="AJ1969" s="6" t="s">
        <v>1076</v>
      </c>
      <c r="AK1969" s="25">
        <v>673</v>
      </c>
    </row>
    <row r="1970" spans="36:37" x14ac:dyDescent="0.2">
      <c r="AJ1970" s="7">
        <v>996</v>
      </c>
      <c r="AK1970" s="25">
        <v>673</v>
      </c>
    </row>
    <row r="1971" spans="36:37" x14ac:dyDescent="0.2">
      <c r="AJ1971" s="6" t="s">
        <v>809</v>
      </c>
      <c r="AK1971" s="25">
        <v>898</v>
      </c>
    </row>
    <row r="1972" spans="36:37" x14ac:dyDescent="0.2">
      <c r="AJ1972" s="7">
        <v>741</v>
      </c>
      <c r="AK1972" s="25">
        <v>898</v>
      </c>
    </row>
    <row r="1973" spans="36:37" x14ac:dyDescent="0.2">
      <c r="AJ1973" s="6" t="s">
        <v>998</v>
      </c>
      <c r="AK1973" s="25">
        <v>673</v>
      </c>
    </row>
    <row r="1974" spans="36:37" x14ac:dyDescent="0.2">
      <c r="AJ1974" s="7">
        <v>920</v>
      </c>
      <c r="AK1974" s="25">
        <v>673</v>
      </c>
    </row>
    <row r="1975" spans="36:37" x14ac:dyDescent="0.2">
      <c r="AJ1975" s="6" t="s">
        <v>119</v>
      </c>
      <c r="AK1975" s="25">
        <v>121</v>
      </c>
    </row>
    <row r="1976" spans="36:37" x14ac:dyDescent="0.2">
      <c r="AJ1976" s="7">
        <v>88</v>
      </c>
      <c r="AK1976" s="25">
        <v>121</v>
      </c>
    </row>
    <row r="1977" spans="36:37" x14ac:dyDescent="0.2">
      <c r="AJ1977" s="6" t="s">
        <v>409</v>
      </c>
      <c r="AK1977" s="25">
        <v>363</v>
      </c>
    </row>
    <row r="1978" spans="36:37" x14ac:dyDescent="0.2">
      <c r="AJ1978" s="7">
        <v>355</v>
      </c>
      <c r="AK1978" s="25">
        <v>363</v>
      </c>
    </row>
    <row r="1979" spans="36:37" x14ac:dyDescent="0.2">
      <c r="AJ1979" s="6" t="s">
        <v>513</v>
      </c>
      <c r="AK1979" s="25">
        <v>327</v>
      </c>
    </row>
    <row r="1980" spans="36:37" x14ac:dyDescent="0.2">
      <c r="AJ1980" s="7">
        <v>453</v>
      </c>
      <c r="AK1980" s="25">
        <v>327</v>
      </c>
    </row>
    <row r="1981" spans="36:37" x14ac:dyDescent="0.2">
      <c r="AJ1981" s="6" t="s">
        <v>937</v>
      </c>
      <c r="AK1981" s="25">
        <v>673</v>
      </c>
    </row>
    <row r="1982" spans="36:37" x14ac:dyDescent="0.2">
      <c r="AJ1982" s="7">
        <v>863</v>
      </c>
      <c r="AK1982" s="25">
        <v>673</v>
      </c>
    </row>
    <row r="1983" spans="36:37" x14ac:dyDescent="0.2">
      <c r="AJ1983" s="6" t="s">
        <v>798</v>
      </c>
      <c r="AK1983" s="25">
        <v>363</v>
      </c>
    </row>
    <row r="1984" spans="36:37" x14ac:dyDescent="0.2">
      <c r="AJ1984" s="7">
        <v>730</v>
      </c>
      <c r="AK1984" s="25">
        <v>363</v>
      </c>
    </row>
    <row r="1985" spans="36:37" x14ac:dyDescent="0.2">
      <c r="AJ1985" s="6" t="s">
        <v>1010</v>
      </c>
      <c r="AK1985" s="25">
        <v>673</v>
      </c>
    </row>
    <row r="1986" spans="36:37" x14ac:dyDescent="0.2">
      <c r="AJ1986" s="7">
        <v>932</v>
      </c>
      <c r="AK1986" s="25">
        <v>673</v>
      </c>
    </row>
    <row r="1987" spans="36:37" x14ac:dyDescent="0.2">
      <c r="AJ1987" s="6" t="s">
        <v>804</v>
      </c>
      <c r="AK1987" s="25">
        <v>363</v>
      </c>
    </row>
    <row r="1988" spans="36:37" x14ac:dyDescent="0.2">
      <c r="AJ1988" s="7">
        <v>736</v>
      </c>
      <c r="AK1988" s="25">
        <v>363</v>
      </c>
    </row>
    <row r="1989" spans="36:37" x14ac:dyDescent="0.2">
      <c r="AJ1989" s="6" t="s">
        <v>135</v>
      </c>
      <c r="AK1989" s="25">
        <v>53</v>
      </c>
    </row>
    <row r="1990" spans="36:37" x14ac:dyDescent="0.2">
      <c r="AJ1990" s="7">
        <v>102</v>
      </c>
      <c r="AK1990" s="25">
        <v>53</v>
      </c>
    </row>
    <row r="1991" spans="36:37" x14ac:dyDescent="0.2">
      <c r="AJ1991" s="6" t="s">
        <v>153</v>
      </c>
      <c r="AK1991" s="25">
        <v>254</v>
      </c>
    </row>
    <row r="1992" spans="36:37" x14ac:dyDescent="0.2">
      <c r="AJ1992" s="7">
        <v>116</v>
      </c>
      <c r="AK1992" s="25">
        <v>254</v>
      </c>
    </row>
    <row r="1993" spans="36:37" x14ac:dyDescent="0.2">
      <c r="AJ1993" s="6" t="s">
        <v>722</v>
      </c>
      <c r="AK1993" s="25">
        <v>541</v>
      </c>
    </row>
    <row r="1994" spans="36:37" x14ac:dyDescent="0.2">
      <c r="AJ1994" s="7">
        <v>656</v>
      </c>
      <c r="AK1994" s="25">
        <v>541</v>
      </c>
    </row>
    <row r="1995" spans="36:37" x14ac:dyDescent="0.2">
      <c r="AJ1995" s="6" t="s">
        <v>476</v>
      </c>
      <c r="AK1995" s="25">
        <v>673</v>
      </c>
    </row>
    <row r="1996" spans="36:37" x14ac:dyDescent="0.2">
      <c r="AJ1996" s="7">
        <v>419</v>
      </c>
      <c r="AK1996" s="25">
        <v>673</v>
      </c>
    </row>
    <row r="1997" spans="36:37" x14ac:dyDescent="0.2">
      <c r="AJ1997" s="6" t="s">
        <v>154</v>
      </c>
      <c r="AK1997" s="25">
        <v>460</v>
      </c>
    </row>
    <row r="1998" spans="36:37" x14ac:dyDescent="0.2">
      <c r="AJ1998" s="7">
        <v>117</v>
      </c>
      <c r="AK1998" s="25">
        <v>460</v>
      </c>
    </row>
    <row r="1999" spans="36:37" x14ac:dyDescent="0.2">
      <c r="AJ1999" s="6" t="s">
        <v>703</v>
      </c>
      <c r="AK1999" s="25">
        <v>1001</v>
      </c>
    </row>
    <row r="2000" spans="36:37" x14ac:dyDescent="0.2">
      <c r="AJ2000" s="7">
        <v>637</v>
      </c>
      <c r="AK2000" s="25">
        <v>1001</v>
      </c>
    </row>
    <row r="2001" spans="36:37" x14ac:dyDescent="0.2">
      <c r="AJ2001" s="6" t="s">
        <v>851</v>
      </c>
      <c r="AK2001" s="25">
        <v>1001</v>
      </c>
    </row>
    <row r="2002" spans="36:37" x14ac:dyDescent="0.2">
      <c r="AJ2002" s="7">
        <v>780</v>
      </c>
      <c r="AK2002" s="25">
        <v>1001</v>
      </c>
    </row>
    <row r="2003" spans="36:37" x14ac:dyDescent="0.2">
      <c r="AJ2003" s="6" t="s">
        <v>930</v>
      </c>
      <c r="AK2003" s="25">
        <v>1001</v>
      </c>
    </row>
    <row r="2004" spans="36:37" x14ac:dyDescent="0.2">
      <c r="AJ2004" s="7">
        <v>856</v>
      </c>
      <c r="AK2004" s="25">
        <v>1001</v>
      </c>
    </row>
    <row r="2005" spans="36:37" x14ac:dyDescent="0.2">
      <c r="AJ2005" s="6" t="s">
        <v>1095</v>
      </c>
      <c r="AK2005" s="25">
        <v>501159</v>
      </c>
    </row>
  </sheetData>
  <pageMargins left="0.7" right="0.7" top="0.75" bottom="0.75" header="0.3" footer="0.3"/>
  <pageSetup orientation="portrait" horizontalDpi="0" verticalDpi="0"/>
  <drawing r:id="rId7"/>
  <tableParts count="4">
    <tablePart r:id="rId8"/>
    <tablePart r:id="rId9"/>
    <tablePart r:id="rId10"/>
    <tablePart r:id="rId11"/>
  </tableParts>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61310-E350-CA47-8C8B-E850714A623A}">
  <sheetPr>
    <pageSetUpPr fitToPage="1"/>
  </sheetPr>
  <dimension ref="E1:T5"/>
  <sheetViews>
    <sheetView showGridLines="0" showRowColHeaders="0" tabSelected="1" zoomScale="60" zoomScaleNormal="60" workbookViewId="0">
      <selection activeCell="Y8" sqref="Y8"/>
    </sheetView>
  </sheetViews>
  <sheetFormatPr baseColWidth="10" defaultRowHeight="16" x14ac:dyDescent="0.2"/>
  <sheetData>
    <row r="1" spans="5:20" x14ac:dyDescent="0.2">
      <c r="E1" s="24" t="s">
        <v>1134</v>
      </c>
      <c r="F1" s="24"/>
      <c r="G1" s="24"/>
      <c r="H1" s="24"/>
      <c r="I1" s="24"/>
      <c r="J1" s="24"/>
      <c r="K1" s="24"/>
      <c r="L1" s="24"/>
      <c r="M1" s="24"/>
      <c r="N1" s="24"/>
      <c r="O1" s="24"/>
      <c r="P1" s="24"/>
      <c r="Q1" s="24"/>
      <c r="R1" s="24"/>
      <c r="S1" s="24"/>
      <c r="T1" s="24"/>
    </row>
    <row r="2" spans="5:20" x14ac:dyDescent="0.2">
      <c r="E2" s="24"/>
      <c r="F2" s="24"/>
      <c r="G2" s="24"/>
      <c r="H2" s="24"/>
      <c r="I2" s="24"/>
      <c r="J2" s="24"/>
      <c r="K2" s="24"/>
      <c r="L2" s="24"/>
      <c r="M2" s="24"/>
      <c r="N2" s="24"/>
      <c r="O2" s="24"/>
      <c r="P2" s="24"/>
      <c r="Q2" s="24"/>
      <c r="R2" s="24"/>
      <c r="S2" s="24"/>
      <c r="T2" s="24"/>
    </row>
    <row r="3" spans="5:20" ht="21" x14ac:dyDescent="0.25">
      <c r="E3" s="18"/>
      <c r="F3" s="29">
        <f>COUNTA(Table1[World Rank])</f>
        <v>1000</v>
      </c>
      <c r="G3" s="18"/>
      <c r="H3" s="18"/>
      <c r="I3" s="19"/>
      <c r="J3" s="20">
        <f>COUNTA('[1]A Comprehensive of the'!Z11:Z71)</f>
        <v>61</v>
      </c>
      <c r="K3" s="20"/>
      <c r="L3" s="20"/>
      <c r="M3" s="21"/>
      <c r="N3" s="22" t="str">
        <f>INDEX(Table1[Region],MATCH(MAX(Table1[Score]),Table1[Score],0))</f>
        <v>North America</v>
      </c>
      <c r="O3" s="21"/>
      <c r="P3" s="21"/>
      <c r="Q3" s="23"/>
      <c r="R3" s="28" t="str">
        <f>INDEX(Table1[Institution],MATCH(MAX(Table1[Score]),Table1[Score],0))</f>
        <v>Harvard University</v>
      </c>
      <c r="S3" s="23"/>
      <c r="T3" s="23"/>
    </row>
    <row r="4" spans="5:20" ht="21" x14ac:dyDescent="0.25">
      <c r="E4" s="18"/>
      <c r="F4" s="29" t="s">
        <v>1135</v>
      </c>
      <c r="G4" s="18"/>
      <c r="H4" s="18"/>
      <c r="I4" s="20"/>
      <c r="J4" s="20" t="s">
        <v>1136</v>
      </c>
      <c r="K4" s="20"/>
      <c r="L4" s="20"/>
      <c r="M4" s="21"/>
      <c r="N4" s="26" t="s">
        <v>1137</v>
      </c>
      <c r="O4" s="21"/>
      <c r="P4" s="21"/>
      <c r="Q4" s="23"/>
      <c r="R4" s="27" t="s">
        <v>1138</v>
      </c>
      <c r="S4" s="23"/>
      <c r="T4" s="23"/>
    </row>
    <row r="5" spans="5:20" ht="21" x14ac:dyDescent="0.25">
      <c r="E5" s="18"/>
      <c r="F5" s="18"/>
      <c r="G5" s="18"/>
      <c r="H5" s="18"/>
      <c r="I5" s="20"/>
      <c r="J5" s="20"/>
      <c r="K5" s="20"/>
      <c r="L5" s="20"/>
      <c r="M5" s="21"/>
      <c r="N5" s="21"/>
      <c r="O5" s="21"/>
      <c r="P5" s="21"/>
      <c r="Q5" s="23"/>
      <c r="R5" s="23"/>
      <c r="S5" s="23"/>
      <c r="T5" s="23"/>
    </row>
  </sheetData>
  <mergeCells count="1">
    <mergeCell ref="E1:T2"/>
  </mergeCells>
  <pageMargins left="0.7" right="0.7" top="0.75" bottom="0.75" header="0.3" footer="0.3"/>
  <pageSetup scale="50" orientation="landscape" horizontalDpi="0" verticalDpi="0"/>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A Comprehensive Overview of the</vt:lpstr>
      <vt:lpstr>ResearchQ's</vt:lpstr>
      <vt:lpstr>Pivot Table</vt:lpstr>
      <vt:lpstr>Dashboard</vt:lpstr>
      <vt:lpstr>ALumni_Employment</vt:lpstr>
      <vt:lpstr>Citations</vt:lpstr>
      <vt:lpstr>Influence</vt:lpstr>
      <vt:lpstr>Institution</vt:lpstr>
      <vt:lpstr>Latitude</vt:lpstr>
      <vt:lpstr>Location</vt:lpstr>
      <vt:lpstr>Longitude</vt:lpstr>
      <vt:lpstr>National_Rank</vt:lpstr>
      <vt:lpstr>Quality_of_Education</vt:lpstr>
      <vt:lpstr>Quality_of_faculty</vt:lpstr>
      <vt:lpstr>Quality_publications</vt:lpstr>
      <vt:lpstr>REsearch_Output</vt:lpstr>
      <vt:lpstr>Score</vt:lpstr>
      <vt:lpstr>WorldRank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2026-06-14T15:14:07Z</cp:lastPrinted>
  <dcterms:created xsi:type="dcterms:W3CDTF">2026-05-09T14:54:58Z</dcterms:created>
  <dcterms:modified xsi:type="dcterms:W3CDTF">2026-06-14T15:22:45Z</dcterms:modified>
</cp:coreProperties>
</file>